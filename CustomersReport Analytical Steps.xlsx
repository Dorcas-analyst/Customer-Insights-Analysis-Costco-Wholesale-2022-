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Ex2.xml" ContentType="application/vnd.ms-office.chartex+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dorca\OneDrive\Desktop\VEPHLA TASKS\"/>
    </mc:Choice>
  </mc:AlternateContent>
  <xr:revisionPtr revIDLastSave="0" documentId="13_ncr:1_{4B27BD18-C991-484A-8A3B-58EE48FCBA6B}" xr6:coauthVersionLast="47" xr6:coauthVersionMax="47" xr10:uidLastSave="{00000000-0000-0000-0000-000000000000}"/>
  <bookViews>
    <workbookView xWindow="-120" yWindow="-120" windowWidth="20730" windowHeight="11160" tabRatio="909" activeTab="4" xr2:uid="{B4277D4D-7D6C-4743-A2D8-0E6D973BB679}"/>
  </bookViews>
  <sheets>
    <sheet name="Original dataset" sheetId="1" r:id="rId1"/>
    <sheet name="Cleaned_Customerdataset" sheetId="2" r:id="rId2"/>
    <sheet name="Pre-analysis board" sheetId="3" r:id="rId3"/>
    <sheet name="In-analysis board" sheetId="12" r:id="rId4"/>
    <sheet name="Dashboard" sheetId="11" r:id="rId5"/>
    <sheet name="Post-analysis board" sheetId="13" r:id="rId6"/>
    <sheet name="Gender Analysis" sheetId="4" r:id="rId7"/>
    <sheet name="Age group by annual Income" sheetId="5" r:id="rId8"/>
    <sheet name="Profession by annual Income" sheetId="6" r:id="rId9"/>
    <sheet name="Family Size by Spending score" sheetId="7" r:id="rId10"/>
    <sheet name="Top 5 years by income" sheetId="10" r:id="rId11"/>
    <sheet name="Spending Category by Avg Income" sheetId="9" r:id="rId12"/>
    <sheet name="Customers by Age groups" sheetId="8" r:id="rId13"/>
  </sheets>
  <definedNames>
    <definedName name="_xlchart.v2.0" hidden="1">'Spending Category by Avg Income'!$A$11:$A$14</definedName>
    <definedName name="_xlchart.v2.1" hidden="1">'Spending Category by Avg Income'!$B$10</definedName>
    <definedName name="_xlchart.v2.2" hidden="1">'Spending Category by Avg Income'!$B$11:$B$14</definedName>
    <definedName name="_xlchart.v2.3" hidden="1">'Spending Category by Avg Income'!$A$11:$A$14</definedName>
    <definedName name="_xlchart.v2.4" hidden="1">'Spending Category by Avg Income'!$B$10</definedName>
    <definedName name="_xlchart.v2.5" hidden="1">'Spending Category by Avg Income'!$B$11:$B$14</definedName>
    <definedName name="_xlchart.v2.6" hidden="1">'Spending Category by Avg Income'!$A$11:$A$14</definedName>
    <definedName name="_xlchart.v2.7" hidden="1">'Spending Category by Avg Income'!$B$10</definedName>
    <definedName name="_xlchart.v2.8" hidden="1">'Spending Category by Avg Income'!$B$11:$B$14</definedName>
    <definedName name="_xlcn.WorksheetConnection_Customers.csvTable21" hidden="1">Table2[]</definedName>
    <definedName name="Slicer_Age_Groups">#N/A</definedName>
  </definedNames>
  <calcPr calcId="191029"/>
  <pivotCaches>
    <pivotCache cacheId="0" r:id="rId14"/>
    <pivotCache cacheId="1" r:id="rId15"/>
    <pivotCache cacheId="2" r:id="rId16"/>
    <pivotCache cacheId="3" r:id="rId17"/>
    <pivotCache cacheId="4" r:id="rId18"/>
    <pivotCache cacheId="5" r:id="rId19"/>
    <pivotCache cacheId="6" r:id="rId20"/>
  </pivotCaches>
  <extLst>
    <ext xmlns:x14="http://schemas.microsoft.com/office/spreadsheetml/2009/9/main" uri="{876F7934-8845-4945-9796-88D515C7AA90}">
      <x14:pivotCaches>
        <pivotCache cacheId="7"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Customers.csv!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2" l="1"/>
  <c r="G2" i="2" a="1"/>
  <c r="G2" i="2" s="1"/>
  <c r="D2" i="2" a="1"/>
  <c r="D2" i="2" s="1"/>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P7" i="2"/>
  <c r="P6" i="2"/>
  <c r="P5" i="2"/>
  <c r="P4"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P3" i="2"/>
  <c r="G3" i="2" a="1"/>
  <c r="G3" i="2" s="1"/>
  <c r="G4" i="2" a="1"/>
  <c r="G4" i="2" s="1"/>
  <c r="G5" i="2" a="1"/>
  <c r="G5" i="2" s="1"/>
  <c r="G6" i="2" a="1"/>
  <c r="G6" i="2" s="1"/>
  <c r="G7" i="2" a="1"/>
  <c r="G7" i="2" s="1"/>
  <c r="G8" i="2" a="1"/>
  <c r="G8" i="2" s="1"/>
  <c r="G9" i="2" a="1"/>
  <c r="G9" i="2" s="1"/>
  <c r="G10" i="2" a="1"/>
  <c r="G10" i="2" s="1"/>
  <c r="G11" i="2" a="1"/>
  <c r="G11" i="2" s="1"/>
  <c r="G12" i="2" a="1"/>
  <c r="G12" i="2" s="1"/>
  <c r="G13" i="2" a="1"/>
  <c r="G13" i="2" s="1"/>
  <c r="G14" i="2" a="1"/>
  <c r="G14" i="2" s="1"/>
  <c r="G15" i="2" a="1"/>
  <c r="G15" i="2" s="1"/>
  <c r="G16" i="2" a="1"/>
  <c r="G16" i="2" s="1"/>
  <c r="G17" i="2" a="1"/>
  <c r="G17" i="2" s="1"/>
  <c r="G18" i="2" a="1"/>
  <c r="G18" i="2" s="1"/>
  <c r="G19" i="2" a="1"/>
  <c r="G19" i="2" s="1"/>
  <c r="G20" i="2" a="1"/>
  <c r="G20" i="2" s="1"/>
  <c r="G21" i="2" a="1"/>
  <c r="G21" i="2" s="1"/>
  <c r="G22" i="2" a="1"/>
  <c r="G22" i="2" s="1"/>
  <c r="G23" i="2" a="1"/>
  <c r="G23" i="2" s="1"/>
  <c r="G24" i="2" a="1"/>
  <c r="G24" i="2" s="1"/>
  <c r="G25" i="2" a="1"/>
  <c r="G25" i="2" s="1"/>
  <c r="G26" i="2" a="1"/>
  <c r="G26" i="2" s="1"/>
  <c r="G27" i="2" a="1"/>
  <c r="G27" i="2" s="1"/>
  <c r="G28" i="2" a="1"/>
  <c r="G28" i="2" s="1"/>
  <c r="G29" i="2" a="1"/>
  <c r="G29" i="2" s="1"/>
  <c r="G30" i="2" a="1"/>
  <c r="G30" i="2" s="1"/>
  <c r="G31" i="2" a="1"/>
  <c r="G31" i="2" s="1"/>
  <c r="G32" i="2" a="1"/>
  <c r="G32" i="2" s="1"/>
  <c r="G33" i="2" a="1"/>
  <c r="G33" i="2" s="1"/>
  <c r="G34" i="2" a="1"/>
  <c r="G34" i="2" s="1"/>
  <c r="G35" i="2" a="1"/>
  <c r="G35" i="2" s="1"/>
  <c r="G36" i="2" a="1"/>
  <c r="G36" i="2" s="1"/>
  <c r="G37" i="2" a="1"/>
  <c r="G37" i="2" s="1"/>
  <c r="G38" i="2" a="1"/>
  <c r="G38" i="2" s="1"/>
  <c r="G39" i="2" a="1"/>
  <c r="G39" i="2" s="1"/>
  <c r="G40" i="2" a="1"/>
  <c r="G40" i="2" s="1"/>
  <c r="G41" i="2" a="1"/>
  <c r="G41" i="2" s="1"/>
  <c r="G42" i="2" a="1"/>
  <c r="G42" i="2" s="1"/>
  <c r="G43" i="2" a="1"/>
  <c r="G43" i="2" s="1"/>
  <c r="G44" i="2" a="1"/>
  <c r="G44" i="2" s="1"/>
  <c r="G45" i="2" a="1"/>
  <c r="G45" i="2" s="1"/>
  <c r="G46" i="2" a="1"/>
  <c r="G46" i="2" s="1"/>
  <c r="G47" i="2" a="1"/>
  <c r="G47" i="2" s="1"/>
  <c r="G48" i="2" a="1"/>
  <c r="G48" i="2" s="1"/>
  <c r="G49" i="2" a="1"/>
  <c r="G49" i="2" s="1"/>
  <c r="G50" i="2" a="1"/>
  <c r="G50" i="2" s="1"/>
  <c r="G51" i="2" a="1"/>
  <c r="G51" i="2" s="1"/>
  <c r="G52" i="2" a="1"/>
  <c r="G52" i="2" s="1"/>
  <c r="G53" i="2" a="1"/>
  <c r="G53" i="2" s="1"/>
  <c r="G54" i="2" a="1"/>
  <c r="G54" i="2" s="1"/>
  <c r="G55" i="2" a="1"/>
  <c r="G55" i="2" s="1"/>
  <c r="G56" i="2" a="1"/>
  <c r="G56" i="2" s="1"/>
  <c r="G57" i="2" a="1"/>
  <c r="G57" i="2" s="1"/>
  <c r="G58" i="2" a="1"/>
  <c r="G58" i="2" s="1"/>
  <c r="G59" i="2" a="1"/>
  <c r="G59" i="2" s="1"/>
  <c r="G60" i="2" a="1"/>
  <c r="G60" i="2" s="1"/>
  <c r="G61" i="2" a="1"/>
  <c r="G61" i="2" s="1"/>
  <c r="G62" i="2" a="1"/>
  <c r="G62" i="2" s="1"/>
  <c r="G63" i="2" a="1"/>
  <c r="G63" i="2" s="1"/>
  <c r="G64" i="2" a="1"/>
  <c r="G64" i="2" s="1"/>
  <c r="G65" i="2" a="1"/>
  <c r="G65" i="2" s="1"/>
  <c r="G66" i="2" a="1"/>
  <c r="G66" i="2" s="1"/>
  <c r="G67" i="2" a="1"/>
  <c r="G67" i="2" s="1"/>
  <c r="G68" i="2" a="1"/>
  <c r="G68" i="2" s="1"/>
  <c r="G69" i="2" a="1"/>
  <c r="G69" i="2" s="1"/>
  <c r="G70" i="2" a="1"/>
  <c r="G70" i="2" s="1"/>
  <c r="G71" i="2" a="1"/>
  <c r="G71" i="2" s="1"/>
  <c r="G72" i="2" a="1"/>
  <c r="G72" i="2" s="1"/>
  <c r="G73" i="2" a="1"/>
  <c r="G73" i="2" s="1"/>
  <c r="G74" i="2" a="1"/>
  <c r="G74" i="2" s="1"/>
  <c r="G75" i="2" a="1"/>
  <c r="G75" i="2" s="1"/>
  <c r="G76" i="2" a="1"/>
  <c r="G76" i="2" s="1"/>
  <c r="G77" i="2" a="1"/>
  <c r="G77" i="2" s="1"/>
  <c r="G78" i="2" a="1"/>
  <c r="G78" i="2" s="1"/>
  <c r="G79" i="2" a="1"/>
  <c r="G79" i="2" s="1"/>
  <c r="G80" i="2" a="1"/>
  <c r="G80" i="2" s="1"/>
  <c r="G81" i="2" a="1"/>
  <c r="G81" i="2" s="1"/>
  <c r="G82" i="2" a="1"/>
  <c r="G82" i="2" s="1"/>
  <c r="G83" i="2" a="1"/>
  <c r="G83" i="2" s="1"/>
  <c r="G84" i="2" a="1"/>
  <c r="G84" i="2" s="1"/>
  <c r="G85" i="2" a="1"/>
  <c r="G85" i="2" s="1"/>
  <c r="G86" i="2" a="1"/>
  <c r="G86" i="2" s="1"/>
  <c r="G87" i="2" a="1"/>
  <c r="G87" i="2" s="1"/>
  <c r="G88" i="2" a="1"/>
  <c r="G88" i="2" s="1"/>
  <c r="G89" i="2" a="1"/>
  <c r="G89" i="2" s="1"/>
  <c r="G90" i="2" a="1"/>
  <c r="G90" i="2" s="1"/>
  <c r="G91" i="2" a="1"/>
  <c r="G91" i="2" s="1"/>
  <c r="G92" i="2" a="1"/>
  <c r="G92" i="2" s="1"/>
  <c r="G93" i="2" a="1"/>
  <c r="G93" i="2" s="1"/>
  <c r="G94" i="2" a="1"/>
  <c r="G94" i="2" s="1"/>
  <c r="G95" i="2" a="1"/>
  <c r="G95" i="2" s="1"/>
  <c r="G96" i="2" a="1"/>
  <c r="G96" i="2" s="1"/>
  <c r="G97" i="2" a="1"/>
  <c r="G97" i="2" s="1"/>
  <c r="G98" i="2" a="1"/>
  <c r="G98" i="2" s="1"/>
  <c r="G99" i="2" a="1"/>
  <c r="G99" i="2" s="1"/>
  <c r="G100" i="2" a="1"/>
  <c r="G100" i="2" s="1"/>
  <c r="G101" i="2" a="1"/>
  <c r="G101" i="2" s="1"/>
  <c r="G102" i="2" a="1"/>
  <c r="G102" i="2" s="1"/>
  <c r="G103" i="2" a="1"/>
  <c r="G103" i="2" s="1"/>
  <c r="G104" i="2" a="1"/>
  <c r="G104" i="2" s="1"/>
  <c r="G105" i="2" a="1"/>
  <c r="G105" i="2" s="1"/>
  <c r="G106" i="2" a="1"/>
  <c r="G106" i="2" s="1"/>
  <c r="G107" i="2" a="1"/>
  <c r="G107" i="2" s="1"/>
  <c r="G108" i="2" a="1"/>
  <c r="G108" i="2" s="1"/>
  <c r="G109" i="2" a="1"/>
  <c r="G109" i="2" s="1"/>
  <c r="G110" i="2" a="1"/>
  <c r="G110" i="2" s="1"/>
  <c r="G111" i="2" a="1"/>
  <c r="G111" i="2" s="1"/>
  <c r="G112" i="2" a="1"/>
  <c r="G112" i="2" s="1"/>
  <c r="G113" i="2" a="1"/>
  <c r="G113" i="2" s="1"/>
  <c r="G114" i="2" a="1"/>
  <c r="G114" i="2" s="1"/>
  <c r="G115" i="2" a="1"/>
  <c r="G115" i="2" s="1"/>
  <c r="G116" i="2" a="1"/>
  <c r="G116" i="2" s="1"/>
  <c r="G117" i="2" a="1"/>
  <c r="G117" i="2" s="1"/>
  <c r="G118" i="2" a="1"/>
  <c r="G118" i="2" s="1"/>
  <c r="G119" i="2" a="1"/>
  <c r="G119" i="2" s="1"/>
  <c r="G120" i="2" a="1"/>
  <c r="G120" i="2" s="1"/>
  <c r="G121" i="2" a="1"/>
  <c r="G121" i="2" s="1"/>
  <c r="G122" i="2" a="1"/>
  <c r="G122" i="2" s="1"/>
  <c r="G123" i="2" a="1"/>
  <c r="G123" i="2" s="1"/>
  <c r="G124" i="2" a="1"/>
  <c r="G124" i="2" s="1"/>
  <c r="G125" i="2" a="1"/>
  <c r="G125" i="2" s="1"/>
  <c r="G126" i="2" a="1"/>
  <c r="G126" i="2" s="1"/>
  <c r="G127" i="2" a="1"/>
  <c r="G127" i="2" s="1"/>
  <c r="G128" i="2" a="1"/>
  <c r="G128" i="2" s="1"/>
  <c r="G129" i="2" a="1"/>
  <c r="G129" i="2" s="1"/>
  <c r="G130" i="2" a="1"/>
  <c r="G130" i="2" s="1"/>
  <c r="G131" i="2" a="1"/>
  <c r="G131" i="2" s="1"/>
  <c r="G132" i="2" a="1"/>
  <c r="G132" i="2" s="1"/>
  <c r="G133" i="2" a="1"/>
  <c r="G133" i="2" s="1"/>
  <c r="G134" i="2" a="1"/>
  <c r="G134" i="2" s="1"/>
  <c r="G135" i="2" a="1"/>
  <c r="G135" i="2" s="1"/>
  <c r="G136" i="2" a="1"/>
  <c r="G136" i="2" s="1"/>
  <c r="G137" i="2" a="1"/>
  <c r="G137" i="2" s="1"/>
  <c r="G138" i="2" a="1"/>
  <c r="G138" i="2" s="1"/>
  <c r="G139" i="2" a="1"/>
  <c r="G139" i="2" s="1"/>
  <c r="G140" i="2" a="1"/>
  <c r="G140" i="2" s="1"/>
  <c r="G141" i="2" a="1"/>
  <c r="G141" i="2" s="1"/>
  <c r="G142" i="2" a="1"/>
  <c r="G142" i="2" s="1"/>
  <c r="G143" i="2" a="1"/>
  <c r="G143" i="2" s="1"/>
  <c r="G144" i="2" a="1"/>
  <c r="G144" i="2" s="1"/>
  <c r="G145" i="2" a="1"/>
  <c r="G145" i="2" s="1"/>
  <c r="G146" i="2" a="1"/>
  <c r="G146" i="2" s="1"/>
  <c r="G147" i="2" a="1"/>
  <c r="G147" i="2" s="1"/>
  <c r="G148" i="2" a="1"/>
  <c r="G148" i="2" s="1"/>
  <c r="G149" i="2" a="1"/>
  <c r="G149" i="2" s="1"/>
  <c r="G150" i="2" a="1"/>
  <c r="G150" i="2" s="1"/>
  <c r="G151" i="2" a="1"/>
  <c r="G151" i="2" s="1"/>
  <c r="G152" i="2" a="1"/>
  <c r="G152" i="2" s="1"/>
  <c r="G153" i="2" a="1"/>
  <c r="G153" i="2" s="1"/>
  <c r="G154" i="2" a="1"/>
  <c r="G154" i="2" s="1"/>
  <c r="G155" i="2" a="1"/>
  <c r="G155" i="2" s="1"/>
  <c r="G156" i="2" a="1"/>
  <c r="G156" i="2" s="1"/>
  <c r="G157" i="2" a="1"/>
  <c r="G157" i="2" s="1"/>
  <c r="G158" i="2" a="1"/>
  <c r="G158" i="2" s="1"/>
  <c r="G159" i="2" a="1"/>
  <c r="G159" i="2" s="1"/>
  <c r="G160" i="2" a="1"/>
  <c r="G160" i="2" s="1"/>
  <c r="G161" i="2" a="1"/>
  <c r="G161" i="2" s="1"/>
  <c r="G162" i="2" a="1"/>
  <c r="G162" i="2" s="1"/>
  <c r="G163" i="2" a="1"/>
  <c r="G163" i="2" s="1"/>
  <c r="G164" i="2" a="1"/>
  <c r="G164" i="2" s="1"/>
  <c r="G165" i="2" a="1"/>
  <c r="G165" i="2" s="1"/>
  <c r="G166" i="2" a="1"/>
  <c r="G166" i="2" s="1"/>
  <c r="G167" i="2" a="1"/>
  <c r="G167" i="2" s="1"/>
  <c r="G168" i="2" a="1"/>
  <c r="G168" i="2" s="1"/>
  <c r="G169" i="2" a="1"/>
  <c r="G169" i="2" s="1"/>
  <c r="G170" i="2" a="1"/>
  <c r="G170" i="2" s="1"/>
  <c r="G171" i="2" a="1"/>
  <c r="G171" i="2" s="1"/>
  <c r="G172" i="2" a="1"/>
  <c r="G172" i="2" s="1"/>
  <c r="G173" i="2" a="1"/>
  <c r="G173" i="2" s="1"/>
  <c r="G174" i="2" a="1"/>
  <c r="G174" i="2" s="1"/>
  <c r="G175" i="2" a="1"/>
  <c r="G175" i="2" s="1"/>
  <c r="G176" i="2" a="1"/>
  <c r="G176" i="2" s="1"/>
  <c r="G177" i="2" a="1"/>
  <c r="G177" i="2" s="1"/>
  <c r="G178" i="2" a="1"/>
  <c r="G178" i="2" s="1"/>
  <c r="G179" i="2" a="1"/>
  <c r="G179" i="2" s="1"/>
  <c r="G180" i="2" a="1"/>
  <c r="G180" i="2" s="1"/>
  <c r="G181" i="2" a="1"/>
  <c r="G181" i="2" s="1"/>
  <c r="G182" i="2" a="1"/>
  <c r="G182" i="2" s="1"/>
  <c r="G183" i="2" a="1"/>
  <c r="G183" i="2" s="1"/>
  <c r="G184" i="2" a="1"/>
  <c r="G184" i="2" s="1"/>
  <c r="G185" i="2" a="1"/>
  <c r="G185" i="2" s="1"/>
  <c r="G186" i="2" a="1"/>
  <c r="G186" i="2" s="1"/>
  <c r="G187" i="2" a="1"/>
  <c r="G187" i="2" s="1"/>
  <c r="G188" i="2" a="1"/>
  <c r="G188" i="2" s="1"/>
  <c r="G189" i="2" a="1"/>
  <c r="G189" i="2" s="1"/>
  <c r="G190" i="2" a="1"/>
  <c r="G190" i="2" s="1"/>
  <c r="G191" i="2" a="1"/>
  <c r="G191" i="2" s="1"/>
  <c r="G192" i="2" a="1"/>
  <c r="G192" i="2" s="1"/>
  <c r="G193" i="2" a="1"/>
  <c r="G193" i="2" s="1"/>
  <c r="G194" i="2" a="1"/>
  <c r="G194" i="2" s="1"/>
  <c r="G195" i="2" a="1"/>
  <c r="G195" i="2" s="1"/>
  <c r="G196" i="2" a="1"/>
  <c r="G196" i="2" s="1"/>
  <c r="G197" i="2" a="1"/>
  <c r="G197" i="2" s="1"/>
  <c r="G198" i="2" a="1"/>
  <c r="G198" i="2" s="1"/>
  <c r="G199" i="2" a="1"/>
  <c r="G199" i="2" s="1"/>
  <c r="G200" i="2" a="1"/>
  <c r="G200" i="2" s="1"/>
  <c r="G201" i="2" a="1"/>
  <c r="G201" i="2" s="1"/>
  <c r="G202" i="2" a="1"/>
  <c r="G202" i="2" s="1"/>
  <c r="G203" i="2" a="1"/>
  <c r="G203" i="2" s="1"/>
  <c r="G204" i="2" a="1"/>
  <c r="G204" i="2" s="1"/>
  <c r="G205" i="2" a="1"/>
  <c r="G205" i="2" s="1"/>
  <c r="G206" i="2" a="1"/>
  <c r="G206" i="2" s="1"/>
  <c r="G207" i="2" a="1"/>
  <c r="G207" i="2" s="1"/>
  <c r="G208" i="2" a="1"/>
  <c r="G208" i="2" s="1"/>
  <c r="G209" i="2" a="1"/>
  <c r="G209" i="2" s="1"/>
  <c r="G210" i="2" a="1"/>
  <c r="G210" i="2" s="1"/>
  <c r="G211" i="2" a="1"/>
  <c r="G211" i="2" s="1"/>
  <c r="G212" i="2" a="1"/>
  <c r="G212" i="2" s="1"/>
  <c r="G213" i="2" a="1"/>
  <c r="G213" i="2" s="1"/>
  <c r="G214" i="2" a="1"/>
  <c r="G214" i="2" s="1"/>
  <c r="G215" i="2" a="1"/>
  <c r="G215" i="2" s="1"/>
  <c r="G216" i="2" a="1"/>
  <c r="G216" i="2" s="1"/>
  <c r="G217" i="2" a="1"/>
  <c r="G217" i="2" s="1"/>
  <c r="G218" i="2" a="1"/>
  <c r="G218" i="2" s="1"/>
  <c r="G219" i="2" a="1"/>
  <c r="G219" i="2" s="1"/>
  <c r="G220" i="2" a="1"/>
  <c r="G220" i="2" s="1"/>
  <c r="G221" i="2" a="1"/>
  <c r="G221" i="2" s="1"/>
  <c r="G222" i="2" a="1"/>
  <c r="G222" i="2" s="1"/>
  <c r="G223" i="2" a="1"/>
  <c r="G223" i="2" s="1"/>
  <c r="G224" i="2" a="1"/>
  <c r="G224" i="2" s="1"/>
  <c r="G225" i="2" a="1"/>
  <c r="G225" i="2" s="1"/>
  <c r="G226" i="2" a="1"/>
  <c r="G226" i="2" s="1"/>
  <c r="G227" i="2" a="1"/>
  <c r="G227" i="2" s="1"/>
  <c r="G228" i="2" a="1"/>
  <c r="G228" i="2" s="1"/>
  <c r="G229" i="2" a="1"/>
  <c r="G229" i="2" s="1"/>
  <c r="G230" i="2" a="1"/>
  <c r="G230" i="2" s="1"/>
  <c r="G231" i="2" a="1"/>
  <c r="G231" i="2" s="1"/>
  <c r="G232" i="2" a="1"/>
  <c r="G232" i="2" s="1"/>
  <c r="G233" i="2" a="1"/>
  <c r="G233" i="2" s="1"/>
  <c r="G234" i="2" a="1"/>
  <c r="G234" i="2" s="1"/>
  <c r="G235" i="2" a="1"/>
  <c r="G235" i="2" s="1"/>
  <c r="G236" i="2" a="1"/>
  <c r="G236" i="2" s="1"/>
  <c r="G237" i="2" a="1"/>
  <c r="G237" i="2" s="1"/>
  <c r="G238" i="2" a="1"/>
  <c r="G238" i="2" s="1"/>
  <c r="G239" i="2" a="1"/>
  <c r="G239" i="2" s="1"/>
  <c r="G240" i="2" a="1"/>
  <c r="G240" i="2" s="1"/>
  <c r="G241" i="2" a="1"/>
  <c r="G241" i="2" s="1"/>
  <c r="G242" i="2" a="1"/>
  <c r="G242" i="2" s="1"/>
  <c r="G243" i="2" a="1"/>
  <c r="G243" i="2" s="1"/>
  <c r="G244" i="2" a="1"/>
  <c r="G244" i="2" s="1"/>
  <c r="G245" i="2" a="1"/>
  <c r="G245" i="2" s="1"/>
  <c r="G246" i="2" a="1"/>
  <c r="G246" i="2" s="1"/>
  <c r="G247" i="2" a="1"/>
  <c r="G247" i="2" s="1"/>
  <c r="G248" i="2" a="1"/>
  <c r="G248" i="2" s="1"/>
  <c r="G249" i="2" a="1"/>
  <c r="G249" i="2" s="1"/>
  <c r="G250" i="2" a="1"/>
  <c r="G250" i="2" s="1"/>
  <c r="G251" i="2" a="1"/>
  <c r="G251" i="2" s="1"/>
  <c r="G252" i="2" a="1"/>
  <c r="G252" i="2" s="1"/>
  <c r="G253" i="2" a="1"/>
  <c r="G253" i="2" s="1"/>
  <c r="G254" i="2" a="1"/>
  <c r="G254" i="2" s="1"/>
  <c r="G255" i="2" a="1"/>
  <c r="G255" i="2" s="1"/>
  <c r="G256" i="2" a="1"/>
  <c r="G256" i="2" s="1"/>
  <c r="G257" i="2" a="1"/>
  <c r="G257" i="2" s="1"/>
  <c r="G258" i="2" a="1"/>
  <c r="G258" i="2" s="1"/>
  <c r="G259" i="2" a="1"/>
  <c r="G259" i="2" s="1"/>
  <c r="G260" i="2" a="1"/>
  <c r="G260" i="2" s="1"/>
  <c r="G261" i="2" a="1"/>
  <c r="G261" i="2" s="1"/>
  <c r="G262" i="2" a="1"/>
  <c r="G262" i="2" s="1"/>
  <c r="G263" i="2" a="1"/>
  <c r="G263" i="2" s="1"/>
  <c r="G264" i="2" a="1"/>
  <c r="G264" i="2" s="1"/>
  <c r="G265" i="2" a="1"/>
  <c r="G265" i="2" s="1"/>
  <c r="G266" i="2" a="1"/>
  <c r="G266" i="2" s="1"/>
  <c r="G267" i="2" a="1"/>
  <c r="G267" i="2" s="1"/>
  <c r="G268" i="2" a="1"/>
  <c r="G268" i="2" s="1"/>
  <c r="G269" i="2" a="1"/>
  <c r="G269" i="2" s="1"/>
  <c r="G270" i="2" a="1"/>
  <c r="G270" i="2" s="1"/>
  <c r="G271" i="2" a="1"/>
  <c r="G271" i="2" s="1"/>
  <c r="G272" i="2" a="1"/>
  <c r="G272" i="2" s="1"/>
  <c r="G273" i="2" a="1"/>
  <c r="G273" i="2" s="1"/>
  <c r="G274" i="2" a="1"/>
  <c r="G274" i="2" s="1"/>
  <c r="G275" i="2" a="1"/>
  <c r="G275" i="2" s="1"/>
  <c r="G276" i="2" a="1"/>
  <c r="G276" i="2" s="1"/>
  <c r="G277" i="2" a="1"/>
  <c r="G277" i="2" s="1"/>
  <c r="G278" i="2" a="1"/>
  <c r="G278" i="2" s="1"/>
  <c r="G279" i="2" a="1"/>
  <c r="G279" i="2" s="1"/>
  <c r="G280" i="2" a="1"/>
  <c r="G280" i="2" s="1"/>
  <c r="G281" i="2" a="1"/>
  <c r="G281" i="2" s="1"/>
  <c r="G282" i="2" a="1"/>
  <c r="G282" i="2" s="1"/>
  <c r="G283" i="2" a="1"/>
  <c r="G283" i="2" s="1"/>
  <c r="G284" i="2" a="1"/>
  <c r="G284" i="2" s="1"/>
  <c r="G285" i="2" a="1"/>
  <c r="G285" i="2" s="1"/>
  <c r="G286" i="2" a="1"/>
  <c r="G286" i="2" s="1"/>
  <c r="G287" i="2" a="1"/>
  <c r="G287" i="2" s="1"/>
  <c r="G288" i="2" a="1"/>
  <c r="G288" i="2" s="1"/>
  <c r="G289" i="2" a="1"/>
  <c r="G289" i="2" s="1"/>
  <c r="G290" i="2" a="1"/>
  <c r="G290" i="2" s="1"/>
  <c r="G291" i="2" a="1"/>
  <c r="G291" i="2" s="1"/>
  <c r="G292" i="2" a="1"/>
  <c r="G292" i="2" s="1"/>
  <c r="G293" i="2" a="1"/>
  <c r="G293" i="2" s="1"/>
  <c r="G294" i="2" a="1"/>
  <c r="G294" i="2" s="1"/>
  <c r="G295" i="2" a="1"/>
  <c r="G295" i="2" s="1"/>
  <c r="G296" i="2" a="1"/>
  <c r="G296" i="2" s="1"/>
  <c r="G297" i="2" a="1"/>
  <c r="G297" i="2" s="1"/>
  <c r="G298" i="2" a="1"/>
  <c r="G298" i="2" s="1"/>
  <c r="G299" i="2" a="1"/>
  <c r="G299" i="2" s="1"/>
  <c r="G300" i="2" a="1"/>
  <c r="G300" i="2" s="1"/>
  <c r="G301" i="2" a="1"/>
  <c r="G301" i="2" s="1"/>
  <c r="G302" i="2" a="1"/>
  <c r="G302" i="2" s="1"/>
  <c r="G303" i="2" a="1"/>
  <c r="G303" i="2" s="1"/>
  <c r="G304" i="2" a="1"/>
  <c r="G304" i="2" s="1"/>
  <c r="G305" i="2" a="1"/>
  <c r="G305" i="2" s="1"/>
  <c r="G306" i="2" a="1"/>
  <c r="G306" i="2" s="1"/>
  <c r="G307" i="2" a="1"/>
  <c r="G307" i="2" s="1"/>
  <c r="G308" i="2" a="1"/>
  <c r="G308" i="2" s="1"/>
  <c r="G309" i="2" a="1"/>
  <c r="G309" i="2" s="1"/>
  <c r="G310" i="2" a="1"/>
  <c r="G310" i="2" s="1"/>
  <c r="G311" i="2" a="1"/>
  <c r="G311" i="2" s="1"/>
  <c r="G312" i="2" a="1"/>
  <c r="G312" i="2" s="1"/>
  <c r="G313" i="2" a="1"/>
  <c r="G313" i="2" s="1"/>
  <c r="G314" i="2" a="1"/>
  <c r="G314" i="2" s="1"/>
  <c r="G315" i="2" a="1"/>
  <c r="G315" i="2" s="1"/>
  <c r="G316" i="2" a="1"/>
  <c r="G316" i="2" s="1"/>
  <c r="G317" i="2" a="1"/>
  <c r="G317" i="2" s="1"/>
  <c r="G318" i="2" a="1"/>
  <c r="G318" i="2" s="1"/>
  <c r="G319" i="2" a="1"/>
  <c r="G319" i="2" s="1"/>
  <c r="G320" i="2" a="1"/>
  <c r="G320" i="2" s="1"/>
  <c r="G321" i="2" a="1"/>
  <c r="G321" i="2" s="1"/>
  <c r="G322" i="2" a="1"/>
  <c r="G322" i="2" s="1"/>
  <c r="G323" i="2" a="1"/>
  <c r="G323" i="2" s="1"/>
  <c r="G324" i="2" a="1"/>
  <c r="G324" i="2" s="1"/>
  <c r="G325" i="2" a="1"/>
  <c r="G325" i="2" s="1"/>
  <c r="G326" i="2" a="1"/>
  <c r="G326" i="2" s="1"/>
  <c r="G327" i="2" a="1"/>
  <c r="G327" i="2" s="1"/>
  <c r="G328" i="2" a="1"/>
  <c r="G328" i="2" s="1"/>
  <c r="G329" i="2" a="1"/>
  <c r="G329" i="2" s="1"/>
  <c r="G330" i="2" a="1"/>
  <c r="G330" i="2" s="1"/>
  <c r="G331" i="2" a="1"/>
  <c r="G331" i="2" s="1"/>
  <c r="G332" i="2" a="1"/>
  <c r="G332" i="2" s="1"/>
  <c r="G333" i="2" a="1"/>
  <c r="G333" i="2" s="1"/>
  <c r="G334" i="2" a="1"/>
  <c r="G334" i="2" s="1"/>
  <c r="G335" i="2" a="1"/>
  <c r="G335" i="2" s="1"/>
  <c r="G336" i="2" a="1"/>
  <c r="G336" i="2" s="1"/>
  <c r="G337" i="2" a="1"/>
  <c r="G337" i="2" s="1"/>
  <c r="G338" i="2" a="1"/>
  <c r="G338" i="2" s="1"/>
  <c r="G339" i="2" a="1"/>
  <c r="G339" i="2" s="1"/>
  <c r="G340" i="2" a="1"/>
  <c r="G340" i="2" s="1"/>
  <c r="G341" i="2" a="1"/>
  <c r="G341" i="2" s="1"/>
  <c r="G342" i="2" a="1"/>
  <c r="G342" i="2" s="1"/>
  <c r="G343" i="2" a="1"/>
  <c r="G343" i="2" s="1"/>
  <c r="G344" i="2" a="1"/>
  <c r="G344" i="2" s="1"/>
  <c r="G345" i="2" a="1"/>
  <c r="G345" i="2" s="1"/>
  <c r="G346" i="2" a="1"/>
  <c r="G346" i="2" s="1"/>
  <c r="G347" i="2" a="1"/>
  <c r="G347" i="2" s="1"/>
  <c r="G348" i="2" a="1"/>
  <c r="G348" i="2" s="1"/>
  <c r="G349" i="2" a="1"/>
  <c r="G349" i="2" s="1"/>
  <c r="G350" i="2" a="1"/>
  <c r="G350" i="2" s="1"/>
  <c r="G351" i="2" a="1"/>
  <c r="G351" i="2" s="1"/>
  <c r="G352" i="2" a="1"/>
  <c r="G352" i="2" s="1"/>
  <c r="G353" i="2" a="1"/>
  <c r="G353" i="2" s="1"/>
  <c r="G354" i="2" a="1"/>
  <c r="G354" i="2" s="1"/>
  <c r="G355" i="2" a="1"/>
  <c r="G355" i="2" s="1"/>
  <c r="G356" i="2" a="1"/>
  <c r="G356" i="2" s="1"/>
  <c r="G357" i="2" a="1"/>
  <c r="G357" i="2" s="1"/>
  <c r="G358" i="2" a="1"/>
  <c r="G358" i="2" s="1"/>
  <c r="G359" i="2" a="1"/>
  <c r="G359" i="2" s="1"/>
  <c r="G360" i="2" a="1"/>
  <c r="G360" i="2" s="1"/>
  <c r="G361" i="2" a="1"/>
  <c r="G361" i="2" s="1"/>
  <c r="G362" i="2" a="1"/>
  <c r="G362" i="2" s="1"/>
  <c r="G363" i="2" a="1"/>
  <c r="G363" i="2" s="1"/>
  <c r="G364" i="2" a="1"/>
  <c r="G364" i="2" s="1"/>
  <c r="G365" i="2" a="1"/>
  <c r="G365" i="2" s="1"/>
  <c r="G366" i="2" a="1"/>
  <c r="G366" i="2" s="1"/>
  <c r="G367" i="2" a="1"/>
  <c r="G367" i="2" s="1"/>
  <c r="G368" i="2" a="1"/>
  <c r="G368" i="2" s="1"/>
  <c r="G369" i="2" a="1"/>
  <c r="G369" i="2" s="1"/>
  <c r="G370" i="2" a="1"/>
  <c r="G370" i="2" s="1"/>
  <c r="G371" i="2" a="1"/>
  <c r="G371" i="2" s="1"/>
  <c r="G372" i="2" a="1"/>
  <c r="G372" i="2" s="1"/>
  <c r="G373" i="2" a="1"/>
  <c r="G373" i="2" s="1"/>
  <c r="G374" i="2" a="1"/>
  <c r="G374" i="2" s="1"/>
  <c r="G375" i="2" a="1"/>
  <c r="G375" i="2" s="1"/>
  <c r="G376" i="2" a="1"/>
  <c r="G376" i="2" s="1"/>
  <c r="G377" i="2" a="1"/>
  <c r="G377" i="2" s="1"/>
  <c r="G378" i="2" a="1"/>
  <c r="G378" i="2" s="1"/>
  <c r="G379" i="2" a="1"/>
  <c r="G379" i="2" s="1"/>
  <c r="G380" i="2" a="1"/>
  <c r="G380" i="2" s="1"/>
  <c r="G381" i="2" a="1"/>
  <c r="G381" i="2" s="1"/>
  <c r="G382" i="2" a="1"/>
  <c r="G382" i="2" s="1"/>
  <c r="G383" i="2" a="1"/>
  <c r="G383" i="2" s="1"/>
  <c r="G384" i="2" a="1"/>
  <c r="G384" i="2" s="1"/>
  <c r="G385" i="2" a="1"/>
  <c r="G385" i="2" s="1"/>
  <c r="G386" i="2" a="1"/>
  <c r="G386" i="2" s="1"/>
  <c r="G387" i="2" a="1"/>
  <c r="G387" i="2" s="1"/>
  <c r="G388" i="2" a="1"/>
  <c r="G388" i="2" s="1"/>
  <c r="G389" i="2" a="1"/>
  <c r="G389" i="2" s="1"/>
  <c r="G390" i="2" a="1"/>
  <c r="G390" i="2" s="1"/>
  <c r="G391" i="2" a="1"/>
  <c r="G391" i="2" s="1"/>
  <c r="G392" i="2" a="1"/>
  <c r="G392" i="2" s="1"/>
  <c r="G393" i="2" a="1"/>
  <c r="G393" i="2" s="1"/>
  <c r="G394" i="2" a="1"/>
  <c r="G394" i="2" s="1"/>
  <c r="G395" i="2" a="1"/>
  <c r="G395" i="2" s="1"/>
  <c r="G396" i="2" a="1"/>
  <c r="G396" i="2" s="1"/>
  <c r="G397" i="2" a="1"/>
  <c r="G397" i="2" s="1"/>
  <c r="G398" i="2" a="1"/>
  <c r="G398" i="2" s="1"/>
  <c r="G399" i="2" a="1"/>
  <c r="G399" i="2" s="1"/>
  <c r="G400" i="2" a="1"/>
  <c r="G400" i="2" s="1"/>
  <c r="G401" i="2" a="1"/>
  <c r="G401" i="2" s="1"/>
  <c r="G402" i="2" a="1"/>
  <c r="G402" i="2" s="1"/>
  <c r="G403" i="2" a="1"/>
  <c r="G403" i="2" s="1"/>
  <c r="G404" i="2" a="1"/>
  <c r="G404" i="2" s="1"/>
  <c r="G405" i="2" a="1"/>
  <c r="G405" i="2" s="1"/>
  <c r="G406" i="2" a="1"/>
  <c r="G406" i="2" s="1"/>
  <c r="G407" i="2" a="1"/>
  <c r="G407" i="2" s="1"/>
  <c r="G408" i="2" a="1"/>
  <c r="G408" i="2" s="1"/>
  <c r="G409" i="2" a="1"/>
  <c r="G409" i="2" s="1"/>
  <c r="G410" i="2" a="1"/>
  <c r="G410" i="2" s="1"/>
  <c r="G411" i="2" a="1"/>
  <c r="G411" i="2" s="1"/>
  <c r="G412" i="2" a="1"/>
  <c r="G412" i="2" s="1"/>
  <c r="G413" i="2" a="1"/>
  <c r="G413" i="2" s="1"/>
  <c r="G414" i="2" a="1"/>
  <c r="G414" i="2" s="1"/>
  <c r="G415" i="2" a="1"/>
  <c r="G415" i="2" s="1"/>
  <c r="G416" i="2" a="1"/>
  <c r="G416" i="2" s="1"/>
  <c r="G417" i="2" a="1"/>
  <c r="G417" i="2" s="1"/>
  <c r="G418" i="2" a="1"/>
  <c r="G418" i="2" s="1"/>
  <c r="G419" i="2" a="1"/>
  <c r="G419" i="2" s="1"/>
  <c r="G420" i="2" a="1"/>
  <c r="G420" i="2" s="1"/>
  <c r="G421" i="2" a="1"/>
  <c r="G421" i="2" s="1"/>
  <c r="G422" i="2" a="1"/>
  <c r="G422" i="2" s="1"/>
  <c r="G423" i="2" a="1"/>
  <c r="G423" i="2" s="1"/>
  <c r="G424" i="2" a="1"/>
  <c r="G424" i="2" s="1"/>
  <c r="G425" i="2" a="1"/>
  <c r="G425" i="2" s="1"/>
  <c r="G426" i="2" a="1"/>
  <c r="G426" i="2" s="1"/>
  <c r="G427" i="2" a="1"/>
  <c r="G427" i="2" s="1"/>
  <c r="G428" i="2" a="1"/>
  <c r="G428" i="2" s="1"/>
  <c r="G429" i="2" a="1"/>
  <c r="G429" i="2" s="1"/>
  <c r="G430" i="2" a="1"/>
  <c r="G430" i="2" s="1"/>
  <c r="G431" i="2" a="1"/>
  <c r="G431" i="2" s="1"/>
  <c r="G432" i="2" a="1"/>
  <c r="G432" i="2" s="1"/>
  <c r="G433" i="2" a="1"/>
  <c r="G433" i="2" s="1"/>
  <c r="G434" i="2" a="1"/>
  <c r="G434" i="2" s="1"/>
  <c r="G435" i="2" a="1"/>
  <c r="G435" i="2" s="1"/>
  <c r="G436" i="2" a="1"/>
  <c r="G436" i="2" s="1"/>
  <c r="G437" i="2" a="1"/>
  <c r="G437" i="2" s="1"/>
  <c r="G438" i="2" a="1"/>
  <c r="G438" i="2" s="1"/>
  <c r="G439" i="2" a="1"/>
  <c r="G439" i="2" s="1"/>
  <c r="G440" i="2" a="1"/>
  <c r="G440" i="2" s="1"/>
  <c r="G441" i="2" a="1"/>
  <c r="G441" i="2" s="1"/>
  <c r="G442" i="2" a="1"/>
  <c r="G442" i="2" s="1"/>
  <c r="G443" i="2" a="1"/>
  <c r="G443" i="2" s="1"/>
  <c r="G444" i="2" a="1"/>
  <c r="G444" i="2" s="1"/>
  <c r="G445" i="2" a="1"/>
  <c r="G445" i="2" s="1"/>
  <c r="G446" i="2" a="1"/>
  <c r="G446" i="2" s="1"/>
  <c r="G447" i="2" a="1"/>
  <c r="G447" i="2" s="1"/>
  <c r="G448" i="2" a="1"/>
  <c r="G448" i="2" s="1"/>
  <c r="G449" i="2" a="1"/>
  <c r="G449" i="2" s="1"/>
  <c r="G450" i="2" a="1"/>
  <c r="G450" i="2" s="1"/>
  <c r="G451" i="2" a="1"/>
  <c r="G451" i="2" s="1"/>
  <c r="G452" i="2" a="1"/>
  <c r="G452" i="2" s="1"/>
  <c r="G453" i="2" a="1"/>
  <c r="G453" i="2" s="1"/>
  <c r="G454" i="2" a="1"/>
  <c r="G454" i="2" s="1"/>
  <c r="G455" i="2" a="1"/>
  <c r="G455" i="2" s="1"/>
  <c r="G456" i="2" a="1"/>
  <c r="G456" i="2" s="1"/>
  <c r="G457" i="2" a="1"/>
  <c r="G457" i="2" s="1"/>
  <c r="G458" i="2" a="1"/>
  <c r="G458" i="2" s="1"/>
  <c r="G459" i="2" a="1"/>
  <c r="G459" i="2" s="1"/>
  <c r="G460" i="2" a="1"/>
  <c r="G460" i="2" s="1"/>
  <c r="G461" i="2" a="1"/>
  <c r="G461" i="2" s="1"/>
  <c r="G462" i="2" a="1"/>
  <c r="G462" i="2" s="1"/>
  <c r="G463" i="2" a="1"/>
  <c r="G463" i="2" s="1"/>
  <c r="G464" i="2" a="1"/>
  <c r="G464" i="2" s="1"/>
  <c r="G465" i="2" a="1"/>
  <c r="G465" i="2" s="1"/>
  <c r="G466" i="2" a="1"/>
  <c r="G466" i="2" s="1"/>
  <c r="G467" i="2" a="1"/>
  <c r="G467" i="2" s="1"/>
  <c r="G468" i="2" a="1"/>
  <c r="G468" i="2" s="1"/>
  <c r="G469" i="2" a="1"/>
  <c r="G469" i="2" s="1"/>
  <c r="G470" i="2" a="1"/>
  <c r="G470" i="2" s="1"/>
  <c r="G471" i="2" a="1"/>
  <c r="G471" i="2" s="1"/>
  <c r="G472" i="2" a="1"/>
  <c r="G472" i="2" s="1"/>
  <c r="G473" i="2" a="1"/>
  <c r="G473" i="2" s="1"/>
  <c r="G474" i="2" a="1"/>
  <c r="G474" i="2" s="1"/>
  <c r="G475" i="2" a="1"/>
  <c r="G475" i="2" s="1"/>
  <c r="G476" i="2" a="1"/>
  <c r="G476" i="2" s="1"/>
  <c r="G477" i="2" a="1"/>
  <c r="G477" i="2" s="1"/>
  <c r="G478" i="2" a="1"/>
  <c r="G478" i="2" s="1"/>
  <c r="G479" i="2" a="1"/>
  <c r="G479" i="2" s="1"/>
  <c r="G480" i="2" a="1"/>
  <c r="G480" i="2" s="1"/>
  <c r="G481" i="2" a="1"/>
  <c r="G481" i="2" s="1"/>
  <c r="G482" i="2" a="1"/>
  <c r="G482" i="2" s="1"/>
  <c r="G483" i="2" a="1"/>
  <c r="G483" i="2" s="1"/>
  <c r="G484" i="2" a="1"/>
  <c r="G484" i="2" s="1"/>
  <c r="G485" i="2" a="1"/>
  <c r="G485" i="2" s="1"/>
  <c r="G486" i="2" a="1"/>
  <c r="G486" i="2" s="1"/>
  <c r="G487" i="2" a="1"/>
  <c r="G487" i="2" s="1"/>
  <c r="G488" i="2" a="1"/>
  <c r="G488" i="2" s="1"/>
  <c r="G489" i="2" a="1"/>
  <c r="G489" i="2" s="1"/>
  <c r="G490" i="2" a="1"/>
  <c r="G490" i="2" s="1"/>
  <c r="G491" i="2" a="1"/>
  <c r="G491" i="2" s="1"/>
  <c r="G492" i="2" a="1"/>
  <c r="G492" i="2" s="1"/>
  <c r="G493" i="2" a="1"/>
  <c r="G493" i="2" s="1"/>
  <c r="G494" i="2" a="1"/>
  <c r="G494" i="2" s="1"/>
  <c r="G495" i="2" a="1"/>
  <c r="G495" i="2" s="1"/>
  <c r="G496" i="2" a="1"/>
  <c r="G496" i="2" s="1"/>
  <c r="G497" i="2" a="1"/>
  <c r="G497" i="2" s="1"/>
  <c r="G498" i="2" a="1"/>
  <c r="G498" i="2" s="1"/>
  <c r="G499" i="2" a="1"/>
  <c r="G499" i="2" s="1"/>
  <c r="G500" i="2" a="1"/>
  <c r="G500" i="2" s="1"/>
  <c r="G501" i="2" a="1"/>
  <c r="G501" i="2" s="1"/>
  <c r="G502" i="2" a="1"/>
  <c r="G502" i="2" s="1"/>
  <c r="G503" i="2" a="1"/>
  <c r="G503" i="2" s="1"/>
  <c r="G504" i="2" a="1"/>
  <c r="G504" i="2" s="1"/>
  <c r="G505" i="2" a="1"/>
  <c r="G505" i="2" s="1"/>
  <c r="G506" i="2" a="1"/>
  <c r="G506" i="2" s="1"/>
  <c r="G507" i="2" a="1"/>
  <c r="G507" i="2" s="1"/>
  <c r="G508" i="2" a="1"/>
  <c r="G508" i="2" s="1"/>
  <c r="G509" i="2" a="1"/>
  <c r="G509" i="2" s="1"/>
  <c r="G510" i="2" a="1"/>
  <c r="G510" i="2" s="1"/>
  <c r="G511" i="2" a="1"/>
  <c r="G511" i="2" s="1"/>
  <c r="G512" i="2" a="1"/>
  <c r="G512" i="2" s="1"/>
  <c r="G513" i="2" a="1"/>
  <c r="G513" i="2" s="1"/>
  <c r="G514" i="2" a="1"/>
  <c r="G514" i="2" s="1"/>
  <c r="G515" i="2" a="1"/>
  <c r="G515" i="2" s="1"/>
  <c r="G516" i="2" a="1"/>
  <c r="G516" i="2" s="1"/>
  <c r="G517" i="2" a="1"/>
  <c r="G517" i="2" s="1"/>
  <c r="G518" i="2" a="1"/>
  <c r="G518" i="2" s="1"/>
  <c r="G519" i="2" a="1"/>
  <c r="G519" i="2" s="1"/>
  <c r="G520" i="2" a="1"/>
  <c r="G520" i="2" s="1"/>
  <c r="G521" i="2" a="1"/>
  <c r="G521" i="2" s="1"/>
  <c r="G522" i="2" a="1"/>
  <c r="G522" i="2" s="1"/>
  <c r="G523" i="2" a="1"/>
  <c r="G523" i="2" s="1"/>
  <c r="G524" i="2" a="1"/>
  <c r="G524" i="2" s="1"/>
  <c r="G525" i="2" a="1"/>
  <c r="G525" i="2" s="1"/>
  <c r="G526" i="2" a="1"/>
  <c r="G526" i="2" s="1"/>
  <c r="G527" i="2" a="1"/>
  <c r="G527" i="2" s="1"/>
  <c r="G528" i="2" a="1"/>
  <c r="G528" i="2" s="1"/>
  <c r="G529" i="2" a="1"/>
  <c r="G529" i="2" s="1"/>
  <c r="G530" i="2" a="1"/>
  <c r="G530" i="2" s="1"/>
  <c r="G531" i="2" a="1"/>
  <c r="G531" i="2" s="1"/>
  <c r="G532" i="2" a="1"/>
  <c r="G532" i="2" s="1"/>
  <c r="G533" i="2" a="1"/>
  <c r="G533" i="2" s="1"/>
  <c r="G534" i="2" a="1"/>
  <c r="G534" i="2" s="1"/>
  <c r="G535" i="2" a="1"/>
  <c r="G535" i="2" s="1"/>
  <c r="G536" i="2" a="1"/>
  <c r="G536" i="2" s="1"/>
  <c r="G537" i="2" a="1"/>
  <c r="G537" i="2" s="1"/>
  <c r="G538" i="2" a="1"/>
  <c r="G538" i="2" s="1"/>
  <c r="G539" i="2" a="1"/>
  <c r="G539" i="2" s="1"/>
  <c r="G540" i="2" a="1"/>
  <c r="G540" i="2" s="1"/>
  <c r="G541" i="2" a="1"/>
  <c r="G541" i="2" s="1"/>
  <c r="G542" i="2" a="1"/>
  <c r="G542" i="2" s="1"/>
  <c r="G543" i="2" a="1"/>
  <c r="G543" i="2" s="1"/>
  <c r="G544" i="2" a="1"/>
  <c r="G544" i="2" s="1"/>
  <c r="G545" i="2" a="1"/>
  <c r="G545" i="2" s="1"/>
  <c r="G546" i="2" a="1"/>
  <c r="G546" i="2" s="1"/>
  <c r="G547" i="2" a="1"/>
  <c r="G547" i="2" s="1"/>
  <c r="G548" i="2" a="1"/>
  <c r="G548" i="2" s="1"/>
  <c r="G549" i="2" a="1"/>
  <c r="G549" i="2" s="1"/>
  <c r="G550" i="2" a="1"/>
  <c r="G550" i="2" s="1"/>
  <c r="G551" i="2" a="1"/>
  <c r="G551" i="2" s="1"/>
  <c r="G552" i="2" a="1"/>
  <c r="G552" i="2" s="1"/>
  <c r="G553" i="2" a="1"/>
  <c r="G553" i="2" s="1"/>
  <c r="G554" i="2" a="1"/>
  <c r="G554" i="2" s="1"/>
  <c r="G555" i="2" a="1"/>
  <c r="G555" i="2" s="1"/>
  <c r="G556" i="2" a="1"/>
  <c r="G556" i="2" s="1"/>
  <c r="G557" i="2" a="1"/>
  <c r="G557" i="2" s="1"/>
  <c r="G558" i="2" a="1"/>
  <c r="G558" i="2" s="1"/>
  <c r="G559" i="2" a="1"/>
  <c r="G559" i="2" s="1"/>
  <c r="G560" i="2" a="1"/>
  <c r="G560" i="2" s="1"/>
  <c r="G561" i="2" a="1"/>
  <c r="G561" i="2" s="1"/>
  <c r="G562" i="2" a="1"/>
  <c r="G562" i="2" s="1"/>
  <c r="G563" i="2" a="1"/>
  <c r="G563" i="2" s="1"/>
  <c r="G564" i="2" a="1"/>
  <c r="G564" i="2" s="1"/>
  <c r="G565" i="2" a="1"/>
  <c r="G565" i="2" s="1"/>
  <c r="G566" i="2" a="1"/>
  <c r="G566" i="2" s="1"/>
  <c r="G567" i="2" a="1"/>
  <c r="G567" i="2" s="1"/>
  <c r="G568" i="2" a="1"/>
  <c r="G568" i="2" s="1"/>
  <c r="G569" i="2" a="1"/>
  <c r="G569" i="2" s="1"/>
  <c r="G570" i="2" a="1"/>
  <c r="G570" i="2" s="1"/>
  <c r="G571" i="2" a="1"/>
  <c r="G571" i="2" s="1"/>
  <c r="G572" i="2" a="1"/>
  <c r="G572" i="2" s="1"/>
  <c r="G573" i="2" a="1"/>
  <c r="G573" i="2" s="1"/>
  <c r="G574" i="2" a="1"/>
  <c r="G574" i="2" s="1"/>
  <c r="G575" i="2" a="1"/>
  <c r="G575" i="2" s="1"/>
  <c r="G576" i="2" a="1"/>
  <c r="G576" i="2" s="1"/>
  <c r="G577" i="2" a="1"/>
  <c r="G577" i="2" s="1"/>
  <c r="G578" i="2" a="1"/>
  <c r="G578" i="2" s="1"/>
  <c r="G579" i="2" a="1"/>
  <c r="G579" i="2" s="1"/>
  <c r="G580" i="2" a="1"/>
  <c r="G580" i="2" s="1"/>
  <c r="G581" i="2" a="1"/>
  <c r="G581" i="2" s="1"/>
  <c r="G582" i="2" a="1"/>
  <c r="G582" i="2" s="1"/>
  <c r="G583" i="2" a="1"/>
  <c r="G583" i="2" s="1"/>
  <c r="G584" i="2" a="1"/>
  <c r="G584" i="2" s="1"/>
  <c r="G585" i="2" a="1"/>
  <c r="G585" i="2" s="1"/>
  <c r="G586" i="2" a="1"/>
  <c r="G586" i="2" s="1"/>
  <c r="G587" i="2" a="1"/>
  <c r="G587" i="2" s="1"/>
  <c r="G588" i="2" a="1"/>
  <c r="G588" i="2" s="1"/>
  <c r="G589" i="2" a="1"/>
  <c r="G589" i="2" s="1"/>
  <c r="G590" i="2" a="1"/>
  <c r="G590" i="2" s="1"/>
  <c r="G591" i="2" a="1"/>
  <c r="G591" i="2" s="1"/>
  <c r="G592" i="2" a="1"/>
  <c r="G592" i="2" s="1"/>
  <c r="G593" i="2" a="1"/>
  <c r="G593" i="2" s="1"/>
  <c r="G594" i="2" a="1"/>
  <c r="G594" i="2" s="1"/>
  <c r="G595" i="2" a="1"/>
  <c r="G595" i="2" s="1"/>
  <c r="G596" i="2" a="1"/>
  <c r="G596" i="2" s="1"/>
  <c r="G597" i="2" a="1"/>
  <c r="G597" i="2" s="1"/>
  <c r="G598" i="2" a="1"/>
  <c r="G598" i="2" s="1"/>
  <c r="G599" i="2" a="1"/>
  <c r="G599" i="2" s="1"/>
  <c r="G600" i="2" a="1"/>
  <c r="G600" i="2" s="1"/>
  <c r="G601" i="2" a="1"/>
  <c r="G601" i="2" s="1"/>
  <c r="G602" i="2" a="1"/>
  <c r="G602" i="2" s="1"/>
  <c r="G603" i="2" a="1"/>
  <c r="G603" i="2" s="1"/>
  <c r="G604" i="2" a="1"/>
  <c r="G604" i="2" s="1"/>
  <c r="G605" i="2" a="1"/>
  <c r="G605" i="2" s="1"/>
  <c r="G606" i="2" a="1"/>
  <c r="G606" i="2" s="1"/>
  <c r="G607" i="2" a="1"/>
  <c r="G607" i="2" s="1"/>
  <c r="G608" i="2" a="1"/>
  <c r="G608" i="2" s="1"/>
  <c r="G609" i="2" a="1"/>
  <c r="G609" i="2" s="1"/>
  <c r="G610" i="2" a="1"/>
  <c r="G610" i="2" s="1"/>
  <c r="G611" i="2" a="1"/>
  <c r="G611" i="2" s="1"/>
  <c r="G612" i="2" a="1"/>
  <c r="G612" i="2" s="1"/>
  <c r="G613" i="2" a="1"/>
  <c r="G613" i="2" s="1"/>
  <c r="G614" i="2" a="1"/>
  <c r="G614" i="2" s="1"/>
  <c r="G615" i="2" a="1"/>
  <c r="G615" i="2" s="1"/>
  <c r="G616" i="2" a="1"/>
  <c r="G616" i="2" s="1"/>
  <c r="G617" i="2" a="1"/>
  <c r="G617" i="2" s="1"/>
  <c r="G618" i="2" a="1"/>
  <c r="G618" i="2" s="1"/>
  <c r="G619" i="2" a="1"/>
  <c r="G619" i="2" s="1"/>
  <c r="G620" i="2" a="1"/>
  <c r="G620" i="2" s="1"/>
  <c r="G621" i="2" a="1"/>
  <c r="G621" i="2" s="1"/>
  <c r="G622" i="2" a="1"/>
  <c r="G622" i="2" s="1"/>
  <c r="G623" i="2" a="1"/>
  <c r="G623" i="2" s="1"/>
  <c r="G624" i="2" a="1"/>
  <c r="G624" i="2" s="1"/>
  <c r="G625" i="2" a="1"/>
  <c r="G625" i="2" s="1"/>
  <c r="G626" i="2" a="1"/>
  <c r="G626" i="2" s="1"/>
  <c r="G627" i="2" a="1"/>
  <c r="G627" i="2" s="1"/>
  <c r="G628" i="2" a="1"/>
  <c r="G628" i="2" s="1"/>
  <c r="G629" i="2" a="1"/>
  <c r="G629" i="2" s="1"/>
  <c r="G630" i="2" a="1"/>
  <c r="G630" i="2" s="1"/>
  <c r="G631" i="2" a="1"/>
  <c r="G631" i="2" s="1"/>
  <c r="G632" i="2" a="1"/>
  <c r="G632" i="2" s="1"/>
  <c r="G633" i="2" a="1"/>
  <c r="G633" i="2" s="1"/>
  <c r="G634" i="2" a="1"/>
  <c r="G634" i="2" s="1"/>
  <c r="G635" i="2" a="1"/>
  <c r="G635" i="2" s="1"/>
  <c r="G636" i="2" a="1"/>
  <c r="G636" i="2" s="1"/>
  <c r="G637" i="2" a="1"/>
  <c r="G637" i="2" s="1"/>
  <c r="G638" i="2" a="1"/>
  <c r="G638" i="2" s="1"/>
  <c r="G639" i="2" a="1"/>
  <c r="G639" i="2" s="1"/>
  <c r="G640" i="2" a="1"/>
  <c r="G640" i="2" s="1"/>
  <c r="G641" i="2" a="1"/>
  <c r="G641" i="2" s="1"/>
  <c r="G642" i="2" a="1"/>
  <c r="G642" i="2" s="1"/>
  <c r="G643" i="2" a="1"/>
  <c r="G643" i="2" s="1"/>
  <c r="G644" i="2" a="1"/>
  <c r="G644" i="2" s="1"/>
  <c r="G645" i="2" a="1"/>
  <c r="G645" i="2" s="1"/>
  <c r="G646" i="2" a="1"/>
  <c r="G646" i="2" s="1"/>
  <c r="G647" i="2" a="1"/>
  <c r="G647" i="2" s="1"/>
  <c r="G648" i="2" a="1"/>
  <c r="G648" i="2" s="1"/>
  <c r="G649" i="2" a="1"/>
  <c r="G649" i="2" s="1"/>
  <c r="G650" i="2" a="1"/>
  <c r="G650" i="2" s="1"/>
  <c r="G651" i="2" a="1"/>
  <c r="G651" i="2" s="1"/>
  <c r="G652" i="2" a="1"/>
  <c r="G652" i="2" s="1"/>
  <c r="G653" i="2" a="1"/>
  <c r="G653" i="2" s="1"/>
  <c r="G654" i="2" a="1"/>
  <c r="G654" i="2" s="1"/>
  <c r="G655" i="2" a="1"/>
  <c r="G655" i="2" s="1"/>
  <c r="G656" i="2" a="1"/>
  <c r="G656" i="2" s="1"/>
  <c r="G657" i="2" a="1"/>
  <c r="G657" i="2" s="1"/>
  <c r="G658" i="2" a="1"/>
  <c r="G658" i="2" s="1"/>
  <c r="G659" i="2" a="1"/>
  <c r="G659" i="2" s="1"/>
  <c r="G660" i="2" a="1"/>
  <c r="G660" i="2" s="1"/>
  <c r="G661" i="2" a="1"/>
  <c r="G661" i="2" s="1"/>
  <c r="G662" i="2" a="1"/>
  <c r="G662" i="2" s="1"/>
  <c r="G663" i="2" a="1"/>
  <c r="G663" i="2" s="1"/>
  <c r="G664" i="2" a="1"/>
  <c r="G664" i="2" s="1"/>
  <c r="G665" i="2" a="1"/>
  <c r="G665" i="2" s="1"/>
  <c r="G666" i="2" a="1"/>
  <c r="G666" i="2" s="1"/>
  <c r="G667" i="2" a="1"/>
  <c r="G667" i="2" s="1"/>
  <c r="G668" i="2" a="1"/>
  <c r="G668" i="2" s="1"/>
  <c r="G669" i="2" a="1"/>
  <c r="G669" i="2" s="1"/>
  <c r="G670" i="2" a="1"/>
  <c r="G670" i="2" s="1"/>
  <c r="G671" i="2" a="1"/>
  <c r="G671" i="2" s="1"/>
  <c r="G672" i="2" a="1"/>
  <c r="G672" i="2" s="1"/>
  <c r="G673" i="2" a="1"/>
  <c r="G673" i="2" s="1"/>
  <c r="G674" i="2" a="1"/>
  <c r="G674" i="2" s="1"/>
  <c r="G675" i="2" a="1"/>
  <c r="G675" i="2" s="1"/>
  <c r="G676" i="2" a="1"/>
  <c r="G676" i="2" s="1"/>
  <c r="G677" i="2" a="1"/>
  <c r="G677" i="2" s="1"/>
  <c r="G678" i="2" a="1"/>
  <c r="G678" i="2" s="1"/>
  <c r="G679" i="2" a="1"/>
  <c r="G679" i="2" s="1"/>
  <c r="G680" i="2" a="1"/>
  <c r="G680" i="2" s="1"/>
  <c r="G681" i="2" a="1"/>
  <c r="G681" i="2" s="1"/>
  <c r="G682" i="2" a="1"/>
  <c r="G682" i="2" s="1"/>
  <c r="G683" i="2" a="1"/>
  <c r="G683" i="2" s="1"/>
  <c r="G684" i="2" a="1"/>
  <c r="G684" i="2" s="1"/>
  <c r="G685" i="2" a="1"/>
  <c r="G685" i="2" s="1"/>
  <c r="G686" i="2" a="1"/>
  <c r="G686" i="2" s="1"/>
  <c r="G687" i="2" a="1"/>
  <c r="G687" i="2" s="1"/>
  <c r="G688" i="2" a="1"/>
  <c r="G688" i="2" s="1"/>
  <c r="G689" i="2" a="1"/>
  <c r="G689" i="2" s="1"/>
  <c r="G690" i="2" a="1"/>
  <c r="G690" i="2" s="1"/>
  <c r="G691" i="2" a="1"/>
  <c r="G691" i="2" s="1"/>
  <c r="G692" i="2" a="1"/>
  <c r="G692" i="2" s="1"/>
  <c r="G693" i="2" a="1"/>
  <c r="G693" i="2" s="1"/>
  <c r="G694" i="2" a="1"/>
  <c r="G694" i="2" s="1"/>
  <c r="G695" i="2" a="1"/>
  <c r="G695" i="2" s="1"/>
  <c r="G696" i="2" a="1"/>
  <c r="G696" i="2" s="1"/>
  <c r="G697" i="2" a="1"/>
  <c r="G697" i="2" s="1"/>
  <c r="G698" i="2" a="1"/>
  <c r="G698" i="2" s="1"/>
  <c r="G699" i="2" a="1"/>
  <c r="G699" i="2" s="1"/>
  <c r="G700" i="2" a="1"/>
  <c r="G700" i="2" s="1"/>
  <c r="G701" i="2" a="1"/>
  <c r="G701" i="2" s="1"/>
  <c r="G702" i="2" a="1"/>
  <c r="G702" i="2" s="1"/>
  <c r="G703" i="2" a="1"/>
  <c r="G703" i="2" s="1"/>
  <c r="G704" i="2" a="1"/>
  <c r="G704" i="2" s="1"/>
  <c r="G705" i="2" a="1"/>
  <c r="G705" i="2" s="1"/>
  <c r="G706" i="2" a="1"/>
  <c r="G706" i="2" s="1"/>
  <c r="G707" i="2" a="1"/>
  <c r="G707" i="2" s="1"/>
  <c r="G708" i="2" a="1"/>
  <c r="G708" i="2" s="1"/>
  <c r="G709" i="2" a="1"/>
  <c r="G709" i="2" s="1"/>
  <c r="G710" i="2" a="1"/>
  <c r="G710" i="2" s="1"/>
  <c r="G711" i="2" a="1"/>
  <c r="G711" i="2" s="1"/>
  <c r="G712" i="2" a="1"/>
  <c r="G712" i="2" s="1"/>
  <c r="G713" i="2" a="1"/>
  <c r="G713" i="2" s="1"/>
  <c r="G714" i="2" a="1"/>
  <c r="G714" i="2" s="1"/>
  <c r="G715" i="2" a="1"/>
  <c r="G715" i="2" s="1"/>
  <c r="G716" i="2" a="1"/>
  <c r="G716" i="2" s="1"/>
  <c r="G717" i="2" a="1"/>
  <c r="G717" i="2" s="1"/>
  <c r="G718" i="2" a="1"/>
  <c r="G718" i="2" s="1"/>
  <c r="G719" i="2" a="1"/>
  <c r="G719" i="2" s="1"/>
  <c r="G720" i="2" a="1"/>
  <c r="G720" i="2" s="1"/>
  <c r="G721" i="2" a="1"/>
  <c r="G721" i="2" s="1"/>
  <c r="G722" i="2" a="1"/>
  <c r="G722" i="2" s="1"/>
  <c r="G723" i="2" a="1"/>
  <c r="G723" i="2" s="1"/>
  <c r="G724" i="2" a="1"/>
  <c r="G724" i="2" s="1"/>
  <c r="G725" i="2" a="1"/>
  <c r="G725" i="2" s="1"/>
  <c r="G726" i="2" a="1"/>
  <c r="G726" i="2" s="1"/>
  <c r="G727" i="2" a="1"/>
  <c r="G727" i="2" s="1"/>
  <c r="G728" i="2" a="1"/>
  <c r="G728" i="2" s="1"/>
  <c r="G729" i="2" a="1"/>
  <c r="G729" i="2" s="1"/>
  <c r="G730" i="2" a="1"/>
  <c r="G730" i="2" s="1"/>
  <c r="G731" i="2" a="1"/>
  <c r="G731" i="2" s="1"/>
  <c r="G732" i="2" a="1"/>
  <c r="G732" i="2" s="1"/>
  <c r="G733" i="2" a="1"/>
  <c r="G733" i="2" s="1"/>
  <c r="G734" i="2" a="1"/>
  <c r="G734" i="2" s="1"/>
  <c r="G735" i="2" a="1"/>
  <c r="G735" i="2" s="1"/>
  <c r="G736" i="2" a="1"/>
  <c r="G736" i="2" s="1"/>
  <c r="G737" i="2" a="1"/>
  <c r="G737" i="2" s="1"/>
  <c r="G738" i="2" a="1"/>
  <c r="G738" i="2" s="1"/>
  <c r="G739" i="2" a="1"/>
  <c r="G739" i="2" s="1"/>
  <c r="G740" i="2" a="1"/>
  <c r="G740" i="2" s="1"/>
  <c r="G741" i="2" a="1"/>
  <c r="G741" i="2" s="1"/>
  <c r="G742" i="2" a="1"/>
  <c r="G742" i="2" s="1"/>
  <c r="G743" i="2" a="1"/>
  <c r="G743" i="2" s="1"/>
  <c r="G744" i="2" a="1"/>
  <c r="G744" i="2" s="1"/>
  <c r="G745" i="2" a="1"/>
  <c r="G745" i="2" s="1"/>
  <c r="G746" i="2" a="1"/>
  <c r="G746" i="2" s="1"/>
  <c r="G747" i="2" a="1"/>
  <c r="G747" i="2" s="1"/>
  <c r="G748" i="2" a="1"/>
  <c r="G748" i="2" s="1"/>
  <c r="G749" i="2" a="1"/>
  <c r="G749" i="2" s="1"/>
  <c r="G750" i="2" a="1"/>
  <c r="G750" i="2" s="1"/>
  <c r="G751" i="2" a="1"/>
  <c r="G751" i="2" s="1"/>
  <c r="G752" i="2" a="1"/>
  <c r="G752" i="2" s="1"/>
  <c r="G753" i="2" a="1"/>
  <c r="G753" i="2" s="1"/>
  <c r="G754" i="2" a="1"/>
  <c r="G754" i="2" s="1"/>
  <c r="G755" i="2" a="1"/>
  <c r="G755" i="2" s="1"/>
  <c r="G756" i="2" a="1"/>
  <c r="G756" i="2" s="1"/>
  <c r="G757" i="2" a="1"/>
  <c r="G757" i="2" s="1"/>
  <c r="G758" i="2" a="1"/>
  <c r="G758" i="2" s="1"/>
  <c r="G759" i="2" a="1"/>
  <c r="G759" i="2" s="1"/>
  <c r="G760" i="2" a="1"/>
  <c r="G760" i="2" s="1"/>
  <c r="G761" i="2" a="1"/>
  <c r="G761" i="2" s="1"/>
  <c r="G762" i="2" a="1"/>
  <c r="G762" i="2" s="1"/>
  <c r="G763" i="2" a="1"/>
  <c r="G763" i="2" s="1"/>
  <c r="G764" i="2" a="1"/>
  <c r="G764" i="2" s="1"/>
  <c r="G765" i="2" a="1"/>
  <c r="G765" i="2" s="1"/>
  <c r="G766" i="2" a="1"/>
  <c r="G766" i="2" s="1"/>
  <c r="G767" i="2" a="1"/>
  <c r="G767" i="2" s="1"/>
  <c r="G768" i="2" a="1"/>
  <c r="G768" i="2" s="1"/>
  <c r="G769" i="2" a="1"/>
  <c r="G769" i="2" s="1"/>
  <c r="G770" i="2" a="1"/>
  <c r="G770" i="2" s="1"/>
  <c r="G771" i="2" a="1"/>
  <c r="G771" i="2" s="1"/>
  <c r="G772" i="2" a="1"/>
  <c r="G772" i="2" s="1"/>
  <c r="G773" i="2" a="1"/>
  <c r="G773" i="2" s="1"/>
  <c r="G774" i="2" a="1"/>
  <c r="G774" i="2" s="1"/>
  <c r="G775" i="2" a="1"/>
  <c r="G775" i="2" s="1"/>
  <c r="G776" i="2" a="1"/>
  <c r="G776" i="2" s="1"/>
  <c r="G777" i="2" a="1"/>
  <c r="G777" i="2" s="1"/>
  <c r="G778" i="2" a="1"/>
  <c r="G778" i="2" s="1"/>
  <c r="G779" i="2" a="1"/>
  <c r="G779" i="2" s="1"/>
  <c r="G780" i="2" a="1"/>
  <c r="G780" i="2" s="1"/>
  <c r="G781" i="2" a="1"/>
  <c r="G781" i="2" s="1"/>
  <c r="G782" i="2" a="1"/>
  <c r="G782" i="2" s="1"/>
  <c r="G783" i="2" a="1"/>
  <c r="G783" i="2" s="1"/>
  <c r="G784" i="2" a="1"/>
  <c r="G784" i="2" s="1"/>
  <c r="G785" i="2" a="1"/>
  <c r="G785" i="2" s="1"/>
  <c r="G786" i="2" a="1"/>
  <c r="G786" i="2" s="1"/>
  <c r="G787" i="2" a="1"/>
  <c r="G787" i="2" s="1"/>
  <c r="G788" i="2" a="1"/>
  <c r="G788" i="2" s="1"/>
  <c r="G789" i="2" a="1"/>
  <c r="G789" i="2" s="1"/>
  <c r="G790" i="2" a="1"/>
  <c r="G790" i="2" s="1"/>
  <c r="G791" i="2" a="1"/>
  <c r="G791" i="2" s="1"/>
  <c r="G792" i="2" a="1"/>
  <c r="G792" i="2" s="1"/>
  <c r="G793" i="2" a="1"/>
  <c r="G793" i="2" s="1"/>
  <c r="G794" i="2" a="1"/>
  <c r="G794" i="2" s="1"/>
  <c r="G795" i="2" a="1"/>
  <c r="G795" i="2" s="1"/>
  <c r="G796" i="2" a="1"/>
  <c r="G796" i="2" s="1"/>
  <c r="G797" i="2" a="1"/>
  <c r="G797" i="2" s="1"/>
  <c r="G798" i="2" a="1"/>
  <c r="G798" i="2" s="1"/>
  <c r="G799" i="2" a="1"/>
  <c r="G799" i="2" s="1"/>
  <c r="G800" i="2" a="1"/>
  <c r="G800" i="2" s="1"/>
  <c r="G801" i="2" a="1"/>
  <c r="G801" i="2" s="1"/>
  <c r="G802" i="2" a="1"/>
  <c r="G802" i="2" s="1"/>
  <c r="G803" i="2" a="1"/>
  <c r="G803" i="2" s="1"/>
  <c r="G804" i="2" a="1"/>
  <c r="G804" i="2" s="1"/>
  <c r="G805" i="2" a="1"/>
  <c r="G805" i="2" s="1"/>
  <c r="G806" i="2" a="1"/>
  <c r="G806" i="2" s="1"/>
  <c r="G807" i="2" a="1"/>
  <c r="G807" i="2" s="1"/>
  <c r="G808" i="2" a="1"/>
  <c r="G808" i="2" s="1"/>
  <c r="G809" i="2" a="1"/>
  <c r="G809" i="2" s="1"/>
  <c r="G810" i="2" a="1"/>
  <c r="G810" i="2" s="1"/>
  <c r="G811" i="2" a="1"/>
  <c r="G811" i="2" s="1"/>
  <c r="G812" i="2" a="1"/>
  <c r="G812" i="2" s="1"/>
  <c r="G813" i="2" a="1"/>
  <c r="G813" i="2" s="1"/>
  <c r="G814" i="2" a="1"/>
  <c r="G814" i="2" s="1"/>
  <c r="G815" i="2" a="1"/>
  <c r="G815" i="2" s="1"/>
  <c r="G816" i="2" a="1"/>
  <c r="G816" i="2" s="1"/>
  <c r="G817" i="2" a="1"/>
  <c r="G817" i="2" s="1"/>
  <c r="G818" i="2" a="1"/>
  <c r="G818" i="2" s="1"/>
  <c r="G819" i="2" a="1"/>
  <c r="G819" i="2" s="1"/>
  <c r="G820" i="2" a="1"/>
  <c r="G820" i="2" s="1"/>
  <c r="G821" i="2" a="1"/>
  <c r="G821" i="2" s="1"/>
  <c r="G822" i="2" a="1"/>
  <c r="G822" i="2" s="1"/>
  <c r="G823" i="2" a="1"/>
  <c r="G823" i="2" s="1"/>
  <c r="G824" i="2" a="1"/>
  <c r="G824" i="2" s="1"/>
  <c r="G825" i="2" a="1"/>
  <c r="G825" i="2" s="1"/>
  <c r="G826" i="2" a="1"/>
  <c r="G826" i="2" s="1"/>
  <c r="G827" i="2" a="1"/>
  <c r="G827" i="2" s="1"/>
  <c r="G828" i="2" a="1"/>
  <c r="G828" i="2" s="1"/>
  <c r="G829" i="2" a="1"/>
  <c r="G829" i="2" s="1"/>
  <c r="G830" i="2" a="1"/>
  <c r="G830" i="2" s="1"/>
  <c r="G831" i="2" a="1"/>
  <c r="G831" i="2" s="1"/>
  <c r="G832" i="2" a="1"/>
  <c r="G832" i="2" s="1"/>
  <c r="G833" i="2" a="1"/>
  <c r="G833" i="2" s="1"/>
  <c r="G834" i="2" a="1"/>
  <c r="G834" i="2" s="1"/>
  <c r="G835" i="2" a="1"/>
  <c r="G835" i="2" s="1"/>
  <c r="G836" i="2" a="1"/>
  <c r="G836" i="2" s="1"/>
  <c r="G837" i="2" a="1"/>
  <c r="G837" i="2" s="1"/>
  <c r="G838" i="2" a="1"/>
  <c r="G838" i="2" s="1"/>
  <c r="G839" i="2" a="1"/>
  <c r="G839" i="2" s="1"/>
  <c r="G840" i="2" a="1"/>
  <c r="G840" i="2" s="1"/>
  <c r="G841" i="2" a="1"/>
  <c r="G841" i="2" s="1"/>
  <c r="G842" i="2" a="1"/>
  <c r="G842" i="2" s="1"/>
  <c r="G843" i="2" a="1"/>
  <c r="G843" i="2" s="1"/>
  <c r="G844" i="2" a="1"/>
  <c r="G844" i="2" s="1"/>
  <c r="G845" i="2" a="1"/>
  <c r="G845" i="2" s="1"/>
  <c r="G846" i="2" a="1"/>
  <c r="G846" i="2" s="1"/>
  <c r="G847" i="2" a="1"/>
  <c r="G847" i="2" s="1"/>
  <c r="G848" i="2" a="1"/>
  <c r="G848" i="2" s="1"/>
  <c r="G849" i="2" a="1"/>
  <c r="G849" i="2" s="1"/>
  <c r="G850" i="2" a="1"/>
  <c r="G850" i="2" s="1"/>
  <c r="G851" i="2" a="1"/>
  <c r="G851" i="2" s="1"/>
  <c r="G852" i="2" a="1"/>
  <c r="G852" i="2" s="1"/>
  <c r="G853" i="2" a="1"/>
  <c r="G853" i="2" s="1"/>
  <c r="G854" i="2" a="1"/>
  <c r="G854" i="2" s="1"/>
  <c r="G855" i="2" a="1"/>
  <c r="G855" i="2" s="1"/>
  <c r="G856" i="2" a="1"/>
  <c r="G856" i="2" s="1"/>
  <c r="G857" i="2" a="1"/>
  <c r="G857" i="2" s="1"/>
  <c r="G858" i="2" a="1"/>
  <c r="G858" i="2" s="1"/>
  <c r="G859" i="2" a="1"/>
  <c r="G859" i="2" s="1"/>
  <c r="G860" i="2" a="1"/>
  <c r="G860" i="2" s="1"/>
  <c r="G861" i="2" a="1"/>
  <c r="G861" i="2" s="1"/>
  <c r="G862" i="2" a="1"/>
  <c r="G862" i="2" s="1"/>
  <c r="G863" i="2" a="1"/>
  <c r="G863" i="2" s="1"/>
  <c r="G864" i="2" a="1"/>
  <c r="G864" i="2" s="1"/>
  <c r="G865" i="2" a="1"/>
  <c r="G865" i="2" s="1"/>
  <c r="G866" i="2" a="1"/>
  <c r="G866" i="2" s="1"/>
  <c r="G867" i="2" a="1"/>
  <c r="G867" i="2" s="1"/>
  <c r="G868" i="2" a="1"/>
  <c r="G868" i="2" s="1"/>
  <c r="G869" i="2" a="1"/>
  <c r="G869" i="2" s="1"/>
  <c r="G870" i="2" a="1"/>
  <c r="G870" i="2" s="1"/>
  <c r="G871" i="2" a="1"/>
  <c r="G871" i="2" s="1"/>
  <c r="G872" i="2" a="1"/>
  <c r="G872" i="2" s="1"/>
  <c r="G873" i="2" a="1"/>
  <c r="G873" i="2" s="1"/>
  <c r="G874" i="2" a="1"/>
  <c r="G874" i="2" s="1"/>
  <c r="G875" i="2" a="1"/>
  <c r="G875" i="2" s="1"/>
  <c r="G876" i="2" a="1"/>
  <c r="G876" i="2" s="1"/>
  <c r="G877" i="2" a="1"/>
  <c r="G877" i="2" s="1"/>
  <c r="G878" i="2" a="1"/>
  <c r="G878" i="2" s="1"/>
  <c r="G879" i="2" a="1"/>
  <c r="G879" i="2" s="1"/>
  <c r="G880" i="2" a="1"/>
  <c r="G880" i="2" s="1"/>
  <c r="G881" i="2" a="1"/>
  <c r="G881" i="2" s="1"/>
  <c r="G882" i="2" a="1"/>
  <c r="G882" i="2" s="1"/>
  <c r="G883" i="2" a="1"/>
  <c r="G883" i="2" s="1"/>
  <c r="G884" i="2" a="1"/>
  <c r="G884" i="2" s="1"/>
  <c r="G885" i="2" a="1"/>
  <c r="G885" i="2" s="1"/>
  <c r="G886" i="2" a="1"/>
  <c r="G886" i="2" s="1"/>
  <c r="G887" i="2" a="1"/>
  <c r="G887" i="2" s="1"/>
  <c r="G888" i="2" a="1"/>
  <c r="G888" i="2" s="1"/>
  <c r="G889" i="2" a="1"/>
  <c r="G889" i="2" s="1"/>
  <c r="G890" i="2" a="1"/>
  <c r="G890" i="2" s="1"/>
  <c r="G891" i="2" a="1"/>
  <c r="G891" i="2" s="1"/>
  <c r="G892" i="2" a="1"/>
  <c r="G892" i="2" s="1"/>
  <c r="G893" i="2" a="1"/>
  <c r="G893" i="2" s="1"/>
  <c r="G894" i="2" a="1"/>
  <c r="G894" i="2" s="1"/>
  <c r="G895" i="2" a="1"/>
  <c r="G895" i="2" s="1"/>
  <c r="G896" i="2" a="1"/>
  <c r="G896" i="2" s="1"/>
  <c r="G897" i="2" a="1"/>
  <c r="G897" i="2" s="1"/>
  <c r="G898" i="2" a="1"/>
  <c r="G898" i="2" s="1"/>
  <c r="G899" i="2" a="1"/>
  <c r="G899" i="2" s="1"/>
  <c r="G900" i="2" a="1"/>
  <c r="G900" i="2" s="1"/>
  <c r="G901" i="2" a="1"/>
  <c r="G901" i="2" s="1"/>
  <c r="G902" i="2" a="1"/>
  <c r="G902" i="2" s="1"/>
  <c r="G903" i="2" a="1"/>
  <c r="G903" i="2" s="1"/>
  <c r="G904" i="2" a="1"/>
  <c r="G904" i="2" s="1"/>
  <c r="G905" i="2" a="1"/>
  <c r="G905" i="2" s="1"/>
  <c r="G906" i="2" a="1"/>
  <c r="G906" i="2" s="1"/>
  <c r="G907" i="2" a="1"/>
  <c r="G907" i="2" s="1"/>
  <c r="G908" i="2" a="1"/>
  <c r="G908" i="2" s="1"/>
  <c r="G909" i="2" a="1"/>
  <c r="G909" i="2" s="1"/>
  <c r="G910" i="2" a="1"/>
  <c r="G910" i="2" s="1"/>
  <c r="G911" i="2" a="1"/>
  <c r="G911" i="2" s="1"/>
  <c r="G912" i="2" a="1"/>
  <c r="G912" i="2" s="1"/>
  <c r="G913" i="2" a="1"/>
  <c r="G913" i="2" s="1"/>
  <c r="G914" i="2" a="1"/>
  <c r="G914" i="2" s="1"/>
  <c r="G915" i="2" a="1"/>
  <c r="G915" i="2" s="1"/>
  <c r="G916" i="2" a="1"/>
  <c r="G916" i="2" s="1"/>
  <c r="G917" i="2" a="1"/>
  <c r="G917" i="2" s="1"/>
  <c r="G918" i="2" a="1"/>
  <c r="G918" i="2" s="1"/>
  <c r="G919" i="2" a="1"/>
  <c r="G919" i="2" s="1"/>
  <c r="G920" i="2" a="1"/>
  <c r="G920" i="2" s="1"/>
  <c r="G921" i="2" a="1"/>
  <c r="G921" i="2" s="1"/>
  <c r="G922" i="2" a="1"/>
  <c r="G922" i="2" s="1"/>
  <c r="G923" i="2" a="1"/>
  <c r="G923" i="2" s="1"/>
  <c r="G924" i="2" a="1"/>
  <c r="G924" i="2" s="1"/>
  <c r="G925" i="2" a="1"/>
  <c r="G925" i="2" s="1"/>
  <c r="G926" i="2" a="1"/>
  <c r="G926" i="2" s="1"/>
  <c r="G927" i="2" a="1"/>
  <c r="G927" i="2" s="1"/>
  <c r="G928" i="2" a="1"/>
  <c r="G928" i="2" s="1"/>
  <c r="G929" i="2" a="1"/>
  <c r="G929" i="2" s="1"/>
  <c r="G930" i="2" a="1"/>
  <c r="G930" i="2" s="1"/>
  <c r="G931" i="2" a="1"/>
  <c r="G931" i="2" s="1"/>
  <c r="G932" i="2" a="1"/>
  <c r="G932" i="2" s="1"/>
  <c r="G933" i="2" a="1"/>
  <c r="G933" i="2" s="1"/>
  <c r="G934" i="2" a="1"/>
  <c r="G934" i="2" s="1"/>
  <c r="G935" i="2" a="1"/>
  <c r="G935" i="2" s="1"/>
  <c r="G936" i="2" a="1"/>
  <c r="G936" i="2" s="1"/>
  <c r="G937" i="2" a="1"/>
  <c r="G937" i="2" s="1"/>
  <c r="G938" i="2" a="1"/>
  <c r="G938" i="2" s="1"/>
  <c r="G939" i="2" a="1"/>
  <c r="G939" i="2" s="1"/>
  <c r="G940" i="2" a="1"/>
  <c r="G940" i="2" s="1"/>
  <c r="G941" i="2" a="1"/>
  <c r="G941" i="2" s="1"/>
  <c r="G942" i="2" a="1"/>
  <c r="G942" i="2" s="1"/>
  <c r="G943" i="2" a="1"/>
  <c r="G943" i="2" s="1"/>
  <c r="G944" i="2" a="1"/>
  <c r="G944" i="2" s="1"/>
  <c r="G945" i="2" a="1"/>
  <c r="G945" i="2" s="1"/>
  <c r="G946" i="2" a="1"/>
  <c r="G946" i="2" s="1"/>
  <c r="G947" i="2" a="1"/>
  <c r="G947" i="2" s="1"/>
  <c r="G948" i="2" a="1"/>
  <c r="G948" i="2" s="1"/>
  <c r="G949" i="2" a="1"/>
  <c r="G949" i="2" s="1"/>
  <c r="G950" i="2" a="1"/>
  <c r="G950" i="2" s="1"/>
  <c r="G951" i="2" a="1"/>
  <c r="G951" i="2" s="1"/>
  <c r="G952" i="2" a="1"/>
  <c r="G952" i="2" s="1"/>
  <c r="G953" i="2" a="1"/>
  <c r="G953" i="2" s="1"/>
  <c r="G954" i="2" a="1"/>
  <c r="G954" i="2" s="1"/>
  <c r="G955" i="2" a="1"/>
  <c r="G955" i="2" s="1"/>
  <c r="G956" i="2" a="1"/>
  <c r="G956" i="2" s="1"/>
  <c r="G957" i="2" a="1"/>
  <c r="G957" i="2" s="1"/>
  <c r="G958" i="2" a="1"/>
  <c r="G958" i="2" s="1"/>
  <c r="G959" i="2" a="1"/>
  <c r="G959" i="2" s="1"/>
  <c r="G960" i="2" a="1"/>
  <c r="G960" i="2" s="1"/>
  <c r="G961" i="2" a="1"/>
  <c r="G961" i="2" s="1"/>
  <c r="G962" i="2" a="1"/>
  <c r="G962" i="2" s="1"/>
  <c r="G963" i="2" a="1"/>
  <c r="G963" i="2" s="1"/>
  <c r="G964" i="2" a="1"/>
  <c r="G964" i="2" s="1"/>
  <c r="G965" i="2" a="1"/>
  <c r="G965" i="2" s="1"/>
  <c r="G966" i="2" a="1"/>
  <c r="G966" i="2" s="1"/>
  <c r="G967" i="2" a="1"/>
  <c r="G967" i="2" s="1"/>
  <c r="G968" i="2" a="1"/>
  <c r="G968" i="2" s="1"/>
  <c r="G969" i="2" a="1"/>
  <c r="G969" i="2" s="1"/>
  <c r="G970" i="2" a="1"/>
  <c r="G970" i="2" s="1"/>
  <c r="G971" i="2" a="1"/>
  <c r="G971" i="2" s="1"/>
  <c r="G972" i="2" a="1"/>
  <c r="G972" i="2" s="1"/>
  <c r="G973" i="2" a="1"/>
  <c r="G973" i="2" s="1"/>
  <c r="G974" i="2" a="1"/>
  <c r="G974" i="2" s="1"/>
  <c r="G975" i="2" a="1"/>
  <c r="G975" i="2" s="1"/>
  <c r="G976" i="2" a="1"/>
  <c r="G976" i="2" s="1"/>
  <c r="G977" i="2" a="1"/>
  <c r="G977" i="2" s="1"/>
  <c r="G978" i="2" a="1"/>
  <c r="G978" i="2" s="1"/>
  <c r="G979" i="2" a="1"/>
  <c r="G979" i="2" s="1"/>
  <c r="G980" i="2" a="1"/>
  <c r="G980" i="2" s="1"/>
  <c r="G981" i="2" a="1"/>
  <c r="G981" i="2" s="1"/>
  <c r="G982" i="2" a="1"/>
  <c r="G982" i="2" s="1"/>
  <c r="G983" i="2" a="1"/>
  <c r="G983" i="2" s="1"/>
  <c r="G984" i="2" a="1"/>
  <c r="G984" i="2" s="1"/>
  <c r="G985" i="2" a="1"/>
  <c r="G985" i="2" s="1"/>
  <c r="G986" i="2" a="1"/>
  <c r="G986" i="2" s="1"/>
  <c r="G987" i="2" a="1"/>
  <c r="G987" i="2" s="1"/>
  <c r="G988" i="2" a="1"/>
  <c r="G988" i="2" s="1"/>
  <c r="G989" i="2" a="1"/>
  <c r="G989" i="2" s="1"/>
  <c r="G990" i="2" a="1"/>
  <c r="G990" i="2" s="1"/>
  <c r="G991" i="2" a="1"/>
  <c r="G991" i="2" s="1"/>
  <c r="G992" i="2" a="1"/>
  <c r="G992" i="2" s="1"/>
  <c r="G993" i="2" a="1"/>
  <c r="G993" i="2" s="1"/>
  <c r="G994" i="2" a="1"/>
  <c r="G994" i="2" s="1"/>
  <c r="G995" i="2" a="1"/>
  <c r="G995" i="2" s="1"/>
  <c r="G996" i="2" a="1"/>
  <c r="G996" i="2" s="1"/>
  <c r="G997" i="2" a="1"/>
  <c r="G997" i="2" s="1"/>
  <c r="G998" i="2" a="1"/>
  <c r="G998" i="2" s="1"/>
  <c r="G999" i="2" a="1"/>
  <c r="G999" i="2" s="1"/>
  <c r="G1000" i="2" a="1"/>
  <c r="G1000" i="2" s="1"/>
  <c r="G1001" i="2" a="1"/>
  <c r="G1001" i="2" s="1"/>
  <c r="G1002" i="2" a="1"/>
  <c r="G1002" i="2" s="1"/>
  <c r="G1003" i="2" a="1"/>
  <c r="G1003" i="2" s="1"/>
  <c r="G1004" i="2" a="1"/>
  <c r="G1004" i="2" s="1"/>
  <c r="G1005" i="2" a="1"/>
  <c r="G1005" i="2" s="1"/>
  <c r="G1006" i="2" a="1"/>
  <c r="G1006" i="2" s="1"/>
  <c r="G1007" i="2" a="1"/>
  <c r="G1007" i="2" s="1"/>
  <c r="G1008" i="2" a="1"/>
  <c r="G1008" i="2" s="1"/>
  <c r="G1009" i="2" a="1"/>
  <c r="G1009" i="2" s="1"/>
  <c r="G1010" i="2" a="1"/>
  <c r="G1010" i="2" s="1"/>
  <c r="G1011" i="2" a="1"/>
  <c r="G1011" i="2" s="1"/>
  <c r="G1012" i="2" a="1"/>
  <c r="G1012" i="2" s="1"/>
  <c r="G1013" i="2" a="1"/>
  <c r="G1013" i="2" s="1"/>
  <c r="G1014" i="2" a="1"/>
  <c r="G1014" i="2" s="1"/>
  <c r="G1015" i="2" a="1"/>
  <c r="G1015" i="2" s="1"/>
  <c r="G1016" i="2" a="1"/>
  <c r="G1016" i="2" s="1"/>
  <c r="G1017" i="2" a="1"/>
  <c r="G1017" i="2" s="1"/>
  <c r="G1018" i="2" a="1"/>
  <c r="G1018" i="2" s="1"/>
  <c r="G1019" i="2" a="1"/>
  <c r="G1019" i="2" s="1"/>
  <c r="G1020" i="2" a="1"/>
  <c r="G1020" i="2" s="1"/>
  <c r="G1021" i="2" a="1"/>
  <c r="G1021" i="2" s="1"/>
  <c r="G1022" i="2" a="1"/>
  <c r="G1022" i="2" s="1"/>
  <c r="G1023" i="2" a="1"/>
  <c r="G1023" i="2" s="1"/>
  <c r="G1024" i="2" a="1"/>
  <c r="G1024" i="2" s="1"/>
  <c r="G1025" i="2" a="1"/>
  <c r="G1025" i="2" s="1"/>
  <c r="G1026" i="2" a="1"/>
  <c r="G1026" i="2" s="1"/>
  <c r="G1027" i="2" a="1"/>
  <c r="G1027" i="2" s="1"/>
  <c r="G1028" i="2" a="1"/>
  <c r="G1028" i="2" s="1"/>
  <c r="G1029" i="2" a="1"/>
  <c r="G1029" i="2" s="1"/>
  <c r="G1030" i="2" a="1"/>
  <c r="G1030" i="2" s="1"/>
  <c r="G1031" i="2" a="1"/>
  <c r="G1031" i="2" s="1"/>
  <c r="G1032" i="2" a="1"/>
  <c r="G1032" i="2" s="1"/>
  <c r="G1033" i="2" a="1"/>
  <c r="G1033" i="2" s="1"/>
  <c r="G1034" i="2" a="1"/>
  <c r="G1034" i="2" s="1"/>
  <c r="G1035" i="2" a="1"/>
  <c r="G1035" i="2" s="1"/>
  <c r="G1036" i="2" a="1"/>
  <c r="G1036" i="2" s="1"/>
  <c r="G1037" i="2" a="1"/>
  <c r="G1037" i="2" s="1"/>
  <c r="G1038" i="2" a="1"/>
  <c r="G1038" i="2" s="1"/>
  <c r="G1039" i="2" a="1"/>
  <c r="G1039" i="2" s="1"/>
  <c r="G1040" i="2" a="1"/>
  <c r="G1040" i="2" s="1"/>
  <c r="G1041" i="2" a="1"/>
  <c r="G1041" i="2" s="1"/>
  <c r="G1042" i="2" a="1"/>
  <c r="G1042" i="2" s="1"/>
  <c r="G1043" i="2" a="1"/>
  <c r="G1043" i="2" s="1"/>
  <c r="G1044" i="2" a="1"/>
  <c r="G1044" i="2" s="1"/>
  <c r="G1045" i="2" a="1"/>
  <c r="G1045" i="2" s="1"/>
  <c r="G1046" i="2" a="1"/>
  <c r="G1046" i="2" s="1"/>
  <c r="G1047" i="2" a="1"/>
  <c r="G1047" i="2" s="1"/>
  <c r="G1048" i="2" a="1"/>
  <c r="G1048" i="2" s="1"/>
  <c r="G1049" i="2" a="1"/>
  <c r="G1049" i="2" s="1"/>
  <c r="G1050" i="2" a="1"/>
  <c r="G1050" i="2" s="1"/>
  <c r="G1051" i="2" a="1"/>
  <c r="G1051" i="2" s="1"/>
  <c r="G1052" i="2" a="1"/>
  <c r="G1052" i="2" s="1"/>
  <c r="G1053" i="2" a="1"/>
  <c r="G1053" i="2" s="1"/>
  <c r="G1054" i="2" a="1"/>
  <c r="G1054" i="2" s="1"/>
  <c r="G1055" i="2" a="1"/>
  <c r="G1055" i="2" s="1"/>
  <c r="G1056" i="2" a="1"/>
  <c r="G1056" i="2" s="1"/>
  <c r="G1057" i="2" a="1"/>
  <c r="G1057" i="2" s="1"/>
  <c r="G1058" i="2" a="1"/>
  <c r="G1058" i="2" s="1"/>
  <c r="G1059" i="2" a="1"/>
  <c r="G1059" i="2" s="1"/>
  <c r="G1060" i="2" a="1"/>
  <c r="G1060" i="2" s="1"/>
  <c r="G1061" i="2" a="1"/>
  <c r="G1061" i="2" s="1"/>
  <c r="G1062" i="2" a="1"/>
  <c r="G1062" i="2" s="1"/>
  <c r="G1063" i="2" a="1"/>
  <c r="G1063" i="2" s="1"/>
  <c r="G1064" i="2" a="1"/>
  <c r="G1064" i="2" s="1"/>
  <c r="G1065" i="2" a="1"/>
  <c r="G1065" i="2" s="1"/>
  <c r="G1066" i="2" a="1"/>
  <c r="G1066" i="2" s="1"/>
  <c r="G1067" i="2" a="1"/>
  <c r="G1067" i="2" s="1"/>
  <c r="G1068" i="2" a="1"/>
  <c r="G1068" i="2" s="1"/>
  <c r="G1069" i="2" a="1"/>
  <c r="G1069" i="2" s="1"/>
  <c r="G1070" i="2" a="1"/>
  <c r="G1070" i="2" s="1"/>
  <c r="G1071" i="2" a="1"/>
  <c r="G1071" i="2" s="1"/>
  <c r="G1072" i="2" a="1"/>
  <c r="G1072" i="2" s="1"/>
  <c r="G1073" i="2" a="1"/>
  <c r="G1073" i="2" s="1"/>
  <c r="G1074" i="2" a="1"/>
  <c r="G1074" i="2" s="1"/>
  <c r="G1075" i="2" a="1"/>
  <c r="G1075" i="2" s="1"/>
  <c r="G1076" i="2" a="1"/>
  <c r="G1076" i="2" s="1"/>
  <c r="G1077" i="2" a="1"/>
  <c r="G1077" i="2" s="1"/>
  <c r="G1078" i="2" a="1"/>
  <c r="G1078" i="2" s="1"/>
  <c r="G1079" i="2" a="1"/>
  <c r="G1079" i="2" s="1"/>
  <c r="G1080" i="2" a="1"/>
  <c r="G1080" i="2" s="1"/>
  <c r="G1081" i="2" a="1"/>
  <c r="G1081" i="2" s="1"/>
  <c r="G1082" i="2" a="1"/>
  <c r="G1082" i="2" s="1"/>
  <c r="G1083" i="2" a="1"/>
  <c r="G1083" i="2" s="1"/>
  <c r="G1084" i="2" a="1"/>
  <c r="G1084" i="2" s="1"/>
  <c r="G1085" i="2" a="1"/>
  <c r="G1085" i="2" s="1"/>
  <c r="G1086" i="2" a="1"/>
  <c r="G1086" i="2" s="1"/>
  <c r="G1087" i="2" a="1"/>
  <c r="G1087" i="2" s="1"/>
  <c r="G1088" i="2" a="1"/>
  <c r="G1088" i="2" s="1"/>
  <c r="G1089" i="2" a="1"/>
  <c r="G1089" i="2" s="1"/>
  <c r="G1090" i="2" a="1"/>
  <c r="G1090" i="2" s="1"/>
  <c r="G1091" i="2" a="1"/>
  <c r="G1091" i="2" s="1"/>
  <c r="G1092" i="2" a="1"/>
  <c r="G1092" i="2" s="1"/>
  <c r="G1093" i="2" a="1"/>
  <c r="G1093" i="2" s="1"/>
  <c r="G1094" i="2" a="1"/>
  <c r="G1094" i="2" s="1"/>
  <c r="G1095" i="2" a="1"/>
  <c r="G1095" i="2" s="1"/>
  <c r="G1096" i="2" a="1"/>
  <c r="G1096" i="2" s="1"/>
  <c r="G1097" i="2" a="1"/>
  <c r="G1097" i="2" s="1"/>
  <c r="G1098" i="2" a="1"/>
  <c r="G1098" i="2" s="1"/>
  <c r="G1099" i="2" a="1"/>
  <c r="G1099" i="2" s="1"/>
  <c r="G1100" i="2" a="1"/>
  <c r="G1100" i="2" s="1"/>
  <c r="G1101" i="2" a="1"/>
  <c r="G1101" i="2" s="1"/>
  <c r="G1102" i="2" a="1"/>
  <c r="G1102" i="2" s="1"/>
  <c r="G1103" i="2" a="1"/>
  <c r="G1103" i="2" s="1"/>
  <c r="G1104" i="2" a="1"/>
  <c r="G1104" i="2" s="1"/>
  <c r="G1105" i="2" a="1"/>
  <c r="G1105" i="2" s="1"/>
  <c r="G1106" i="2" a="1"/>
  <c r="G1106" i="2" s="1"/>
  <c r="G1107" i="2" a="1"/>
  <c r="G1107" i="2" s="1"/>
  <c r="G1108" i="2" a="1"/>
  <c r="G1108" i="2" s="1"/>
  <c r="G1109" i="2" a="1"/>
  <c r="G1109" i="2" s="1"/>
  <c r="G1110" i="2" a="1"/>
  <c r="G1110" i="2" s="1"/>
  <c r="G1111" i="2" a="1"/>
  <c r="G1111" i="2" s="1"/>
  <c r="G1112" i="2" a="1"/>
  <c r="G1112" i="2" s="1"/>
  <c r="G1113" i="2" a="1"/>
  <c r="G1113" i="2" s="1"/>
  <c r="G1114" i="2" a="1"/>
  <c r="G1114" i="2" s="1"/>
  <c r="G1115" i="2" a="1"/>
  <c r="G1115" i="2" s="1"/>
  <c r="G1116" i="2" a="1"/>
  <c r="G1116" i="2" s="1"/>
  <c r="G1117" i="2" a="1"/>
  <c r="G1117" i="2" s="1"/>
  <c r="G1118" i="2" a="1"/>
  <c r="G1118" i="2" s="1"/>
  <c r="G1119" i="2" a="1"/>
  <c r="G1119" i="2" s="1"/>
  <c r="G1120" i="2" a="1"/>
  <c r="G1120" i="2" s="1"/>
  <c r="G1121" i="2" a="1"/>
  <c r="G1121" i="2" s="1"/>
  <c r="G1122" i="2" a="1"/>
  <c r="G1122" i="2" s="1"/>
  <c r="G1123" i="2" a="1"/>
  <c r="G1123" i="2" s="1"/>
  <c r="G1124" i="2" a="1"/>
  <c r="G1124" i="2" s="1"/>
  <c r="G1125" i="2" a="1"/>
  <c r="G1125" i="2" s="1"/>
  <c r="G1126" i="2" a="1"/>
  <c r="G1126" i="2" s="1"/>
  <c r="G1127" i="2" a="1"/>
  <c r="G1127" i="2" s="1"/>
  <c r="G1128" i="2" a="1"/>
  <c r="G1128" i="2" s="1"/>
  <c r="G1129" i="2" a="1"/>
  <c r="G1129" i="2" s="1"/>
  <c r="G1130" i="2" a="1"/>
  <c r="G1130" i="2" s="1"/>
  <c r="G1131" i="2" a="1"/>
  <c r="G1131" i="2" s="1"/>
  <c r="G1132" i="2" a="1"/>
  <c r="G1132" i="2" s="1"/>
  <c r="G1133" i="2" a="1"/>
  <c r="G1133" i="2" s="1"/>
  <c r="G1134" i="2" a="1"/>
  <c r="G1134" i="2" s="1"/>
  <c r="G1135" i="2" a="1"/>
  <c r="G1135" i="2" s="1"/>
  <c r="G1136" i="2" a="1"/>
  <c r="G1136" i="2" s="1"/>
  <c r="G1137" i="2" a="1"/>
  <c r="G1137" i="2" s="1"/>
  <c r="G1138" i="2" a="1"/>
  <c r="G1138" i="2" s="1"/>
  <c r="G1139" i="2" a="1"/>
  <c r="G1139" i="2" s="1"/>
  <c r="G1140" i="2" a="1"/>
  <c r="G1140" i="2" s="1"/>
  <c r="G1141" i="2" a="1"/>
  <c r="G1141" i="2" s="1"/>
  <c r="G1142" i="2" a="1"/>
  <c r="G1142" i="2" s="1"/>
  <c r="G1143" i="2" a="1"/>
  <c r="G1143" i="2" s="1"/>
  <c r="G1144" i="2" a="1"/>
  <c r="G1144" i="2" s="1"/>
  <c r="G1145" i="2" a="1"/>
  <c r="G1145" i="2" s="1"/>
  <c r="G1146" i="2" a="1"/>
  <c r="G1146" i="2" s="1"/>
  <c r="G1147" i="2" a="1"/>
  <c r="G1147" i="2" s="1"/>
  <c r="G1148" i="2" a="1"/>
  <c r="G1148" i="2" s="1"/>
  <c r="G1149" i="2" a="1"/>
  <c r="G1149" i="2" s="1"/>
  <c r="G1150" i="2" a="1"/>
  <c r="G1150" i="2" s="1"/>
  <c r="G1151" i="2" a="1"/>
  <c r="G1151" i="2" s="1"/>
  <c r="G1152" i="2" a="1"/>
  <c r="G1152" i="2" s="1"/>
  <c r="G1153" i="2" a="1"/>
  <c r="G1153" i="2" s="1"/>
  <c r="G1154" i="2" a="1"/>
  <c r="G1154" i="2" s="1"/>
  <c r="G1155" i="2" a="1"/>
  <c r="G1155" i="2" s="1"/>
  <c r="G1156" i="2" a="1"/>
  <c r="G1156" i="2" s="1"/>
  <c r="G1157" i="2" a="1"/>
  <c r="G1157" i="2" s="1"/>
  <c r="G1158" i="2" a="1"/>
  <c r="G1158" i="2" s="1"/>
  <c r="G1159" i="2" a="1"/>
  <c r="G1159" i="2" s="1"/>
  <c r="G1160" i="2" a="1"/>
  <c r="G1160" i="2" s="1"/>
  <c r="G1161" i="2" a="1"/>
  <c r="G1161" i="2" s="1"/>
  <c r="G1162" i="2" a="1"/>
  <c r="G1162" i="2" s="1"/>
  <c r="G1163" i="2" a="1"/>
  <c r="G1163" i="2" s="1"/>
  <c r="G1164" i="2" a="1"/>
  <c r="G1164" i="2" s="1"/>
  <c r="G1165" i="2" a="1"/>
  <c r="G1165" i="2" s="1"/>
  <c r="G1166" i="2" a="1"/>
  <c r="G1166" i="2" s="1"/>
  <c r="G1167" i="2" a="1"/>
  <c r="G1167" i="2" s="1"/>
  <c r="G1168" i="2" a="1"/>
  <c r="G1168" i="2" s="1"/>
  <c r="G1169" i="2" a="1"/>
  <c r="G1169" i="2" s="1"/>
  <c r="G1170" i="2" a="1"/>
  <c r="G1170" i="2" s="1"/>
  <c r="G1171" i="2" a="1"/>
  <c r="G1171" i="2" s="1"/>
  <c r="G1172" i="2" a="1"/>
  <c r="G1172" i="2" s="1"/>
  <c r="G1173" i="2" a="1"/>
  <c r="G1173" i="2" s="1"/>
  <c r="G1174" i="2" a="1"/>
  <c r="G1174" i="2" s="1"/>
  <c r="G1175" i="2" a="1"/>
  <c r="G1175" i="2" s="1"/>
  <c r="G1176" i="2" a="1"/>
  <c r="G1176" i="2" s="1"/>
  <c r="G1177" i="2" a="1"/>
  <c r="G1177" i="2" s="1"/>
  <c r="G1178" i="2" a="1"/>
  <c r="G1178" i="2" s="1"/>
  <c r="G1179" i="2" a="1"/>
  <c r="G1179" i="2" s="1"/>
  <c r="G1180" i="2" a="1"/>
  <c r="G1180" i="2" s="1"/>
  <c r="G1181" i="2" a="1"/>
  <c r="G1181" i="2" s="1"/>
  <c r="G1182" i="2" a="1"/>
  <c r="G1182" i="2" s="1"/>
  <c r="G1183" i="2" a="1"/>
  <c r="G1183" i="2" s="1"/>
  <c r="G1184" i="2" a="1"/>
  <c r="G1184" i="2" s="1"/>
  <c r="G1185" i="2" a="1"/>
  <c r="G1185" i="2" s="1"/>
  <c r="G1186" i="2" a="1"/>
  <c r="G1186" i="2" s="1"/>
  <c r="G1187" i="2" a="1"/>
  <c r="G1187" i="2" s="1"/>
  <c r="G1188" i="2" a="1"/>
  <c r="G1188" i="2" s="1"/>
  <c r="G1189" i="2" a="1"/>
  <c r="G1189" i="2" s="1"/>
  <c r="G1190" i="2" a="1"/>
  <c r="G1190" i="2" s="1"/>
  <c r="G1191" i="2" a="1"/>
  <c r="G1191" i="2" s="1"/>
  <c r="G1192" i="2" a="1"/>
  <c r="G1192" i="2" s="1"/>
  <c r="G1193" i="2" a="1"/>
  <c r="G1193" i="2" s="1"/>
  <c r="G1194" i="2" a="1"/>
  <c r="G1194" i="2" s="1"/>
  <c r="G1195" i="2" a="1"/>
  <c r="G1195" i="2" s="1"/>
  <c r="G1196" i="2" a="1"/>
  <c r="G1196" i="2" s="1"/>
  <c r="G1197" i="2" a="1"/>
  <c r="G1197" i="2" s="1"/>
  <c r="G1198" i="2" a="1"/>
  <c r="G1198" i="2" s="1"/>
  <c r="G1199" i="2" a="1"/>
  <c r="G1199" i="2" s="1"/>
  <c r="G1200" i="2" a="1"/>
  <c r="G1200" i="2" s="1"/>
  <c r="G1201" i="2" a="1"/>
  <c r="G1201" i="2" s="1"/>
  <c r="G1202" i="2" a="1"/>
  <c r="G1202" i="2" s="1"/>
  <c r="G1203" i="2" a="1"/>
  <c r="G1203" i="2" s="1"/>
  <c r="G1204" i="2" a="1"/>
  <c r="G1204" i="2" s="1"/>
  <c r="G1205" i="2" a="1"/>
  <c r="G1205" i="2" s="1"/>
  <c r="G1206" i="2" a="1"/>
  <c r="G1206" i="2" s="1"/>
  <c r="G1207" i="2" a="1"/>
  <c r="G1207" i="2" s="1"/>
  <c r="G1208" i="2" a="1"/>
  <c r="G1208" i="2" s="1"/>
  <c r="G1209" i="2" a="1"/>
  <c r="G1209" i="2" s="1"/>
  <c r="G1210" i="2" a="1"/>
  <c r="G1210" i="2" s="1"/>
  <c r="G1211" i="2" a="1"/>
  <c r="G1211" i="2" s="1"/>
  <c r="G1212" i="2" a="1"/>
  <c r="G1212" i="2" s="1"/>
  <c r="G1213" i="2" a="1"/>
  <c r="G1213" i="2" s="1"/>
  <c r="G1214" i="2" a="1"/>
  <c r="G1214" i="2" s="1"/>
  <c r="G1215" i="2" a="1"/>
  <c r="G1215" i="2" s="1"/>
  <c r="G1216" i="2" a="1"/>
  <c r="G1216" i="2" s="1"/>
  <c r="G1217" i="2" a="1"/>
  <c r="G1217" i="2" s="1"/>
  <c r="G1218" i="2" a="1"/>
  <c r="G1218" i="2" s="1"/>
  <c r="G1219" i="2" a="1"/>
  <c r="G1219" i="2" s="1"/>
  <c r="G1220" i="2" a="1"/>
  <c r="G1220" i="2" s="1"/>
  <c r="G1221" i="2" a="1"/>
  <c r="G1221" i="2" s="1"/>
  <c r="G1222" i="2" a="1"/>
  <c r="G1222" i="2" s="1"/>
  <c r="G1223" i="2" a="1"/>
  <c r="G1223" i="2" s="1"/>
  <c r="G1224" i="2" a="1"/>
  <c r="G1224" i="2" s="1"/>
  <c r="G1225" i="2" a="1"/>
  <c r="G1225" i="2" s="1"/>
  <c r="G1226" i="2" a="1"/>
  <c r="G1226" i="2" s="1"/>
  <c r="G1227" i="2" a="1"/>
  <c r="G1227" i="2" s="1"/>
  <c r="G1228" i="2" a="1"/>
  <c r="G1228" i="2" s="1"/>
  <c r="G1229" i="2" a="1"/>
  <c r="G1229" i="2" s="1"/>
  <c r="G1230" i="2" a="1"/>
  <c r="G1230" i="2" s="1"/>
  <c r="G1231" i="2" a="1"/>
  <c r="G1231" i="2" s="1"/>
  <c r="G1232" i="2" a="1"/>
  <c r="G1232" i="2" s="1"/>
  <c r="G1233" i="2" a="1"/>
  <c r="G1233" i="2" s="1"/>
  <c r="G1234" i="2" a="1"/>
  <c r="G1234" i="2" s="1"/>
  <c r="G1235" i="2" a="1"/>
  <c r="G1235" i="2" s="1"/>
  <c r="G1236" i="2" a="1"/>
  <c r="G1236" i="2" s="1"/>
  <c r="G1237" i="2" a="1"/>
  <c r="G1237" i="2" s="1"/>
  <c r="G1238" i="2" a="1"/>
  <c r="G1238" i="2" s="1"/>
  <c r="G1239" i="2" a="1"/>
  <c r="G1239" i="2" s="1"/>
  <c r="G1240" i="2" a="1"/>
  <c r="G1240" i="2" s="1"/>
  <c r="G1241" i="2" a="1"/>
  <c r="G1241" i="2" s="1"/>
  <c r="G1242" i="2" a="1"/>
  <c r="G1242" i="2" s="1"/>
  <c r="G1243" i="2" a="1"/>
  <c r="G1243" i="2" s="1"/>
  <c r="G1244" i="2" a="1"/>
  <c r="G1244" i="2" s="1"/>
  <c r="G1245" i="2" a="1"/>
  <c r="G1245" i="2" s="1"/>
  <c r="G1246" i="2" a="1"/>
  <c r="G1246" i="2" s="1"/>
  <c r="G1247" i="2" a="1"/>
  <c r="G1247" i="2" s="1"/>
  <c r="G1248" i="2" a="1"/>
  <c r="G1248" i="2" s="1"/>
  <c r="G1249" i="2" a="1"/>
  <c r="G1249" i="2" s="1"/>
  <c r="G1250" i="2" a="1"/>
  <c r="G1250" i="2" s="1"/>
  <c r="G1251" i="2" a="1"/>
  <c r="G1251" i="2" s="1"/>
  <c r="G1252" i="2" a="1"/>
  <c r="G1252" i="2" s="1"/>
  <c r="G1253" i="2" a="1"/>
  <c r="G1253" i="2" s="1"/>
  <c r="G1254" i="2" a="1"/>
  <c r="G1254" i="2" s="1"/>
  <c r="G1255" i="2" a="1"/>
  <c r="G1255" i="2" s="1"/>
  <c r="G1256" i="2" a="1"/>
  <c r="G1256" i="2" s="1"/>
  <c r="G1257" i="2" a="1"/>
  <c r="G1257" i="2" s="1"/>
  <c r="G1258" i="2" a="1"/>
  <c r="G1258" i="2" s="1"/>
  <c r="G1259" i="2" a="1"/>
  <c r="G1259" i="2" s="1"/>
  <c r="G1260" i="2" a="1"/>
  <c r="G1260" i="2" s="1"/>
  <c r="G1261" i="2" a="1"/>
  <c r="G1261" i="2" s="1"/>
  <c r="G1262" i="2" a="1"/>
  <c r="G1262" i="2" s="1"/>
  <c r="G1263" i="2" a="1"/>
  <c r="G1263" i="2" s="1"/>
  <c r="G1264" i="2" a="1"/>
  <c r="G1264" i="2" s="1"/>
  <c r="G1265" i="2" a="1"/>
  <c r="G1265" i="2" s="1"/>
  <c r="G1266" i="2" a="1"/>
  <c r="G1266" i="2" s="1"/>
  <c r="G1267" i="2" a="1"/>
  <c r="G1267" i="2" s="1"/>
  <c r="G1268" i="2" a="1"/>
  <c r="G1268" i="2" s="1"/>
  <c r="G1269" i="2" a="1"/>
  <c r="G1269" i="2" s="1"/>
  <c r="G1270" i="2" a="1"/>
  <c r="G1270" i="2" s="1"/>
  <c r="G1271" i="2" a="1"/>
  <c r="G1271" i="2" s="1"/>
  <c r="G1272" i="2" a="1"/>
  <c r="G1272" i="2" s="1"/>
  <c r="G1273" i="2" a="1"/>
  <c r="G1273" i="2" s="1"/>
  <c r="G1274" i="2" a="1"/>
  <c r="G1274" i="2" s="1"/>
  <c r="G1275" i="2" a="1"/>
  <c r="G1275" i="2" s="1"/>
  <c r="G1276" i="2" a="1"/>
  <c r="G1276" i="2" s="1"/>
  <c r="G1277" i="2" a="1"/>
  <c r="G1277" i="2" s="1"/>
  <c r="G1278" i="2" a="1"/>
  <c r="G1278" i="2" s="1"/>
  <c r="G1279" i="2" a="1"/>
  <c r="G1279" i="2" s="1"/>
  <c r="G1280" i="2" a="1"/>
  <c r="G1280" i="2" s="1"/>
  <c r="G1281" i="2" a="1"/>
  <c r="G1281" i="2" s="1"/>
  <c r="G1282" i="2" a="1"/>
  <c r="G1282" i="2" s="1"/>
  <c r="G1283" i="2" a="1"/>
  <c r="G1283" i="2" s="1"/>
  <c r="G1284" i="2" a="1"/>
  <c r="G1284" i="2" s="1"/>
  <c r="G1285" i="2" a="1"/>
  <c r="G1285" i="2" s="1"/>
  <c r="G1286" i="2" a="1"/>
  <c r="G1286" i="2" s="1"/>
  <c r="G1287" i="2" a="1"/>
  <c r="G1287" i="2" s="1"/>
  <c r="G1288" i="2" a="1"/>
  <c r="G1288" i="2" s="1"/>
  <c r="G1289" i="2" a="1"/>
  <c r="G1289" i="2" s="1"/>
  <c r="G1290" i="2" a="1"/>
  <c r="G1290" i="2" s="1"/>
  <c r="G1291" i="2" a="1"/>
  <c r="G1291" i="2" s="1"/>
  <c r="G1292" i="2" a="1"/>
  <c r="G1292" i="2" s="1"/>
  <c r="G1293" i="2" a="1"/>
  <c r="G1293" i="2" s="1"/>
  <c r="G1294" i="2" a="1"/>
  <c r="G1294" i="2" s="1"/>
  <c r="G1295" i="2" a="1"/>
  <c r="G1295" i="2" s="1"/>
  <c r="G1296" i="2" a="1"/>
  <c r="G1296" i="2" s="1"/>
  <c r="G1297" i="2" a="1"/>
  <c r="G1297" i="2" s="1"/>
  <c r="G1298" i="2" a="1"/>
  <c r="G1298" i="2" s="1"/>
  <c r="G1299" i="2" a="1"/>
  <c r="G1299" i="2" s="1"/>
  <c r="G1300" i="2" a="1"/>
  <c r="G1300" i="2" s="1"/>
  <c r="G1301" i="2" a="1"/>
  <c r="G1301" i="2" s="1"/>
  <c r="G1302" i="2" a="1"/>
  <c r="G1302" i="2" s="1"/>
  <c r="G1303" i="2" a="1"/>
  <c r="G1303" i="2" s="1"/>
  <c r="G1304" i="2" a="1"/>
  <c r="G1304" i="2" s="1"/>
  <c r="G1305" i="2" a="1"/>
  <c r="G1305" i="2" s="1"/>
  <c r="G1306" i="2" a="1"/>
  <c r="G1306" i="2" s="1"/>
  <c r="G1307" i="2" a="1"/>
  <c r="G1307" i="2" s="1"/>
  <c r="G1308" i="2" a="1"/>
  <c r="G1308" i="2" s="1"/>
  <c r="G1309" i="2" a="1"/>
  <c r="G1309" i="2" s="1"/>
  <c r="G1310" i="2" a="1"/>
  <c r="G1310" i="2" s="1"/>
  <c r="G1311" i="2" a="1"/>
  <c r="G1311" i="2" s="1"/>
  <c r="G1312" i="2" a="1"/>
  <c r="G1312" i="2" s="1"/>
  <c r="G1313" i="2" a="1"/>
  <c r="G1313" i="2" s="1"/>
  <c r="G1314" i="2" a="1"/>
  <c r="G1314" i="2" s="1"/>
  <c r="G1315" i="2" a="1"/>
  <c r="G1315" i="2" s="1"/>
  <c r="G1316" i="2" a="1"/>
  <c r="G1316" i="2" s="1"/>
  <c r="G1317" i="2" a="1"/>
  <c r="G1317" i="2" s="1"/>
  <c r="G1318" i="2" a="1"/>
  <c r="G1318" i="2" s="1"/>
  <c r="G1319" i="2" a="1"/>
  <c r="G1319" i="2" s="1"/>
  <c r="G1320" i="2" a="1"/>
  <c r="G1320" i="2" s="1"/>
  <c r="G1321" i="2" a="1"/>
  <c r="G1321" i="2" s="1"/>
  <c r="G1322" i="2" a="1"/>
  <c r="G1322" i="2" s="1"/>
  <c r="G1323" i="2" a="1"/>
  <c r="G1323" i="2" s="1"/>
  <c r="G1324" i="2" a="1"/>
  <c r="G1324" i="2" s="1"/>
  <c r="G1325" i="2" a="1"/>
  <c r="G1325" i="2" s="1"/>
  <c r="G1326" i="2" a="1"/>
  <c r="G1326" i="2" s="1"/>
  <c r="G1327" i="2" a="1"/>
  <c r="G1327" i="2" s="1"/>
  <c r="G1328" i="2" a="1"/>
  <c r="G1328" i="2" s="1"/>
  <c r="G1329" i="2" a="1"/>
  <c r="G1329" i="2" s="1"/>
  <c r="G1330" i="2" a="1"/>
  <c r="G1330" i="2" s="1"/>
  <c r="G1331" i="2" a="1"/>
  <c r="G1331" i="2" s="1"/>
  <c r="G1332" i="2" a="1"/>
  <c r="G1332" i="2" s="1"/>
  <c r="G1333" i="2" a="1"/>
  <c r="G1333" i="2" s="1"/>
  <c r="G1334" i="2" a="1"/>
  <c r="G1334" i="2" s="1"/>
  <c r="G1335" i="2" a="1"/>
  <c r="G1335" i="2" s="1"/>
  <c r="G1336" i="2" a="1"/>
  <c r="G1336" i="2" s="1"/>
  <c r="G1337" i="2" a="1"/>
  <c r="G1337" i="2" s="1"/>
  <c r="G1338" i="2" a="1"/>
  <c r="G1338" i="2" s="1"/>
  <c r="G1339" i="2" a="1"/>
  <c r="G1339" i="2" s="1"/>
  <c r="G1340" i="2" a="1"/>
  <c r="G1340" i="2" s="1"/>
  <c r="G1341" i="2" a="1"/>
  <c r="G1341" i="2" s="1"/>
  <c r="G1342" i="2" a="1"/>
  <c r="G1342" i="2" s="1"/>
  <c r="G1343" i="2" a="1"/>
  <c r="G1343" i="2" s="1"/>
  <c r="G1344" i="2" a="1"/>
  <c r="G1344" i="2" s="1"/>
  <c r="G1345" i="2" a="1"/>
  <c r="G1345" i="2" s="1"/>
  <c r="G1346" i="2" a="1"/>
  <c r="G1346" i="2" s="1"/>
  <c r="G1347" i="2" a="1"/>
  <c r="G1347" i="2" s="1"/>
  <c r="G1348" i="2" a="1"/>
  <c r="G1348" i="2" s="1"/>
  <c r="G1349" i="2" a="1"/>
  <c r="G1349" i="2" s="1"/>
  <c r="G1350" i="2" a="1"/>
  <c r="G1350" i="2" s="1"/>
  <c r="G1351" i="2" a="1"/>
  <c r="G1351" i="2" s="1"/>
  <c r="G1352" i="2" a="1"/>
  <c r="G1352" i="2" s="1"/>
  <c r="G1353" i="2" a="1"/>
  <c r="G1353" i="2" s="1"/>
  <c r="G1354" i="2" a="1"/>
  <c r="G1354" i="2" s="1"/>
  <c r="G1355" i="2" a="1"/>
  <c r="G1355" i="2" s="1"/>
  <c r="G1356" i="2" a="1"/>
  <c r="G1356" i="2" s="1"/>
  <c r="G1357" i="2" a="1"/>
  <c r="G1357" i="2" s="1"/>
  <c r="G1358" i="2" a="1"/>
  <c r="G1358" i="2" s="1"/>
  <c r="G1359" i="2" a="1"/>
  <c r="G1359" i="2" s="1"/>
  <c r="G1360" i="2" a="1"/>
  <c r="G1360" i="2" s="1"/>
  <c r="G1361" i="2" a="1"/>
  <c r="G1361" i="2" s="1"/>
  <c r="G1362" i="2" a="1"/>
  <c r="G1362" i="2" s="1"/>
  <c r="G1363" i="2" a="1"/>
  <c r="G1363" i="2" s="1"/>
  <c r="G1364" i="2" a="1"/>
  <c r="G1364" i="2" s="1"/>
  <c r="G1365" i="2" a="1"/>
  <c r="G1365" i="2" s="1"/>
  <c r="G1366" i="2" a="1"/>
  <c r="G1366" i="2" s="1"/>
  <c r="G1367" i="2" a="1"/>
  <c r="G1367" i="2" s="1"/>
  <c r="G1368" i="2" a="1"/>
  <c r="G1368" i="2" s="1"/>
  <c r="G1369" i="2" a="1"/>
  <c r="G1369" i="2" s="1"/>
  <c r="G1370" i="2" a="1"/>
  <c r="G1370" i="2" s="1"/>
  <c r="G1371" i="2" a="1"/>
  <c r="G1371" i="2" s="1"/>
  <c r="G1372" i="2" a="1"/>
  <c r="G1372" i="2" s="1"/>
  <c r="G1373" i="2" a="1"/>
  <c r="G1373" i="2" s="1"/>
  <c r="G1374" i="2" a="1"/>
  <c r="G1374" i="2" s="1"/>
  <c r="G1375" i="2" a="1"/>
  <c r="G1375" i="2" s="1"/>
  <c r="G1376" i="2" a="1"/>
  <c r="G1376" i="2" s="1"/>
  <c r="G1377" i="2" a="1"/>
  <c r="G1377" i="2" s="1"/>
  <c r="G1378" i="2" a="1"/>
  <c r="G1378" i="2" s="1"/>
  <c r="G1379" i="2" a="1"/>
  <c r="G1379" i="2" s="1"/>
  <c r="G1380" i="2" a="1"/>
  <c r="G1380" i="2" s="1"/>
  <c r="G1381" i="2" a="1"/>
  <c r="G1381" i="2" s="1"/>
  <c r="G1382" i="2" a="1"/>
  <c r="G1382" i="2" s="1"/>
  <c r="G1383" i="2" a="1"/>
  <c r="G1383" i="2" s="1"/>
  <c r="G1384" i="2" a="1"/>
  <c r="G1384" i="2" s="1"/>
  <c r="G1385" i="2" a="1"/>
  <c r="G1385" i="2" s="1"/>
  <c r="G1386" i="2" a="1"/>
  <c r="G1386" i="2" s="1"/>
  <c r="G1387" i="2" a="1"/>
  <c r="G1387" i="2" s="1"/>
  <c r="G1388" i="2" a="1"/>
  <c r="G1388" i="2" s="1"/>
  <c r="G1389" i="2" a="1"/>
  <c r="G1389" i="2" s="1"/>
  <c r="G1390" i="2" a="1"/>
  <c r="G1390" i="2" s="1"/>
  <c r="G1391" i="2" a="1"/>
  <c r="G1391" i="2" s="1"/>
  <c r="G1392" i="2" a="1"/>
  <c r="G1392" i="2" s="1"/>
  <c r="G1393" i="2" a="1"/>
  <c r="G1393" i="2" s="1"/>
  <c r="G1394" i="2" a="1"/>
  <c r="G1394" i="2" s="1"/>
  <c r="G1395" i="2" a="1"/>
  <c r="G1395" i="2" s="1"/>
  <c r="G1396" i="2" a="1"/>
  <c r="G1396" i="2" s="1"/>
  <c r="G1397" i="2" a="1"/>
  <c r="G1397" i="2" s="1"/>
  <c r="G1398" i="2" a="1"/>
  <c r="G1398" i="2" s="1"/>
  <c r="G1399" i="2" a="1"/>
  <c r="G1399" i="2" s="1"/>
  <c r="G1400" i="2" a="1"/>
  <c r="G1400" i="2" s="1"/>
  <c r="G1401" i="2" a="1"/>
  <c r="G1401" i="2" s="1"/>
  <c r="G1402" i="2" a="1"/>
  <c r="G1402" i="2" s="1"/>
  <c r="G1403" i="2" a="1"/>
  <c r="G1403" i="2" s="1"/>
  <c r="G1404" i="2" a="1"/>
  <c r="G1404" i="2" s="1"/>
  <c r="G1405" i="2" a="1"/>
  <c r="G1405" i="2" s="1"/>
  <c r="G1406" i="2" a="1"/>
  <c r="G1406" i="2" s="1"/>
  <c r="G1407" i="2" a="1"/>
  <c r="G1407" i="2" s="1"/>
  <c r="G1408" i="2" a="1"/>
  <c r="G1408" i="2" s="1"/>
  <c r="G1409" i="2" a="1"/>
  <c r="G1409" i="2" s="1"/>
  <c r="G1410" i="2" a="1"/>
  <c r="G1410" i="2" s="1"/>
  <c r="G1411" i="2" a="1"/>
  <c r="G1411" i="2" s="1"/>
  <c r="G1412" i="2" a="1"/>
  <c r="G1412" i="2" s="1"/>
  <c r="G1413" i="2" a="1"/>
  <c r="G1413" i="2" s="1"/>
  <c r="G1414" i="2" a="1"/>
  <c r="G1414" i="2" s="1"/>
  <c r="G1415" i="2" a="1"/>
  <c r="G1415" i="2" s="1"/>
  <c r="G1416" i="2" a="1"/>
  <c r="G1416" i="2" s="1"/>
  <c r="G1417" i="2" a="1"/>
  <c r="G1417" i="2" s="1"/>
  <c r="G1418" i="2" a="1"/>
  <c r="G1418" i="2" s="1"/>
  <c r="G1419" i="2" a="1"/>
  <c r="G1419" i="2" s="1"/>
  <c r="G1420" i="2" a="1"/>
  <c r="G1420" i="2" s="1"/>
  <c r="G1421" i="2" a="1"/>
  <c r="G1421" i="2" s="1"/>
  <c r="G1422" i="2" a="1"/>
  <c r="G1422" i="2" s="1"/>
  <c r="G1423" i="2" a="1"/>
  <c r="G1423" i="2" s="1"/>
  <c r="G1424" i="2" a="1"/>
  <c r="G1424" i="2" s="1"/>
  <c r="G1425" i="2" a="1"/>
  <c r="G1425" i="2" s="1"/>
  <c r="G1426" i="2" a="1"/>
  <c r="G1426" i="2" s="1"/>
  <c r="G1427" i="2" a="1"/>
  <c r="G1427" i="2" s="1"/>
  <c r="G1428" i="2" a="1"/>
  <c r="G1428" i="2" s="1"/>
  <c r="G1429" i="2" a="1"/>
  <c r="G1429" i="2" s="1"/>
  <c r="G1430" i="2" a="1"/>
  <c r="G1430" i="2" s="1"/>
  <c r="G1431" i="2" a="1"/>
  <c r="G1431" i="2" s="1"/>
  <c r="G1432" i="2" a="1"/>
  <c r="G1432" i="2" s="1"/>
  <c r="G1433" i="2" a="1"/>
  <c r="G1433" i="2" s="1"/>
  <c r="G1434" i="2" a="1"/>
  <c r="G1434" i="2" s="1"/>
  <c r="G1435" i="2" a="1"/>
  <c r="G1435" i="2" s="1"/>
  <c r="G1436" i="2" a="1"/>
  <c r="G1436" i="2" s="1"/>
  <c r="G1437" i="2" a="1"/>
  <c r="G1437" i="2" s="1"/>
  <c r="G1438" i="2" a="1"/>
  <c r="G1438" i="2" s="1"/>
  <c r="G1439" i="2" a="1"/>
  <c r="G1439" i="2" s="1"/>
  <c r="G1440" i="2" a="1"/>
  <c r="G1440" i="2" s="1"/>
  <c r="G1441" i="2" a="1"/>
  <c r="G1441" i="2" s="1"/>
  <c r="G1442" i="2" a="1"/>
  <c r="G1442" i="2" s="1"/>
  <c r="G1443" i="2" a="1"/>
  <c r="G1443" i="2" s="1"/>
  <c r="G1444" i="2" a="1"/>
  <c r="G1444" i="2" s="1"/>
  <c r="G1445" i="2" a="1"/>
  <c r="G1445" i="2" s="1"/>
  <c r="G1446" i="2" a="1"/>
  <c r="G1446" i="2" s="1"/>
  <c r="G1447" i="2" a="1"/>
  <c r="G1447" i="2" s="1"/>
  <c r="G1448" i="2" a="1"/>
  <c r="G1448" i="2" s="1"/>
  <c r="G1449" i="2" a="1"/>
  <c r="G1449" i="2" s="1"/>
  <c r="G1450" i="2" a="1"/>
  <c r="G1450" i="2" s="1"/>
  <c r="G1451" i="2" a="1"/>
  <c r="G1451" i="2" s="1"/>
  <c r="G1452" i="2" a="1"/>
  <c r="G1452" i="2" s="1"/>
  <c r="G1453" i="2" a="1"/>
  <c r="G1453" i="2" s="1"/>
  <c r="G1454" i="2" a="1"/>
  <c r="G1454" i="2" s="1"/>
  <c r="G1455" i="2" a="1"/>
  <c r="G1455" i="2" s="1"/>
  <c r="G1456" i="2" a="1"/>
  <c r="G1456" i="2" s="1"/>
  <c r="G1457" i="2" a="1"/>
  <c r="G1457" i="2" s="1"/>
  <c r="G1458" i="2" a="1"/>
  <c r="G1458" i="2" s="1"/>
  <c r="G1459" i="2" a="1"/>
  <c r="G1459" i="2" s="1"/>
  <c r="G1460" i="2" a="1"/>
  <c r="G1460" i="2" s="1"/>
  <c r="G1461" i="2" a="1"/>
  <c r="G1461" i="2" s="1"/>
  <c r="G1462" i="2" a="1"/>
  <c r="G1462" i="2" s="1"/>
  <c r="G1463" i="2" a="1"/>
  <c r="G1463" i="2" s="1"/>
  <c r="G1464" i="2" a="1"/>
  <c r="G1464" i="2" s="1"/>
  <c r="G1465" i="2" a="1"/>
  <c r="G1465" i="2" s="1"/>
  <c r="G1466" i="2" a="1"/>
  <c r="G1466" i="2" s="1"/>
  <c r="G1467" i="2" a="1"/>
  <c r="G1467" i="2" s="1"/>
  <c r="G1468" i="2" a="1"/>
  <c r="G1468" i="2" s="1"/>
  <c r="G1469" i="2" a="1"/>
  <c r="G1469" i="2" s="1"/>
  <c r="G1470" i="2" a="1"/>
  <c r="G1470" i="2" s="1"/>
  <c r="G1471" i="2" a="1"/>
  <c r="G1471" i="2" s="1"/>
  <c r="G1472" i="2" a="1"/>
  <c r="G1472" i="2" s="1"/>
  <c r="G1473" i="2" a="1"/>
  <c r="G1473" i="2" s="1"/>
  <c r="G1474" i="2" a="1"/>
  <c r="G1474" i="2" s="1"/>
  <c r="G1475" i="2" a="1"/>
  <c r="G1475" i="2" s="1"/>
  <c r="G1476" i="2" a="1"/>
  <c r="G1476" i="2" s="1"/>
  <c r="G1477" i="2" a="1"/>
  <c r="G1477" i="2" s="1"/>
  <c r="G1478" i="2" a="1"/>
  <c r="G1478" i="2" s="1"/>
  <c r="G1479" i="2" a="1"/>
  <c r="G1479" i="2" s="1"/>
  <c r="G1480" i="2" a="1"/>
  <c r="G1480" i="2" s="1"/>
  <c r="G1481" i="2" a="1"/>
  <c r="G1481" i="2" s="1"/>
  <c r="G1482" i="2" a="1"/>
  <c r="G1482" i="2" s="1"/>
  <c r="G1483" i="2" a="1"/>
  <c r="G1483" i="2" s="1"/>
  <c r="G1484" i="2" a="1"/>
  <c r="G1484" i="2" s="1"/>
  <c r="G1485" i="2" a="1"/>
  <c r="G1485" i="2" s="1"/>
  <c r="G1486" i="2" a="1"/>
  <c r="G1486" i="2" s="1"/>
  <c r="G1487" i="2" a="1"/>
  <c r="G1487" i="2" s="1"/>
  <c r="G1488" i="2" a="1"/>
  <c r="G1488" i="2" s="1"/>
  <c r="G1489" i="2" a="1"/>
  <c r="G1489" i="2" s="1"/>
  <c r="G1490" i="2" a="1"/>
  <c r="G1490" i="2" s="1"/>
  <c r="G1491" i="2" a="1"/>
  <c r="G1491" i="2" s="1"/>
  <c r="G1492" i="2" a="1"/>
  <c r="G1492" i="2" s="1"/>
  <c r="G1493" i="2" a="1"/>
  <c r="G1493" i="2" s="1"/>
  <c r="G1494" i="2" a="1"/>
  <c r="G1494" i="2" s="1"/>
  <c r="G1495" i="2" a="1"/>
  <c r="G1495" i="2" s="1"/>
  <c r="G1496" i="2" a="1"/>
  <c r="G1496" i="2" s="1"/>
  <c r="G1497" i="2" a="1"/>
  <c r="G1497" i="2" s="1"/>
  <c r="G1498" i="2" a="1"/>
  <c r="G1498" i="2" s="1"/>
  <c r="G1499" i="2" a="1"/>
  <c r="G1499" i="2" s="1"/>
  <c r="G1500" i="2" a="1"/>
  <c r="G1500" i="2" s="1"/>
  <c r="G1501" i="2" a="1"/>
  <c r="G1501" i="2" s="1"/>
  <c r="G1502" i="2" a="1"/>
  <c r="G1502" i="2" s="1"/>
  <c r="G1503" i="2" a="1"/>
  <c r="G1503" i="2" s="1"/>
  <c r="G1504" i="2" a="1"/>
  <c r="G1504" i="2" s="1"/>
  <c r="G1505" i="2" a="1"/>
  <c r="G1505" i="2" s="1"/>
  <c r="G1506" i="2" a="1"/>
  <c r="G1506" i="2" s="1"/>
  <c r="G1507" i="2" a="1"/>
  <c r="G1507" i="2" s="1"/>
  <c r="G1508" i="2" a="1"/>
  <c r="G1508" i="2" s="1"/>
  <c r="G1509" i="2" a="1"/>
  <c r="G1509" i="2" s="1"/>
  <c r="G1510" i="2" a="1"/>
  <c r="G1510" i="2" s="1"/>
  <c r="G1511" i="2" a="1"/>
  <c r="G1511" i="2" s="1"/>
  <c r="G1512" i="2" a="1"/>
  <c r="G1512" i="2" s="1"/>
  <c r="G1513" i="2" a="1"/>
  <c r="G1513" i="2" s="1"/>
  <c r="G1514" i="2" a="1"/>
  <c r="G1514" i="2" s="1"/>
  <c r="G1515" i="2" a="1"/>
  <c r="G1515" i="2" s="1"/>
  <c r="G1516" i="2" a="1"/>
  <c r="G1516" i="2" s="1"/>
  <c r="G1517" i="2" a="1"/>
  <c r="G1517" i="2" s="1"/>
  <c r="G1518" i="2" a="1"/>
  <c r="G1518" i="2" s="1"/>
  <c r="G1519" i="2" a="1"/>
  <c r="G1519" i="2" s="1"/>
  <c r="G1520" i="2" a="1"/>
  <c r="G1520" i="2" s="1"/>
  <c r="G1521" i="2" a="1"/>
  <c r="G1521" i="2" s="1"/>
  <c r="G1522" i="2" a="1"/>
  <c r="G1522" i="2" s="1"/>
  <c r="G1523" i="2" a="1"/>
  <c r="G1523" i="2" s="1"/>
  <c r="G1524" i="2" a="1"/>
  <c r="G1524" i="2" s="1"/>
  <c r="G1525" i="2" a="1"/>
  <c r="G1525" i="2" s="1"/>
  <c r="G1526" i="2" a="1"/>
  <c r="G1526" i="2" s="1"/>
  <c r="G1527" i="2" a="1"/>
  <c r="G1527" i="2" s="1"/>
  <c r="G1528" i="2" a="1"/>
  <c r="G1528" i="2" s="1"/>
  <c r="G1529" i="2" a="1"/>
  <c r="G1529" i="2" s="1"/>
  <c r="G1530" i="2" a="1"/>
  <c r="G1530" i="2" s="1"/>
  <c r="G1531" i="2" a="1"/>
  <c r="G1531" i="2" s="1"/>
  <c r="G1532" i="2" a="1"/>
  <c r="G1532" i="2" s="1"/>
  <c r="G1533" i="2" a="1"/>
  <c r="G1533" i="2" s="1"/>
  <c r="G1534" i="2" a="1"/>
  <c r="G1534" i="2" s="1"/>
  <c r="G1535" i="2" a="1"/>
  <c r="G1535" i="2" s="1"/>
  <c r="G1536" i="2" a="1"/>
  <c r="G1536" i="2" s="1"/>
  <c r="G1537" i="2" a="1"/>
  <c r="G1537" i="2" s="1"/>
  <c r="G1538" i="2" a="1"/>
  <c r="G1538" i="2" s="1"/>
  <c r="G1539" i="2" a="1"/>
  <c r="G1539" i="2" s="1"/>
  <c r="G1540" i="2" a="1"/>
  <c r="G1540" i="2" s="1"/>
  <c r="G1541" i="2" a="1"/>
  <c r="G1541" i="2" s="1"/>
  <c r="G1542" i="2" a="1"/>
  <c r="G1542" i="2" s="1"/>
  <c r="G1543" i="2" a="1"/>
  <c r="G1543" i="2" s="1"/>
  <c r="G1544" i="2" a="1"/>
  <c r="G1544" i="2" s="1"/>
  <c r="G1545" i="2" a="1"/>
  <c r="G1545" i="2" s="1"/>
  <c r="G1546" i="2" a="1"/>
  <c r="G1546" i="2" s="1"/>
  <c r="G1547" i="2" a="1"/>
  <c r="G1547" i="2" s="1"/>
  <c r="G1548" i="2" a="1"/>
  <c r="G1548" i="2" s="1"/>
  <c r="G1549" i="2" a="1"/>
  <c r="G1549" i="2" s="1"/>
  <c r="G1550" i="2" a="1"/>
  <c r="G1550" i="2" s="1"/>
  <c r="G1551" i="2" a="1"/>
  <c r="G1551" i="2" s="1"/>
  <c r="G1552" i="2" a="1"/>
  <c r="G1552" i="2" s="1"/>
  <c r="G1553" i="2" a="1"/>
  <c r="G1553" i="2" s="1"/>
  <c r="G1554" i="2" a="1"/>
  <c r="G1554" i="2" s="1"/>
  <c r="G1555" i="2" a="1"/>
  <c r="G1555" i="2" s="1"/>
  <c r="G1556" i="2" a="1"/>
  <c r="G1556" i="2" s="1"/>
  <c r="G1557" i="2" a="1"/>
  <c r="G1557" i="2" s="1"/>
  <c r="G1558" i="2" a="1"/>
  <c r="G1558" i="2" s="1"/>
  <c r="G1559" i="2" a="1"/>
  <c r="G1559" i="2" s="1"/>
  <c r="G1560" i="2" a="1"/>
  <c r="G1560" i="2" s="1"/>
  <c r="G1561" i="2" a="1"/>
  <c r="G1561" i="2" s="1"/>
  <c r="G1562" i="2" a="1"/>
  <c r="G1562" i="2" s="1"/>
  <c r="G1563" i="2" a="1"/>
  <c r="G1563" i="2" s="1"/>
  <c r="G1564" i="2" a="1"/>
  <c r="G1564" i="2" s="1"/>
  <c r="G1565" i="2" a="1"/>
  <c r="G1565" i="2" s="1"/>
  <c r="G1566" i="2" a="1"/>
  <c r="G1566" i="2" s="1"/>
  <c r="G1567" i="2" a="1"/>
  <c r="G1567" i="2" s="1"/>
  <c r="G1568" i="2" a="1"/>
  <c r="G1568" i="2" s="1"/>
  <c r="G1569" i="2" a="1"/>
  <c r="G1569" i="2" s="1"/>
  <c r="G1570" i="2" a="1"/>
  <c r="G1570" i="2" s="1"/>
  <c r="G1571" i="2" a="1"/>
  <c r="G1571" i="2" s="1"/>
  <c r="G1572" i="2" a="1"/>
  <c r="G1572" i="2" s="1"/>
  <c r="G1573" i="2" a="1"/>
  <c r="G1573" i="2" s="1"/>
  <c r="G1574" i="2" a="1"/>
  <c r="G1574" i="2" s="1"/>
  <c r="G1575" i="2" a="1"/>
  <c r="G1575" i="2" s="1"/>
  <c r="G1576" i="2" a="1"/>
  <c r="G1576" i="2" s="1"/>
  <c r="G1577" i="2" a="1"/>
  <c r="G1577" i="2" s="1"/>
  <c r="G1578" i="2" a="1"/>
  <c r="G1578" i="2" s="1"/>
  <c r="G1579" i="2" a="1"/>
  <c r="G1579" i="2" s="1"/>
  <c r="G1580" i="2" a="1"/>
  <c r="G1580" i="2" s="1"/>
  <c r="G1581" i="2" a="1"/>
  <c r="G1581" i="2" s="1"/>
  <c r="G1582" i="2" a="1"/>
  <c r="G1582" i="2" s="1"/>
  <c r="G1583" i="2" a="1"/>
  <c r="G1583" i="2" s="1"/>
  <c r="G1584" i="2" a="1"/>
  <c r="G1584" i="2" s="1"/>
  <c r="G1585" i="2" a="1"/>
  <c r="G1585" i="2" s="1"/>
  <c r="G1586" i="2" a="1"/>
  <c r="G1586" i="2" s="1"/>
  <c r="G1587" i="2" a="1"/>
  <c r="G1587" i="2" s="1"/>
  <c r="G1588" i="2" a="1"/>
  <c r="G1588" i="2" s="1"/>
  <c r="G1589" i="2" a="1"/>
  <c r="G1589" i="2" s="1"/>
  <c r="G1590" i="2" a="1"/>
  <c r="G1590" i="2" s="1"/>
  <c r="G1591" i="2" a="1"/>
  <c r="G1591" i="2" s="1"/>
  <c r="G1592" i="2" a="1"/>
  <c r="G1592" i="2" s="1"/>
  <c r="G1593" i="2" a="1"/>
  <c r="G1593" i="2" s="1"/>
  <c r="G1594" i="2" a="1"/>
  <c r="G1594" i="2" s="1"/>
  <c r="G1595" i="2" a="1"/>
  <c r="G1595" i="2" s="1"/>
  <c r="G1596" i="2" a="1"/>
  <c r="G1596" i="2" s="1"/>
  <c r="G1597" i="2" a="1"/>
  <c r="G1597" i="2" s="1"/>
  <c r="G1598" i="2" a="1"/>
  <c r="G1598" i="2" s="1"/>
  <c r="G1599" i="2" a="1"/>
  <c r="G1599" i="2" s="1"/>
  <c r="G1600" i="2" a="1"/>
  <c r="G1600" i="2" s="1"/>
  <c r="G1601" i="2" a="1"/>
  <c r="G1601" i="2" s="1"/>
  <c r="G1602" i="2" a="1"/>
  <c r="G1602" i="2" s="1"/>
  <c r="G1603" i="2" a="1"/>
  <c r="G1603" i="2" s="1"/>
  <c r="G1604" i="2" a="1"/>
  <c r="G1604" i="2" s="1"/>
  <c r="G1605" i="2" a="1"/>
  <c r="G1605" i="2" s="1"/>
  <c r="G1606" i="2" a="1"/>
  <c r="G1606" i="2" s="1"/>
  <c r="G1607" i="2" a="1"/>
  <c r="G1607" i="2" s="1"/>
  <c r="G1608" i="2" a="1"/>
  <c r="G1608" i="2" s="1"/>
  <c r="G1609" i="2" a="1"/>
  <c r="G1609" i="2" s="1"/>
  <c r="G1610" i="2" a="1"/>
  <c r="G1610" i="2" s="1"/>
  <c r="G1611" i="2" a="1"/>
  <c r="G1611" i="2" s="1"/>
  <c r="G1612" i="2" a="1"/>
  <c r="G1612" i="2" s="1"/>
  <c r="G1613" i="2" a="1"/>
  <c r="G1613" i="2" s="1"/>
  <c r="G1614" i="2" a="1"/>
  <c r="G1614" i="2" s="1"/>
  <c r="G1615" i="2" a="1"/>
  <c r="G1615" i="2" s="1"/>
  <c r="G1616" i="2" a="1"/>
  <c r="G1616" i="2" s="1"/>
  <c r="G1617" i="2" a="1"/>
  <c r="G1617" i="2" s="1"/>
  <c r="G1618" i="2" a="1"/>
  <c r="G1618" i="2" s="1"/>
  <c r="G1619" i="2" a="1"/>
  <c r="G1619" i="2" s="1"/>
  <c r="G1620" i="2" a="1"/>
  <c r="G1620" i="2" s="1"/>
  <c r="G1621" i="2" a="1"/>
  <c r="G1621" i="2" s="1"/>
  <c r="G1622" i="2" a="1"/>
  <c r="G1622" i="2" s="1"/>
  <c r="G1623" i="2" a="1"/>
  <c r="G1623" i="2" s="1"/>
  <c r="G1624" i="2" a="1"/>
  <c r="G1624" i="2" s="1"/>
  <c r="G1625" i="2" a="1"/>
  <c r="G1625" i="2" s="1"/>
  <c r="G1626" i="2" a="1"/>
  <c r="G1626" i="2" s="1"/>
  <c r="G1627" i="2" a="1"/>
  <c r="G1627" i="2" s="1"/>
  <c r="G1628" i="2" a="1"/>
  <c r="G1628" i="2" s="1"/>
  <c r="G1629" i="2" a="1"/>
  <c r="G1629" i="2" s="1"/>
  <c r="G1630" i="2" a="1"/>
  <c r="G1630" i="2" s="1"/>
  <c r="G1631" i="2" a="1"/>
  <c r="G1631" i="2" s="1"/>
  <c r="G1632" i="2" a="1"/>
  <c r="G1632" i="2" s="1"/>
  <c r="G1633" i="2" a="1"/>
  <c r="G1633" i="2" s="1"/>
  <c r="G1634" i="2" a="1"/>
  <c r="G1634" i="2" s="1"/>
  <c r="G1635" i="2" a="1"/>
  <c r="G1635" i="2" s="1"/>
  <c r="G1636" i="2" a="1"/>
  <c r="G1636" i="2" s="1"/>
  <c r="G1637" i="2" a="1"/>
  <c r="G1637" i="2" s="1"/>
  <c r="G1638" i="2" a="1"/>
  <c r="G1638" i="2" s="1"/>
  <c r="G1639" i="2" a="1"/>
  <c r="G1639" i="2" s="1"/>
  <c r="G1640" i="2" a="1"/>
  <c r="G1640" i="2" s="1"/>
  <c r="G1641" i="2" a="1"/>
  <c r="G1641" i="2" s="1"/>
  <c r="G1642" i="2" a="1"/>
  <c r="G1642" i="2" s="1"/>
  <c r="G1643" i="2" a="1"/>
  <c r="G1643" i="2" s="1"/>
  <c r="G1644" i="2" a="1"/>
  <c r="G1644" i="2" s="1"/>
  <c r="G1645" i="2" a="1"/>
  <c r="G1645" i="2" s="1"/>
  <c r="G1646" i="2" a="1"/>
  <c r="G1646" i="2" s="1"/>
  <c r="G1647" i="2" a="1"/>
  <c r="G1647" i="2" s="1"/>
  <c r="G1648" i="2" a="1"/>
  <c r="G1648" i="2" s="1"/>
  <c r="G1649" i="2" a="1"/>
  <c r="G1649" i="2" s="1"/>
  <c r="G1650" i="2" a="1"/>
  <c r="G1650" i="2" s="1"/>
  <c r="G1651" i="2" a="1"/>
  <c r="G1651" i="2" s="1"/>
  <c r="G1652" i="2" a="1"/>
  <c r="G1652" i="2" s="1"/>
  <c r="G1653" i="2" a="1"/>
  <c r="G1653" i="2" s="1"/>
  <c r="G1654" i="2" a="1"/>
  <c r="G1654" i="2" s="1"/>
  <c r="G1655" i="2" a="1"/>
  <c r="G1655" i="2" s="1"/>
  <c r="G1656" i="2" a="1"/>
  <c r="G1656" i="2" s="1"/>
  <c r="G1657" i="2" a="1"/>
  <c r="G1657" i="2" s="1"/>
  <c r="G1658" i="2" a="1"/>
  <c r="G1658" i="2" s="1"/>
  <c r="G1659" i="2" a="1"/>
  <c r="G1659" i="2" s="1"/>
  <c r="G1660" i="2" a="1"/>
  <c r="G1660" i="2" s="1"/>
  <c r="G1661" i="2" a="1"/>
  <c r="G1661" i="2" s="1"/>
  <c r="G1662" i="2" a="1"/>
  <c r="G1662" i="2" s="1"/>
  <c r="G1663" i="2" a="1"/>
  <c r="G1663" i="2" s="1"/>
  <c r="G1664" i="2" a="1"/>
  <c r="G1664" i="2" s="1"/>
  <c r="G1665" i="2" a="1"/>
  <c r="G1665" i="2" s="1"/>
  <c r="G1666" i="2" a="1"/>
  <c r="G1666" i="2" s="1"/>
  <c r="G1667" i="2" a="1"/>
  <c r="G1667" i="2" s="1"/>
  <c r="G1668" i="2" a="1"/>
  <c r="G1668" i="2" s="1"/>
  <c r="G1669" i="2" a="1"/>
  <c r="G1669" i="2" s="1"/>
  <c r="G1670" i="2" a="1"/>
  <c r="G1670" i="2" s="1"/>
  <c r="G1671" i="2" a="1"/>
  <c r="G1671" i="2" s="1"/>
  <c r="G1672" i="2" a="1"/>
  <c r="G1672" i="2" s="1"/>
  <c r="G1673" i="2" a="1"/>
  <c r="G1673" i="2" s="1"/>
  <c r="G1674" i="2" a="1"/>
  <c r="G1674" i="2" s="1"/>
  <c r="G1675" i="2" a="1"/>
  <c r="G1675" i="2" s="1"/>
  <c r="G1676" i="2" a="1"/>
  <c r="G1676" i="2" s="1"/>
  <c r="G1677" i="2" a="1"/>
  <c r="G1677" i="2" s="1"/>
  <c r="G1678" i="2" a="1"/>
  <c r="G1678" i="2" s="1"/>
  <c r="G1679" i="2" a="1"/>
  <c r="G1679" i="2" s="1"/>
  <c r="G1680" i="2" a="1"/>
  <c r="G1680" i="2" s="1"/>
  <c r="G1681" i="2" a="1"/>
  <c r="G1681" i="2" s="1"/>
  <c r="G1682" i="2" a="1"/>
  <c r="G1682" i="2" s="1"/>
  <c r="G1683" i="2" a="1"/>
  <c r="G1683" i="2" s="1"/>
  <c r="G1684" i="2" a="1"/>
  <c r="G1684" i="2" s="1"/>
  <c r="G1685" i="2" a="1"/>
  <c r="G1685" i="2" s="1"/>
  <c r="G1686" i="2" a="1"/>
  <c r="G1686" i="2" s="1"/>
  <c r="G1687" i="2" a="1"/>
  <c r="G1687" i="2" s="1"/>
  <c r="G1688" i="2" a="1"/>
  <c r="G1688" i="2" s="1"/>
  <c r="G1689" i="2" a="1"/>
  <c r="G1689" i="2" s="1"/>
  <c r="G1690" i="2" a="1"/>
  <c r="G1690" i="2" s="1"/>
  <c r="G1691" i="2" a="1"/>
  <c r="G1691" i="2" s="1"/>
  <c r="G1692" i="2" a="1"/>
  <c r="G1692" i="2" s="1"/>
  <c r="G1693" i="2" a="1"/>
  <c r="G1693" i="2" s="1"/>
  <c r="G1694" i="2" a="1"/>
  <c r="G1694" i="2" s="1"/>
  <c r="G1695" i="2" a="1"/>
  <c r="G1695" i="2" s="1"/>
  <c r="G1696" i="2" a="1"/>
  <c r="G1696" i="2" s="1"/>
  <c r="G1697" i="2" a="1"/>
  <c r="G1697" i="2" s="1"/>
  <c r="G1698" i="2" a="1"/>
  <c r="G1698" i="2" s="1"/>
  <c r="G1699" i="2" a="1"/>
  <c r="G1699" i="2" s="1"/>
  <c r="G1700" i="2" a="1"/>
  <c r="G1700" i="2" s="1"/>
  <c r="G1701" i="2" a="1"/>
  <c r="G1701" i="2" s="1"/>
  <c r="G1702" i="2" a="1"/>
  <c r="G1702" i="2" s="1"/>
  <c r="G1703" i="2" a="1"/>
  <c r="G1703" i="2" s="1"/>
  <c r="G1704" i="2" a="1"/>
  <c r="G1704" i="2" s="1"/>
  <c r="G1705" i="2" a="1"/>
  <c r="G1705" i="2" s="1"/>
  <c r="G1706" i="2" a="1"/>
  <c r="G1706" i="2" s="1"/>
  <c r="G1707" i="2" a="1"/>
  <c r="G1707" i="2" s="1"/>
  <c r="G1708" i="2" a="1"/>
  <c r="G1708" i="2" s="1"/>
  <c r="G1709" i="2" a="1"/>
  <c r="G1709" i="2" s="1"/>
  <c r="G1710" i="2" a="1"/>
  <c r="G1710" i="2" s="1"/>
  <c r="G1711" i="2" a="1"/>
  <c r="G1711" i="2" s="1"/>
  <c r="G1712" i="2" a="1"/>
  <c r="G1712" i="2" s="1"/>
  <c r="G1713" i="2" a="1"/>
  <c r="G1713" i="2" s="1"/>
  <c r="G1714" i="2" a="1"/>
  <c r="G1714" i="2" s="1"/>
  <c r="G1715" i="2" a="1"/>
  <c r="G1715" i="2" s="1"/>
  <c r="G1716" i="2" a="1"/>
  <c r="G1716" i="2" s="1"/>
  <c r="G1717" i="2" a="1"/>
  <c r="G1717" i="2" s="1"/>
  <c r="G1718" i="2" a="1"/>
  <c r="G1718" i="2" s="1"/>
  <c r="G1719" i="2" a="1"/>
  <c r="G1719" i="2" s="1"/>
  <c r="G1720" i="2" a="1"/>
  <c r="G1720" i="2" s="1"/>
  <c r="G1721" i="2" a="1"/>
  <c r="G1721" i="2" s="1"/>
  <c r="G1722" i="2" a="1"/>
  <c r="G1722" i="2" s="1"/>
  <c r="G1723" i="2" a="1"/>
  <c r="G1723" i="2" s="1"/>
  <c r="G1724" i="2" a="1"/>
  <c r="G1724" i="2" s="1"/>
  <c r="G1725" i="2" a="1"/>
  <c r="G1725" i="2" s="1"/>
  <c r="G1726" i="2" a="1"/>
  <c r="G1726" i="2" s="1"/>
  <c r="G1727" i="2" a="1"/>
  <c r="G1727" i="2" s="1"/>
  <c r="G1728" i="2" a="1"/>
  <c r="G1728" i="2" s="1"/>
  <c r="G1729" i="2" a="1"/>
  <c r="G1729" i="2" s="1"/>
  <c r="G1730" i="2" a="1"/>
  <c r="G1730" i="2" s="1"/>
  <c r="G1731" i="2" a="1"/>
  <c r="G1731" i="2" s="1"/>
  <c r="G1732" i="2" a="1"/>
  <c r="G1732" i="2" s="1"/>
  <c r="G1733" i="2" a="1"/>
  <c r="G1733" i="2" s="1"/>
  <c r="G1734" i="2" a="1"/>
  <c r="G1734" i="2" s="1"/>
  <c r="G1735" i="2" a="1"/>
  <c r="G1735" i="2" s="1"/>
  <c r="G1736" i="2" a="1"/>
  <c r="G1736" i="2" s="1"/>
  <c r="G1737" i="2" a="1"/>
  <c r="G1737" i="2" s="1"/>
  <c r="G1738" i="2" a="1"/>
  <c r="G1738" i="2" s="1"/>
  <c r="G1739" i="2" a="1"/>
  <c r="G1739" i="2" s="1"/>
  <c r="G1740" i="2" a="1"/>
  <c r="G1740" i="2" s="1"/>
  <c r="G1741" i="2" a="1"/>
  <c r="G1741" i="2" s="1"/>
  <c r="G1742" i="2" a="1"/>
  <c r="G1742" i="2" s="1"/>
  <c r="G1743" i="2" a="1"/>
  <c r="G1743" i="2" s="1"/>
  <c r="G1744" i="2" a="1"/>
  <c r="G1744" i="2" s="1"/>
  <c r="G1745" i="2" a="1"/>
  <c r="G1745" i="2" s="1"/>
  <c r="G1746" i="2" a="1"/>
  <c r="G1746" i="2" s="1"/>
  <c r="G1747" i="2" a="1"/>
  <c r="G1747" i="2" s="1"/>
  <c r="G1748" i="2" a="1"/>
  <c r="G1748" i="2" s="1"/>
  <c r="G1749" i="2" a="1"/>
  <c r="G1749" i="2" s="1"/>
  <c r="G1750" i="2" a="1"/>
  <c r="G1750" i="2" s="1"/>
  <c r="G1751" i="2" a="1"/>
  <c r="G1751" i="2" s="1"/>
  <c r="G1752" i="2" a="1"/>
  <c r="G1752" i="2" s="1"/>
  <c r="G1753" i="2" a="1"/>
  <c r="G1753" i="2" s="1"/>
  <c r="G1754" i="2" a="1"/>
  <c r="G1754" i="2" s="1"/>
  <c r="G1755" i="2" a="1"/>
  <c r="G1755" i="2" s="1"/>
  <c r="G1756" i="2" a="1"/>
  <c r="G1756" i="2" s="1"/>
  <c r="G1757" i="2" a="1"/>
  <c r="G1757" i="2" s="1"/>
  <c r="G1758" i="2" a="1"/>
  <c r="G1758" i="2" s="1"/>
  <c r="G1759" i="2" a="1"/>
  <c r="G1759" i="2" s="1"/>
  <c r="G1760" i="2" a="1"/>
  <c r="G1760" i="2" s="1"/>
  <c r="G1761" i="2" a="1"/>
  <c r="G1761" i="2" s="1"/>
  <c r="G1762" i="2" a="1"/>
  <c r="G1762" i="2" s="1"/>
  <c r="G1763" i="2" a="1"/>
  <c r="G1763" i="2" s="1"/>
  <c r="G1764" i="2" a="1"/>
  <c r="G1764" i="2" s="1"/>
  <c r="G1765" i="2" a="1"/>
  <c r="G1765" i="2" s="1"/>
  <c r="G1766" i="2" a="1"/>
  <c r="G1766" i="2" s="1"/>
  <c r="G1767" i="2" a="1"/>
  <c r="G1767" i="2" s="1"/>
  <c r="G1768" i="2" a="1"/>
  <c r="G1768" i="2" s="1"/>
  <c r="G1769" i="2" a="1"/>
  <c r="G1769" i="2" s="1"/>
  <c r="G1770" i="2" a="1"/>
  <c r="G1770" i="2" s="1"/>
  <c r="G1771" i="2" a="1"/>
  <c r="G1771" i="2" s="1"/>
  <c r="G1772" i="2" a="1"/>
  <c r="G1772" i="2" s="1"/>
  <c r="G1773" i="2" a="1"/>
  <c r="G1773" i="2" s="1"/>
  <c r="G1774" i="2" a="1"/>
  <c r="G1774" i="2" s="1"/>
  <c r="G1775" i="2" a="1"/>
  <c r="G1775" i="2" s="1"/>
  <c r="G1776" i="2" a="1"/>
  <c r="G1776" i="2" s="1"/>
  <c r="G1777" i="2" a="1"/>
  <c r="G1777" i="2" s="1"/>
  <c r="G1778" i="2" a="1"/>
  <c r="G1778" i="2" s="1"/>
  <c r="G1779" i="2" a="1"/>
  <c r="G1779" i="2" s="1"/>
  <c r="G1780" i="2" a="1"/>
  <c r="G1780" i="2" s="1"/>
  <c r="G1781" i="2" a="1"/>
  <c r="G1781" i="2" s="1"/>
  <c r="G1782" i="2" a="1"/>
  <c r="G1782" i="2" s="1"/>
  <c r="G1783" i="2" a="1"/>
  <c r="G1783" i="2" s="1"/>
  <c r="G1784" i="2" a="1"/>
  <c r="G1784" i="2" s="1"/>
  <c r="G1785" i="2" a="1"/>
  <c r="G1785" i="2" s="1"/>
  <c r="G1786" i="2" a="1"/>
  <c r="G1786" i="2" s="1"/>
  <c r="G1787" i="2" a="1"/>
  <c r="G1787" i="2" s="1"/>
  <c r="G1788" i="2" a="1"/>
  <c r="G1788" i="2" s="1"/>
  <c r="G1789" i="2" a="1"/>
  <c r="G1789" i="2" s="1"/>
  <c r="G1790" i="2" a="1"/>
  <c r="G1790" i="2" s="1"/>
  <c r="G1791" i="2" a="1"/>
  <c r="G1791" i="2" s="1"/>
  <c r="G1792" i="2" a="1"/>
  <c r="G1792" i="2" s="1"/>
  <c r="G1793" i="2" a="1"/>
  <c r="G1793" i="2" s="1"/>
  <c r="G1794" i="2" a="1"/>
  <c r="G1794" i="2" s="1"/>
  <c r="G1795" i="2" a="1"/>
  <c r="G1795" i="2" s="1"/>
  <c r="G1796" i="2" a="1"/>
  <c r="G1796" i="2" s="1"/>
  <c r="G1797" i="2" a="1"/>
  <c r="G1797" i="2" s="1"/>
  <c r="G1798" i="2" a="1"/>
  <c r="G1798" i="2" s="1"/>
  <c r="G1799" i="2" a="1"/>
  <c r="G1799" i="2" s="1"/>
  <c r="G1800" i="2" a="1"/>
  <c r="G1800" i="2" s="1"/>
  <c r="G1801" i="2" a="1"/>
  <c r="G1801" i="2" s="1"/>
  <c r="G1802" i="2" a="1"/>
  <c r="G1802" i="2" s="1"/>
  <c r="G1803" i="2" a="1"/>
  <c r="G1803" i="2" s="1"/>
  <c r="G1804" i="2" a="1"/>
  <c r="G1804" i="2" s="1"/>
  <c r="G1805" i="2" a="1"/>
  <c r="G1805" i="2" s="1"/>
  <c r="G1806" i="2" a="1"/>
  <c r="G1806" i="2" s="1"/>
  <c r="G1807" i="2" a="1"/>
  <c r="G1807" i="2" s="1"/>
  <c r="G1808" i="2" a="1"/>
  <c r="G1808" i="2" s="1"/>
  <c r="G1809" i="2" a="1"/>
  <c r="G1809" i="2" s="1"/>
  <c r="G1810" i="2" a="1"/>
  <c r="G1810" i="2" s="1"/>
  <c r="G1811" i="2" a="1"/>
  <c r="G1811" i="2" s="1"/>
  <c r="G1812" i="2" a="1"/>
  <c r="G1812" i="2" s="1"/>
  <c r="G1813" i="2" a="1"/>
  <c r="G1813" i="2" s="1"/>
  <c r="G1814" i="2" a="1"/>
  <c r="G1814" i="2" s="1"/>
  <c r="G1815" i="2" a="1"/>
  <c r="G1815" i="2" s="1"/>
  <c r="G1816" i="2" a="1"/>
  <c r="G1816" i="2" s="1"/>
  <c r="G1817" i="2" a="1"/>
  <c r="G1817" i="2" s="1"/>
  <c r="G1818" i="2" a="1"/>
  <c r="G1818" i="2" s="1"/>
  <c r="G1819" i="2" a="1"/>
  <c r="G1819" i="2" s="1"/>
  <c r="G1820" i="2" a="1"/>
  <c r="G1820" i="2" s="1"/>
  <c r="G1821" i="2" a="1"/>
  <c r="G1821" i="2" s="1"/>
  <c r="G1822" i="2" a="1"/>
  <c r="G1822" i="2" s="1"/>
  <c r="G1823" i="2" a="1"/>
  <c r="G1823" i="2" s="1"/>
  <c r="G1824" i="2" a="1"/>
  <c r="G1824" i="2" s="1"/>
  <c r="G1825" i="2" a="1"/>
  <c r="G1825" i="2" s="1"/>
  <c r="G1826" i="2" a="1"/>
  <c r="G1826" i="2" s="1"/>
  <c r="G1827" i="2" a="1"/>
  <c r="G1827" i="2" s="1"/>
  <c r="G1828" i="2" a="1"/>
  <c r="G1828" i="2" s="1"/>
  <c r="G1829" i="2" a="1"/>
  <c r="G1829" i="2" s="1"/>
  <c r="G1830" i="2" a="1"/>
  <c r="G1830" i="2" s="1"/>
  <c r="G1831" i="2" a="1"/>
  <c r="G1831" i="2" s="1"/>
  <c r="G1832" i="2" a="1"/>
  <c r="G1832" i="2" s="1"/>
  <c r="G1833" i="2" a="1"/>
  <c r="G1833" i="2" s="1"/>
  <c r="G1834" i="2" a="1"/>
  <c r="G1834" i="2" s="1"/>
  <c r="G1835" i="2" a="1"/>
  <c r="G1835" i="2" s="1"/>
  <c r="G1836" i="2" a="1"/>
  <c r="G1836" i="2" s="1"/>
  <c r="G1837" i="2" a="1"/>
  <c r="G1837" i="2" s="1"/>
  <c r="G1838" i="2" a="1"/>
  <c r="G1838" i="2" s="1"/>
  <c r="G1839" i="2" a="1"/>
  <c r="G1839" i="2" s="1"/>
  <c r="G1840" i="2" a="1"/>
  <c r="G1840" i="2" s="1"/>
  <c r="G1841" i="2" a="1"/>
  <c r="G1841" i="2" s="1"/>
  <c r="G1842" i="2" a="1"/>
  <c r="G1842" i="2" s="1"/>
  <c r="G1843" i="2" a="1"/>
  <c r="G1843" i="2" s="1"/>
  <c r="G1844" i="2" a="1"/>
  <c r="G1844" i="2" s="1"/>
  <c r="G1845" i="2" a="1"/>
  <c r="G1845" i="2" s="1"/>
  <c r="G1846" i="2" a="1"/>
  <c r="G1846" i="2" s="1"/>
  <c r="G1847" i="2" a="1"/>
  <c r="G1847" i="2" s="1"/>
  <c r="G1848" i="2" a="1"/>
  <c r="G1848" i="2" s="1"/>
  <c r="G1849" i="2" a="1"/>
  <c r="G1849" i="2" s="1"/>
  <c r="G1850" i="2" a="1"/>
  <c r="G1850" i="2" s="1"/>
  <c r="G1851" i="2" a="1"/>
  <c r="G1851" i="2" s="1"/>
  <c r="G1852" i="2" a="1"/>
  <c r="G1852" i="2" s="1"/>
  <c r="G1853" i="2" a="1"/>
  <c r="G1853" i="2" s="1"/>
  <c r="G1854" i="2" a="1"/>
  <c r="G1854" i="2" s="1"/>
  <c r="G1855" i="2" a="1"/>
  <c r="G1855" i="2" s="1"/>
  <c r="G1856" i="2" a="1"/>
  <c r="G1856" i="2" s="1"/>
  <c r="G1857" i="2" a="1"/>
  <c r="G1857" i="2" s="1"/>
  <c r="G1858" i="2" a="1"/>
  <c r="G1858" i="2" s="1"/>
  <c r="G1859" i="2" a="1"/>
  <c r="G1859" i="2" s="1"/>
  <c r="G1860" i="2" a="1"/>
  <c r="G1860" i="2" s="1"/>
  <c r="G1861" i="2" a="1"/>
  <c r="G1861" i="2" s="1"/>
  <c r="G1862" i="2" a="1"/>
  <c r="G1862" i="2" s="1"/>
  <c r="G1863" i="2" a="1"/>
  <c r="G1863" i="2" s="1"/>
  <c r="G1864" i="2" a="1"/>
  <c r="G1864" i="2" s="1"/>
  <c r="G1865" i="2" a="1"/>
  <c r="G1865" i="2" s="1"/>
  <c r="G1866" i="2" a="1"/>
  <c r="G1866" i="2" s="1"/>
  <c r="G1867" i="2" a="1"/>
  <c r="G1867" i="2" s="1"/>
  <c r="G1868" i="2" a="1"/>
  <c r="G1868" i="2" s="1"/>
  <c r="G1869" i="2" a="1"/>
  <c r="G1869" i="2" s="1"/>
  <c r="G1870" i="2" a="1"/>
  <c r="G1870" i="2" s="1"/>
  <c r="G1871" i="2" a="1"/>
  <c r="G1871" i="2" s="1"/>
  <c r="G1872" i="2" a="1"/>
  <c r="G1872" i="2" s="1"/>
  <c r="G1873" i="2" a="1"/>
  <c r="G1873" i="2" s="1"/>
  <c r="G1874" i="2" a="1"/>
  <c r="G1874" i="2" s="1"/>
  <c r="G1875" i="2" a="1"/>
  <c r="G1875" i="2" s="1"/>
  <c r="G1876" i="2" a="1"/>
  <c r="G1876" i="2" s="1"/>
  <c r="G1877" i="2" a="1"/>
  <c r="G1877" i="2" s="1"/>
  <c r="G1878" i="2" a="1"/>
  <c r="G1878" i="2" s="1"/>
  <c r="G1879" i="2" a="1"/>
  <c r="G1879" i="2" s="1"/>
  <c r="G1880" i="2" a="1"/>
  <c r="G1880" i="2" s="1"/>
  <c r="G1881" i="2" a="1"/>
  <c r="G1881" i="2" s="1"/>
  <c r="G1882" i="2" a="1"/>
  <c r="G1882" i="2" s="1"/>
  <c r="G1883" i="2" a="1"/>
  <c r="G1883" i="2" s="1"/>
  <c r="G1884" i="2" a="1"/>
  <c r="G1884" i="2" s="1"/>
  <c r="G1885" i="2" a="1"/>
  <c r="G1885" i="2" s="1"/>
  <c r="G1886" i="2" a="1"/>
  <c r="G1886" i="2" s="1"/>
  <c r="G1887" i="2" a="1"/>
  <c r="G1887" i="2" s="1"/>
  <c r="G1888" i="2" a="1"/>
  <c r="G1888" i="2" s="1"/>
  <c r="G1889" i="2" a="1"/>
  <c r="G1889" i="2" s="1"/>
  <c r="G1890" i="2" a="1"/>
  <c r="G1890" i="2" s="1"/>
  <c r="G1891" i="2" a="1"/>
  <c r="G1891" i="2" s="1"/>
  <c r="G1892" i="2" a="1"/>
  <c r="G1892" i="2" s="1"/>
  <c r="G1893" i="2" a="1"/>
  <c r="G1893" i="2" s="1"/>
  <c r="G1894" i="2" a="1"/>
  <c r="G1894" i="2" s="1"/>
  <c r="G1895" i="2" a="1"/>
  <c r="G1895" i="2" s="1"/>
  <c r="G1896" i="2" a="1"/>
  <c r="G1896" i="2" s="1"/>
  <c r="G1897" i="2" a="1"/>
  <c r="G1897" i="2" s="1"/>
  <c r="G1898" i="2" a="1"/>
  <c r="G1898" i="2" s="1"/>
  <c r="G1899" i="2" a="1"/>
  <c r="G1899" i="2" s="1"/>
  <c r="G1900" i="2" a="1"/>
  <c r="G1900" i="2" s="1"/>
  <c r="G1901" i="2" a="1"/>
  <c r="G1901" i="2" s="1"/>
  <c r="G1902" i="2" a="1"/>
  <c r="G1902" i="2" s="1"/>
  <c r="G1903" i="2" a="1"/>
  <c r="G1903" i="2" s="1"/>
  <c r="G1904" i="2" a="1"/>
  <c r="G1904" i="2" s="1"/>
  <c r="G1905" i="2" a="1"/>
  <c r="G1905" i="2" s="1"/>
  <c r="G1906" i="2" a="1"/>
  <c r="G1906" i="2" s="1"/>
  <c r="G1907" i="2" a="1"/>
  <c r="G1907" i="2" s="1"/>
  <c r="G1908" i="2" a="1"/>
  <c r="G1908" i="2" s="1"/>
  <c r="G1909" i="2" a="1"/>
  <c r="G1909" i="2" s="1"/>
  <c r="G1910" i="2" a="1"/>
  <c r="G1910" i="2" s="1"/>
  <c r="G1911" i="2" a="1"/>
  <c r="G1911" i="2" s="1"/>
  <c r="G1912" i="2" a="1"/>
  <c r="G1912" i="2" s="1"/>
  <c r="G1913" i="2" a="1"/>
  <c r="G1913" i="2" s="1"/>
  <c r="G1914" i="2" a="1"/>
  <c r="G1914" i="2" s="1"/>
  <c r="G1915" i="2" a="1"/>
  <c r="G1915" i="2" s="1"/>
  <c r="G1916" i="2" a="1"/>
  <c r="G1916" i="2" s="1"/>
  <c r="G1917" i="2" a="1"/>
  <c r="G1917" i="2" s="1"/>
  <c r="G1918" i="2" a="1"/>
  <c r="G1918" i="2" s="1"/>
  <c r="G1919" i="2" a="1"/>
  <c r="G1919" i="2" s="1"/>
  <c r="G1920" i="2" a="1"/>
  <c r="G1920" i="2" s="1"/>
  <c r="G1921" i="2" a="1"/>
  <c r="G1921" i="2" s="1"/>
  <c r="G1922" i="2" a="1"/>
  <c r="G1922" i="2" s="1"/>
  <c r="G1923" i="2" a="1"/>
  <c r="G1923" i="2" s="1"/>
  <c r="G1924" i="2" a="1"/>
  <c r="G1924" i="2" s="1"/>
  <c r="G1925" i="2" a="1"/>
  <c r="G1925" i="2" s="1"/>
  <c r="G1926" i="2" a="1"/>
  <c r="G1926" i="2" s="1"/>
  <c r="G1927" i="2" a="1"/>
  <c r="G1927" i="2" s="1"/>
  <c r="G1928" i="2" a="1"/>
  <c r="G1928" i="2" s="1"/>
  <c r="G1929" i="2" a="1"/>
  <c r="G1929" i="2" s="1"/>
  <c r="G1930" i="2" a="1"/>
  <c r="G1930" i="2" s="1"/>
  <c r="G1931" i="2" a="1"/>
  <c r="G1931" i="2" s="1"/>
  <c r="G1932" i="2" a="1"/>
  <c r="G1932" i="2" s="1"/>
  <c r="G1933" i="2" a="1"/>
  <c r="G1933" i="2" s="1"/>
  <c r="G1934" i="2" a="1"/>
  <c r="G1934" i="2" s="1"/>
  <c r="G1935" i="2" a="1"/>
  <c r="G1935" i="2" s="1"/>
  <c r="G1936" i="2" a="1"/>
  <c r="G1936" i="2" s="1"/>
  <c r="G1937" i="2" a="1"/>
  <c r="G1937" i="2" s="1"/>
  <c r="G1938" i="2" a="1"/>
  <c r="G1938" i="2" s="1"/>
  <c r="G1939" i="2" a="1"/>
  <c r="G1939" i="2" s="1"/>
  <c r="G1940" i="2" a="1"/>
  <c r="G1940" i="2" s="1"/>
  <c r="G1941" i="2" a="1"/>
  <c r="G1941" i="2" s="1"/>
  <c r="G1942" i="2" a="1"/>
  <c r="G1942" i="2" s="1"/>
  <c r="G1943" i="2" a="1"/>
  <c r="G1943" i="2" s="1"/>
  <c r="G1944" i="2" a="1"/>
  <c r="G1944" i="2" s="1"/>
  <c r="G1945" i="2" a="1"/>
  <c r="G1945" i="2" s="1"/>
  <c r="G1946" i="2" a="1"/>
  <c r="G1946" i="2" s="1"/>
  <c r="G1947" i="2" a="1"/>
  <c r="G1947" i="2" s="1"/>
  <c r="G1948" i="2" a="1"/>
  <c r="G1948" i="2" s="1"/>
  <c r="G1949" i="2" a="1"/>
  <c r="G1949" i="2" s="1"/>
  <c r="G1950" i="2" a="1"/>
  <c r="G1950" i="2" s="1"/>
  <c r="G1951" i="2" a="1"/>
  <c r="G1951" i="2" s="1"/>
  <c r="G1952" i="2" a="1"/>
  <c r="G1952" i="2" s="1"/>
  <c r="G1953" i="2" a="1"/>
  <c r="G1953" i="2" s="1"/>
  <c r="G1954" i="2" a="1"/>
  <c r="G1954" i="2" s="1"/>
  <c r="G1955" i="2" a="1"/>
  <c r="G1955" i="2" s="1"/>
  <c r="G1956" i="2" a="1"/>
  <c r="G1956" i="2" s="1"/>
  <c r="G1957" i="2" a="1"/>
  <c r="G1957" i="2" s="1"/>
  <c r="G1958" i="2" a="1"/>
  <c r="G1958" i="2" s="1"/>
  <c r="G1959" i="2" a="1"/>
  <c r="G1959" i="2" s="1"/>
  <c r="G1960" i="2" a="1"/>
  <c r="G1960" i="2" s="1"/>
  <c r="G1961" i="2" a="1"/>
  <c r="G1961" i="2" s="1"/>
  <c r="G1962" i="2" a="1"/>
  <c r="G1962" i="2" s="1"/>
  <c r="G1963" i="2" a="1"/>
  <c r="G1963" i="2" s="1"/>
  <c r="G1964" i="2" a="1"/>
  <c r="G1964" i="2" s="1"/>
  <c r="G1965" i="2" a="1"/>
  <c r="G1965" i="2" s="1"/>
  <c r="G1966" i="2" a="1"/>
  <c r="G1966" i="2" s="1"/>
  <c r="G1967" i="2" a="1"/>
  <c r="G1967" i="2" s="1"/>
  <c r="G1968" i="2" a="1"/>
  <c r="G1968" i="2" s="1"/>
  <c r="G1969" i="2" a="1"/>
  <c r="G1969" i="2" s="1"/>
  <c r="G1970" i="2" a="1"/>
  <c r="G1970" i="2" s="1"/>
  <c r="G1971" i="2" a="1"/>
  <c r="G1971" i="2" s="1"/>
  <c r="G1972" i="2" a="1"/>
  <c r="G1972" i="2" s="1"/>
  <c r="G1973" i="2" a="1"/>
  <c r="G1973" i="2" s="1"/>
  <c r="G1974" i="2" a="1"/>
  <c r="G1974" i="2" s="1"/>
  <c r="G1975" i="2" a="1"/>
  <c r="G1975" i="2" s="1"/>
  <c r="G1976" i="2" a="1"/>
  <c r="G1976" i="2" s="1"/>
  <c r="G1977" i="2" a="1"/>
  <c r="G1977" i="2" s="1"/>
  <c r="G1978" i="2" a="1"/>
  <c r="G1978" i="2" s="1"/>
  <c r="G1979" i="2" a="1"/>
  <c r="G1979" i="2" s="1"/>
  <c r="G1980" i="2" a="1"/>
  <c r="G1980" i="2" s="1"/>
  <c r="G1981" i="2" a="1"/>
  <c r="G1981" i="2" s="1"/>
  <c r="G1982" i="2" a="1"/>
  <c r="G1982" i="2" s="1"/>
  <c r="G1983" i="2" a="1"/>
  <c r="G1983" i="2" s="1"/>
  <c r="G1984" i="2" a="1"/>
  <c r="G1984" i="2" s="1"/>
  <c r="G1985" i="2" a="1"/>
  <c r="G1985" i="2" s="1"/>
  <c r="G1986" i="2" a="1"/>
  <c r="G1986" i="2" s="1"/>
  <c r="G1987" i="2" a="1"/>
  <c r="G1987" i="2" s="1"/>
  <c r="G1988" i="2" a="1"/>
  <c r="G1988" i="2" s="1"/>
  <c r="G1989" i="2" a="1"/>
  <c r="G1989" i="2" s="1"/>
  <c r="G1990" i="2" a="1"/>
  <c r="G1990" i="2" s="1"/>
  <c r="G1991" i="2" a="1"/>
  <c r="G1991" i="2" s="1"/>
  <c r="G1992" i="2" a="1"/>
  <c r="G1992" i="2" s="1"/>
  <c r="G1993" i="2" a="1"/>
  <c r="G1993" i="2" s="1"/>
  <c r="G1994" i="2" a="1"/>
  <c r="G1994" i="2" s="1"/>
  <c r="G1995" i="2" a="1"/>
  <c r="G1995" i="2" s="1"/>
  <c r="G1996" i="2" a="1"/>
  <c r="G1996" i="2" s="1"/>
  <c r="G1997" i="2" a="1"/>
  <c r="G1997" i="2" s="1"/>
  <c r="G1998" i="2" a="1"/>
  <c r="G1998" i="2" s="1"/>
  <c r="G1999" i="2" a="1"/>
  <c r="G1999" i="2" s="1"/>
  <c r="G2000" i="2" a="1"/>
  <c r="G2000" i="2" s="1"/>
  <c r="G2001" i="2" a="1"/>
  <c r="G2001" i="2" s="1"/>
  <c r="D3" i="2" a="1"/>
  <c r="D3" i="2" s="1"/>
  <c r="D4" i="2" a="1"/>
  <c r="D4" i="2" s="1"/>
  <c r="D5" i="2" a="1"/>
  <c r="D5" i="2" s="1"/>
  <c r="D6" i="2" a="1"/>
  <c r="D6" i="2" s="1"/>
  <c r="D7" i="2" a="1"/>
  <c r="D7" i="2" s="1"/>
  <c r="D8" i="2" a="1"/>
  <c r="D8" i="2" s="1"/>
  <c r="D9" i="2" a="1"/>
  <c r="D9" i="2" s="1"/>
  <c r="D10" i="2" a="1"/>
  <c r="D10" i="2" s="1"/>
  <c r="D11" i="2" a="1"/>
  <c r="D11" i="2" s="1"/>
  <c r="D12" i="2" a="1"/>
  <c r="D12" i="2" s="1"/>
  <c r="D13" i="2" a="1"/>
  <c r="D13" i="2" s="1"/>
  <c r="D14" i="2" a="1"/>
  <c r="D14" i="2" s="1"/>
  <c r="D15" i="2" a="1"/>
  <c r="D15" i="2" s="1"/>
  <c r="D16" i="2" a="1"/>
  <c r="D16" i="2" s="1"/>
  <c r="D17" i="2" a="1"/>
  <c r="D17" i="2" s="1"/>
  <c r="D18" i="2" a="1"/>
  <c r="D18" i="2" s="1"/>
  <c r="D19" i="2" a="1"/>
  <c r="D19" i="2" s="1"/>
  <c r="D20" i="2" a="1"/>
  <c r="D20" i="2" s="1"/>
  <c r="D21" i="2" a="1"/>
  <c r="D21" i="2" s="1"/>
  <c r="D22" i="2" a="1"/>
  <c r="D22" i="2" s="1"/>
  <c r="D23" i="2" a="1"/>
  <c r="D23" i="2" s="1"/>
  <c r="D24" i="2" a="1"/>
  <c r="D24" i="2" s="1"/>
  <c r="D25" i="2" a="1"/>
  <c r="D25" i="2" s="1"/>
  <c r="D26" i="2" a="1"/>
  <c r="D26" i="2" s="1"/>
  <c r="D27" i="2" a="1"/>
  <c r="D27" i="2" s="1"/>
  <c r="D28" i="2" a="1"/>
  <c r="D28" i="2" s="1"/>
  <c r="D29" i="2" a="1"/>
  <c r="D29" i="2" s="1"/>
  <c r="D30" i="2" a="1"/>
  <c r="D30" i="2" s="1"/>
  <c r="D31" i="2" a="1"/>
  <c r="D31" i="2" s="1"/>
  <c r="D32" i="2" a="1"/>
  <c r="D32" i="2" s="1"/>
  <c r="D33" i="2" a="1"/>
  <c r="D33" i="2" s="1"/>
  <c r="D34" i="2" a="1"/>
  <c r="D34" i="2" s="1"/>
  <c r="D35" i="2" a="1"/>
  <c r="D35" i="2" s="1"/>
  <c r="D36" i="2" a="1"/>
  <c r="D36" i="2" s="1"/>
  <c r="D37" i="2" a="1"/>
  <c r="D37" i="2" s="1"/>
  <c r="D38" i="2" a="1"/>
  <c r="D38" i="2" s="1"/>
  <c r="D39" i="2" a="1"/>
  <c r="D39" i="2" s="1"/>
  <c r="D40" i="2" a="1"/>
  <c r="D40" i="2" s="1"/>
  <c r="D41" i="2" a="1"/>
  <c r="D41" i="2" s="1"/>
  <c r="D42" i="2" a="1"/>
  <c r="D42" i="2" s="1"/>
  <c r="D43" i="2" a="1"/>
  <c r="D43" i="2" s="1"/>
  <c r="D44" i="2" a="1"/>
  <c r="D44" i="2" s="1"/>
  <c r="D45" i="2" a="1"/>
  <c r="D45" i="2" s="1"/>
  <c r="D46" i="2" a="1"/>
  <c r="D46" i="2" s="1"/>
  <c r="D47" i="2" a="1"/>
  <c r="D47" i="2" s="1"/>
  <c r="D48" i="2" a="1"/>
  <c r="D48" i="2" s="1"/>
  <c r="D49" i="2" a="1"/>
  <c r="D49" i="2" s="1"/>
  <c r="D50" i="2" a="1"/>
  <c r="D50" i="2" s="1"/>
  <c r="D51" i="2" a="1"/>
  <c r="D51" i="2" s="1"/>
  <c r="D52" i="2" a="1"/>
  <c r="D52" i="2" s="1"/>
  <c r="D53" i="2" a="1"/>
  <c r="D53" i="2" s="1"/>
  <c r="D54" i="2" a="1"/>
  <c r="D54" i="2" s="1"/>
  <c r="D55" i="2" a="1"/>
  <c r="D55" i="2" s="1"/>
  <c r="D56" i="2" a="1"/>
  <c r="D56" i="2" s="1"/>
  <c r="D57" i="2" a="1"/>
  <c r="D57" i="2" s="1"/>
  <c r="D58" i="2" a="1"/>
  <c r="D58" i="2" s="1"/>
  <c r="D59" i="2" a="1"/>
  <c r="D59" i="2" s="1"/>
  <c r="D60" i="2" a="1"/>
  <c r="D60" i="2" s="1"/>
  <c r="D61" i="2" a="1"/>
  <c r="D61" i="2" s="1"/>
  <c r="D62" i="2" a="1"/>
  <c r="D62" i="2" s="1"/>
  <c r="D63" i="2" a="1"/>
  <c r="D63" i="2" s="1"/>
  <c r="D64" i="2" a="1"/>
  <c r="D64" i="2" s="1"/>
  <c r="D65" i="2" a="1"/>
  <c r="D65" i="2" s="1"/>
  <c r="D66" i="2" a="1"/>
  <c r="D66" i="2" s="1"/>
  <c r="D67" i="2" a="1"/>
  <c r="D67" i="2" s="1"/>
  <c r="D68" i="2" a="1"/>
  <c r="D68" i="2" s="1"/>
  <c r="D69" i="2" a="1"/>
  <c r="D69" i="2" s="1"/>
  <c r="D70" i="2" a="1"/>
  <c r="D70" i="2" s="1"/>
  <c r="D71" i="2" a="1"/>
  <c r="D71" i="2" s="1"/>
  <c r="D72" i="2" a="1"/>
  <c r="D72" i="2" s="1"/>
  <c r="D73" i="2" a="1"/>
  <c r="D73" i="2" s="1"/>
  <c r="D74" i="2" a="1"/>
  <c r="D74" i="2" s="1"/>
  <c r="D75" i="2" a="1"/>
  <c r="D75" i="2" s="1"/>
  <c r="D76" i="2" a="1"/>
  <c r="D76" i="2" s="1"/>
  <c r="D77" i="2" a="1"/>
  <c r="D77" i="2" s="1"/>
  <c r="D78" i="2" a="1"/>
  <c r="D78" i="2" s="1"/>
  <c r="D79" i="2" a="1"/>
  <c r="D79" i="2" s="1"/>
  <c r="D80" i="2" a="1"/>
  <c r="D80" i="2" s="1"/>
  <c r="D81" i="2" a="1"/>
  <c r="D81" i="2" s="1"/>
  <c r="D82" i="2" a="1"/>
  <c r="D82" i="2" s="1"/>
  <c r="D83" i="2" a="1"/>
  <c r="D83" i="2" s="1"/>
  <c r="D84" i="2" a="1"/>
  <c r="D84" i="2" s="1"/>
  <c r="D85" i="2" a="1"/>
  <c r="D85" i="2" s="1"/>
  <c r="D86" i="2" a="1"/>
  <c r="D86" i="2" s="1"/>
  <c r="D87" i="2" a="1"/>
  <c r="D87" i="2" s="1"/>
  <c r="D88" i="2" a="1"/>
  <c r="D88" i="2" s="1"/>
  <c r="D89" i="2" a="1"/>
  <c r="D89" i="2" s="1"/>
  <c r="D90" i="2" a="1"/>
  <c r="D90" i="2" s="1"/>
  <c r="D91" i="2" a="1"/>
  <c r="D91" i="2" s="1"/>
  <c r="D92" i="2" a="1"/>
  <c r="D92" i="2" s="1"/>
  <c r="D93" i="2" a="1"/>
  <c r="D93" i="2" s="1"/>
  <c r="D94" i="2" a="1"/>
  <c r="D94" i="2" s="1"/>
  <c r="D95" i="2" a="1"/>
  <c r="D95" i="2" s="1"/>
  <c r="D96" i="2" a="1"/>
  <c r="D96" i="2" s="1"/>
  <c r="D97" i="2" a="1"/>
  <c r="D97" i="2" s="1"/>
  <c r="D98" i="2" a="1"/>
  <c r="D98" i="2" s="1"/>
  <c r="D99" i="2" a="1"/>
  <c r="D99" i="2" s="1"/>
  <c r="D100" i="2" a="1"/>
  <c r="D100" i="2" s="1"/>
  <c r="D101" i="2" a="1"/>
  <c r="D101" i="2" s="1"/>
  <c r="D102" i="2" a="1"/>
  <c r="D102" i="2" s="1"/>
  <c r="D103" i="2" a="1"/>
  <c r="D103" i="2" s="1"/>
  <c r="D104" i="2" a="1"/>
  <c r="D104" i="2" s="1"/>
  <c r="D105" i="2" a="1"/>
  <c r="D105" i="2" s="1"/>
  <c r="D106" i="2" a="1"/>
  <c r="D106" i="2" s="1"/>
  <c r="D107" i="2" a="1"/>
  <c r="D107" i="2" s="1"/>
  <c r="D108" i="2" a="1"/>
  <c r="D108" i="2" s="1"/>
  <c r="D109" i="2" a="1"/>
  <c r="D109" i="2" s="1"/>
  <c r="D110" i="2" a="1"/>
  <c r="D110" i="2" s="1"/>
  <c r="D111" i="2" a="1"/>
  <c r="D111" i="2" s="1"/>
  <c r="D112" i="2" a="1"/>
  <c r="D112" i="2" s="1"/>
  <c r="D113" i="2" a="1"/>
  <c r="D113" i="2" s="1"/>
  <c r="D114" i="2" a="1"/>
  <c r="D114" i="2" s="1"/>
  <c r="D115" i="2" a="1"/>
  <c r="D115" i="2" s="1"/>
  <c r="D116" i="2" a="1"/>
  <c r="D116" i="2" s="1"/>
  <c r="D117" i="2" a="1"/>
  <c r="D117" i="2" s="1"/>
  <c r="D118" i="2" a="1"/>
  <c r="D118" i="2" s="1"/>
  <c r="D119" i="2" a="1"/>
  <c r="D119" i="2" s="1"/>
  <c r="D120" i="2" a="1"/>
  <c r="D120" i="2" s="1"/>
  <c r="D121" i="2" a="1"/>
  <c r="D121" i="2" s="1"/>
  <c r="D122" i="2" a="1"/>
  <c r="D122" i="2" s="1"/>
  <c r="D123" i="2" a="1"/>
  <c r="D123" i="2" s="1"/>
  <c r="D124" i="2" a="1"/>
  <c r="D124" i="2" s="1"/>
  <c r="D125" i="2" a="1"/>
  <c r="D125" i="2" s="1"/>
  <c r="D126" i="2" a="1"/>
  <c r="D126" i="2" s="1"/>
  <c r="D127" i="2" a="1"/>
  <c r="D127" i="2" s="1"/>
  <c r="D128" i="2" a="1"/>
  <c r="D128" i="2" s="1"/>
  <c r="D129" i="2" a="1"/>
  <c r="D129" i="2" s="1"/>
  <c r="D130" i="2" a="1"/>
  <c r="D130" i="2" s="1"/>
  <c r="D131" i="2" a="1"/>
  <c r="D131" i="2" s="1"/>
  <c r="D132" i="2" a="1"/>
  <c r="D132" i="2" s="1"/>
  <c r="D133" i="2" a="1"/>
  <c r="D133" i="2" s="1"/>
  <c r="D134" i="2" a="1"/>
  <c r="D134" i="2" s="1"/>
  <c r="D135" i="2" a="1"/>
  <c r="D135" i="2" s="1"/>
  <c r="D136" i="2" a="1"/>
  <c r="D136" i="2" s="1"/>
  <c r="D137" i="2" a="1"/>
  <c r="D137" i="2" s="1"/>
  <c r="D138" i="2" a="1"/>
  <c r="D138" i="2" s="1"/>
  <c r="D139" i="2" a="1"/>
  <c r="D139" i="2" s="1"/>
  <c r="D140" i="2" a="1"/>
  <c r="D140" i="2" s="1"/>
  <c r="D141" i="2" a="1"/>
  <c r="D141" i="2" s="1"/>
  <c r="D142" i="2" a="1"/>
  <c r="D142" i="2" s="1"/>
  <c r="D143" i="2" a="1"/>
  <c r="D143" i="2" s="1"/>
  <c r="D144" i="2" a="1"/>
  <c r="D144" i="2" s="1"/>
  <c r="D145" i="2" a="1"/>
  <c r="D145" i="2" s="1"/>
  <c r="D146" i="2" a="1"/>
  <c r="D146" i="2" s="1"/>
  <c r="D147" i="2" a="1"/>
  <c r="D147" i="2" s="1"/>
  <c r="D148" i="2" a="1"/>
  <c r="D148" i="2" s="1"/>
  <c r="D149" i="2" a="1"/>
  <c r="D149" i="2" s="1"/>
  <c r="D150" i="2" a="1"/>
  <c r="D150" i="2" s="1"/>
  <c r="D151" i="2" a="1"/>
  <c r="D151" i="2" s="1"/>
  <c r="D152" i="2" a="1"/>
  <c r="D152" i="2" s="1"/>
  <c r="D153" i="2" a="1"/>
  <c r="D153" i="2" s="1"/>
  <c r="D154" i="2" a="1"/>
  <c r="D154" i="2" s="1"/>
  <c r="D155" i="2" a="1"/>
  <c r="D155" i="2" s="1"/>
  <c r="D156" i="2" a="1"/>
  <c r="D156" i="2" s="1"/>
  <c r="D157" i="2" a="1"/>
  <c r="D157" i="2" s="1"/>
  <c r="D158" i="2" a="1"/>
  <c r="D158" i="2" s="1"/>
  <c r="D159" i="2" a="1"/>
  <c r="D159" i="2" s="1"/>
  <c r="D160" i="2" a="1"/>
  <c r="D160" i="2" s="1"/>
  <c r="D161" i="2" a="1"/>
  <c r="D161" i="2" s="1"/>
  <c r="D162" i="2" a="1"/>
  <c r="D162" i="2" s="1"/>
  <c r="D163" i="2" a="1"/>
  <c r="D163" i="2" s="1"/>
  <c r="D164" i="2" a="1"/>
  <c r="D164" i="2" s="1"/>
  <c r="D165" i="2" a="1"/>
  <c r="D165" i="2" s="1"/>
  <c r="D166" i="2" a="1"/>
  <c r="D166" i="2" s="1"/>
  <c r="D167" i="2" a="1"/>
  <c r="D167" i="2" s="1"/>
  <c r="D168" i="2" a="1"/>
  <c r="D168" i="2" s="1"/>
  <c r="D169" i="2" a="1"/>
  <c r="D169" i="2" s="1"/>
  <c r="D170" i="2" a="1"/>
  <c r="D170" i="2" s="1"/>
  <c r="D171" i="2" a="1"/>
  <c r="D171" i="2" s="1"/>
  <c r="D172" i="2" a="1"/>
  <c r="D172" i="2" s="1"/>
  <c r="D173" i="2" a="1"/>
  <c r="D173" i="2" s="1"/>
  <c r="D174" i="2" a="1"/>
  <c r="D174" i="2" s="1"/>
  <c r="D175" i="2" a="1"/>
  <c r="D175" i="2" s="1"/>
  <c r="D176" i="2" a="1"/>
  <c r="D176" i="2" s="1"/>
  <c r="D177" i="2" a="1"/>
  <c r="D177" i="2" s="1"/>
  <c r="D178" i="2" a="1"/>
  <c r="D178" i="2" s="1"/>
  <c r="D179" i="2" a="1"/>
  <c r="D179" i="2" s="1"/>
  <c r="D180" i="2" a="1"/>
  <c r="D180" i="2" s="1"/>
  <c r="D181" i="2" a="1"/>
  <c r="D181" i="2" s="1"/>
  <c r="D182" i="2" a="1"/>
  <c r="D182" i="2" s="1"/>
  <c r="D183" i="2" a="1"/>
  <c r="D183" i="2" s="1"/>
  <c r="D184" i="2" a="1"/>
  <c r="D184" i="2" s="1"/>
  <c r="D185" i="2" a="1"/>
  <c r="D185" i="2" s="1"/>
  <c r="D186" i="2" a="1"/>
  <c r="D186" i="2" s="1"/>
  <c r="D187" i="2" a="1"/>
  <c r="D187" i="2" s="1"/>
  <c r="D188" i="2" a="1"/>
  <c r="D188" i="2" s="1"/>
  <c r="D189" i="2" a="1"/>
  <c r="D189" i="2" s="1"/>
  <c r="D190" i="2" a="1"/>
  <c r="D190" i="2" s="1"/>
  <c r="D191" i="2" a="1"/>
  <c r="D191" i="2" s="1"/>
  <c r="D192" i="2" a="1"/>
  <c r="D192" i="2" s="1"/>
  <c r="D193" i="2" a="1"/>
  <c r="D193" i="2" s="1"/>
  <c r="D194" i="2" a="1"/>
  <c r="D194" i="2" s="1"/>
  <c r="D195" i="2" a="1"/>
  <c r="D195" i="2" s="1"/>
  <c r="D196" i="2" a="1"/>
  <c r="D196" i="2" s="1"/>
  <c r="D197" i="2" a="1"/>
  <c r="D197" i="2" s="1"/>
  <c r="D198" i="2" a="1"/>
  <c r="D198" i="2" s="1"/>
  <c r="D199" i="2" a="1"/>
  <c r="D199" i="2" s="1"/>
  <c r="D200" i="2" a="1"/>
  <c r="D200" i="2" s="1"/>
  <c r="D201" i="2" a="1"/>
  <c r="D201" i="2" s="1"/>
  <c r="D202" i="2" a="1"/>
  <c r="D202" i="2" s="1"/>
  <c r="D203" i="2" a="1"/>
  <c r="D203" i="2" s="1"/>
  <c r="D204" i="2" a="1"/>
  <c r="D204" i="2" s="1"/>
  <c r="D205" i="2" a="1"/>
  <c r="D205" i="2" s="1"/>
  <c r="D206" i="2" a="1"/>
  <c r="D206" i="2" s="1"/>
  <c r="D207" i="2" a="1"/>
  <c r="D207" i="2" s="1"/>
  <c r="D208" i="2" a="1"/>
  <c r="D208" i="2" s="1"/>
  <c r="D209" i="2" a="1"/>
  <c r="D209" i="2" s="1"/>
  <c r="D210" i="2" a="1"/>
  <c r="D210" i="2" s="1"/>
  <c r="D211" i="2" a="1"/>
  <c r="D211" i="2" s="1"/>
  <c r="D212" i="2" a="1"/>
  <c r="D212" i="2" s="1"/>
  <c r="D213" i="2" a="1"/>
  <c r="D213" i="2" s="1"/>
  <c r="D214" i="2" a="1"/>
  <c r="D214" i="2" s="1"/>
  <c r="D215" i="2" a="1"/>
  <c r="D215" i="2" s="1"/>
  <c r="D216" i="2" a="1"/>
  <c r="D216" i="2" s="1"/>
  <c r="D217" i="2" a="1"/>
  <c r="D217" i="2" s="1"/>
  <c r="D218" i="2" a="1"/>
  <c r="D218" i="2" s="1"/>
  <c r="D219" i="2" a="1"/>
  <c r="D219" i="2" s="1"/>
  <c r="D220" i="2" a="1"/>
  <c r="D220" i="2" s="1"/>
  <c r="D221" i="2" a="1"/>
  <c r="D221" i="2" s="1"/>
  <c r="D222" i="2" a="1"/>
  <c r="D222" i="2" s="1"/>
  <c r="D223" i="2" a="1"/>
  <c r="D223" i="2" s="1"/>
  <c r="D224" i="2" a="1"/>
  <c r="D224" i="2" s="1"/>
  <c r="D225" i="2" a="1"/>
  <c r="D225" i="2" s="1"/>
  <c r="D226" i="2" a="1"/>
  <c r="D226" i="2" s="1"/>
  <c r="D227" i="2" a="1"/>
  <c r="D227" i="2" s="1"/>
  <c r="D228" i="2" a="1"/>
  <c r="D228" i="2" s="1"/>
  <c r="D229" i="2" a="1"/>
  <c r="D229" i="2" s="1"/>
  <c r="D230" i="2" a="1"/>
  <c r="D230" i="2" s="1"/>
  <c r="D231" i="2" a="1"/>
  <c r="D231" i="2" s="1"/>
  <c r="D232" i="2" a="1"/>
  <c r="D232" i="2" s="1"/>
  <c r="D233" i="2" a="1"/>
  <c r="D233" i="2" s="1"/>
  <c r="D234" i="2" a="1"/>
  <c r="D234" i="2" s="1"/>
  <c r="D235" i="2" a="1"/>
  <c r="D235" i="2" s="1"/>
  <c r="D236" i="2" a="1"/>
  <c r="D236" i="2" s="1"/>
  <c r="D237" i="2" a="1"/>
  <c r="D237" i="2" s="1"/>
  <c r="D238" i="2" a="1"/>
  <c r="D238" i="2" s="1"/>
  <c r="D239" i="2" a="1"/>
  <c r="D239" i="2" s="1"/>
  <c r="D240" i="2" a="1"/>
  <c r="D240" i="2" s="1"/>
  <c r="D241" i="2" a="1"/>
  <c r="D241" i="2" s="1"/>
  <c r="D242" i="2" a="1"/>
  <c r="D242" i="2" s="1"/>
  <c r="D243" i="2" a="1"/>
  <c r="D243" i="2" s="1"/>
  <c r="D244" i="2" a="1"/>
  <c r="D244" i="2" s="1"/>
  <c r="D245" i="2" a="1"/>
  <c r="D245" i="2" s="1"/>
  <c r="D246" i="2" a="1"/>
  <c r="D246" i="2" s="1"/>
  <c r="D247" i="2" a="1"/>
  <c r="D247" i="2" s="1"/>
  <c r="D248" i="2" a="1"/>
  <c r="D248" i="2" s="1"/>
  <c r="D249" i="2" a="1"/>
  <c r="D249" i="2" s="1"/>
  <c r="D250" i="2" a="1"/>
  <c r="D250" i="2" s="1"/>
  <c r="D251" i="2" a="1"/>
  <c r="D251" i="2" s="1"/>
  <c r="D252" i="2" a="1"/>
  <c r="D252" i="2" s="1"/>
  <c r="D253" i="2" a="1"/>
  <c r="D253" i="2" s="1"/>
  <c r="D254" i="2" a="1"/>
  <c r="D254" i="2" s="1"/>
  <c r="D255" i="2" a="1"/>
  <c r="D255" i="2" s="1"/>
  <c r="D256" i="2" a="1"/>
  <c r="D256" i="2" s="1"/>
  <c r="D257" i="2" a="1"/>
  <c r="D257" i="2" s="1"/>
  <c r="D258" i="2" a="1"/>
  <c r="D258" i="2" s="1"/>
  <c r="D259" i="2" a="1"/>
  <c r="D259" i="2" s="1"/>
  <c r="D260" i="2" a="1"/>
  <c r="D260" i="2" s="1"/>
  <c r="D261" i="2" a="1"/>
  <c r="D261" i="2" s="1"/>
  <c r="D262" i="2" a="1"/>
  <c r="D262" i="2" s="1"/>
  <c r="D263" i="2" a="1"/>
  <c r="D263" i="2" s="1"/>
  <c r="D264" i="2" a="1"/>
  <c r="D264" i="2" s="1"/>
  <c r="D265" i="2" a="1"/>
  <c r="D265" i="2" s="1"/>
  <c r="D266" i="2" a="1"/>
  <c r="D266" i="2" s="1"/>
  <c r="D267" i="2" a="1"/>
  <c r="D267" i="2" s="1"/>
  <c r="D268" i="2" a="1"/>
  <c r="D268" i="2" s="1"/>
  <c r="D269" i="2" a="1"/>
  <c r="D269" i="2" s="1"/>
  <c r="D270" i="2" a="1"/>
  <c r="D270" i="2" s="1"/>
  <c r="D271" i="2" a="1"/>
  <c r="D271" i="2" s="1"/>
  <c r="D272" i="2" a="1"/>
  <c r="D272" i="2" s="1"/>
  <c r="D273" i="2" a="1"/>
  <c r="D273" i="2" s="1"/>
  <c r="D274" i="2" a="1"/>
  <c r="D274" i="2" s="1"/>
  <c r="D275" i="2" a="1"/>
  <c r="D275" i="2" s="1"/>
  <c r="D276" i="2" a="1"/>
  <c r="D276" i="2" s="1"/>
  <c r="D277" i="2" a="1"/>
  <c r="D277" i="2" s="1"/>
  <c r="D278" i="2" a="1"/>
  <c r="D278" i="2" s="1"/>
  <c r="D279" i="2" a="1"/>
  <c r="D279" i="2" s="1"/>
  <c r="D280" i="2" a="1"/>
  <c r="D280" i="2" s="1"/>
  <c r="D281" i="2" a="1"/>
  <c r="D281" i="2" s="1"/>
  <c r="D282" i="2" a="1"/>
  <c r="D282" i="2" s="1"/>
  <c r="D283" i="2" a="1"/>
  <c r="D283" i="2" s="1"/>
  <c r="D284" i="2" a="1"/>
  <c r="D284" i="2" s="1"/>
  <c r="D285" i="2" a="1"/>
  <c r="D285" i="2" s="1"/>
  <c r="D286" i="2" a="1"/>
  <c r="D286" i="2" s="1"/>
  <c r="D287" i="2" a="1"/>
  <c r="D287" i="2" s="1"/>
  <c r="D288" i="2" a="1"/>
  <c r="D288" i="2" s="1"/>
  <c r="D289" i="2" a="1"/>
  <c r="D289" i="2" s="1"/>
  <c r="D290" i="2" a="1"/>
  <c r="D290" i="2" s="1"/>
  <c r="D291" i="2" a="1"/>
  <c r="D291" i="2" s="1"/>
  <c r="D292" i="2" a="1"/>
  <c r="D292" i="2" s="1"/>
  <c r="D293" i="2" a="1"/>
  <c r="D293" i="2" s="1"/>
  <c r="D294" i="2" a="1"/>
  <c r="D294" i="2" s="1"/>
  <c r="D295" i="2" a="1"/>
  <c r="D295" i="2" s="1"/>
  <c r="D296" i="2" a="1"/>
  <c r="D296" i="2" s="1"/>
  <c r="D297" i="2" a="1"/>
  <c r="D297" i="2" s="1"/>
  <c r="D298" i="2" a="1"/>
  <c r="D298" i="2" s="1"/>
  <c r="D299" i="2" a="1"/>
  <c r="D299" i="2" s="1"/>
  <c r="D300" i="2" a="1"/>
  <c r="D300" i="2" s="1"/>
  <c r="D301" i="2" a="1"/>
  <c r="D301" i="2" s="1"/>
  <c r="D302" i="2" a="1"/>
  <c r="D302" i="2" s="1"/>
  <c r="D303" i="2" a="1"/>
  <c r="D303" i="2" s="1"/>
  <c r="D304" i="2" a="1"/>
  <c r="D304" i="2" s="1"/>
  <c r="D305" i="2" a="1"/>
  <c r="D305" i="2" s="1"/>
  <c r="D306" i="2" a="1"/>
  <c r="D306" i="2" s="1"/>
  <c r="D307" i="2" a="1"/>
  <c r="D307" i="2" s="1"/>
  <c r="D308" i="2" a="1"/>
  <c r="D308" i="2" s="1"/>
  <c r="D309" i="2" a="1"/>
  <c r="D309" i="2" s="1"/>
  <c r="D310" i="2" a="1"/>
  <c r="D310" i="2" s="1"/>
  <c r="D311" i="2" a="1"/>
  <c r="D311" i="2" s="1"/>
  <c r="D312" i="2" a="1"/>
  <c r="D312" i="2" s="1"/>
  <c r="D313" i="2" a="1"/>
  <c r="D313" i="2" s="1"/>
  <c r="D314" i="2" a="1"/>
  <c r="D314" i="2" s="1"/>
  <c r="D315" i="2" a="1"/>
  <c r="D315" i="2" s="1"/>
  <c r="D316" i="2" a="1"/>
  <c r="D316" i="2" s="1"/>
  <c r="D317" i="2" a="1"/>
  <c r="D317" i="2" s="1"/>
  <c r="D318" i="2" a="1"/>
  <c r="D318" i="2" s="1"/>
  <c r="D319" i="2" a="1"/>
  <c r="D319" i="2" s="1"/>
  <c r="D320" i="2" a="1"/>
  <c r="D320" i="2" s="1"/>
  <c r="D321" i="2" a="1"/>
  <c r="D321" i="2" s="1"/>
  <c r="D322" i="2" a="1"/>
  <c r="D322" i="2" s="1"/>
  <c r="D323" i="2" a="1"/>
  <c r="D323" i="2" s="1"/>
  <c r="D324" i="2" a="1"/>
  <c r="D324" i="2" s="1"/>
  <c r="D325" i="2" a="1"/>
  <c r="D325" i="2" s="1"/>
  <c r="D326" i="2" a="1"/>
  <c r="D326" i="2" s="1"/>
  <c r="D327" i="2" a="1"/>
  <c r="D327" i="2" s="1"/>
  <c r="D328" i="2" a="1"/>
  <c r="D328" i="2" s="1"/>
  <c r="D329" i="2" a="1"/>
  <c r="D329" i="2" s="1"/>
  <c r="D330" i="2" a="1"/>
  <c r="D330" i="2" s="1"/>
  <c r="D331" i="2" a="1"/>
  <c r="D331" i="2" s="1"/>
  <c r="D332" i="2" a="1"/>
  <c r="D332" i="2" s="1"/>
  <c r="D333" i="2" a="1"/>
  <c r="D333" i="2" s="1"/>
  <c r="D334" i="2" a="1"/>
  <c r="D334" i="2" s="1"/>
  <c r="D335" i="2" a="1"/>
  <c r="D335" i="2" s="1"/>
  <c r="D336" i="2" a="1"/>
  <c r="D336" i="2" s="1"/>
  <c r="D337" i="2" a="1"/>
  <c r="D337" i="2" s="1"/>
  <c r="D338" i="2" a="1"/>
  <c r="D338" i="2" s="1"/>
  <c r="D339" i="2" a="1"/>
  <c r="D339" i="2" s="1"/>
  <c r="D340" i="2" a="1"/>
  <c r="D340" i="2" s="1"/>
  <c r="D341" i="2" a="1"/>
  <c r="D341" i="2" s="1"/>
  <c r="D342" i="2" a="1"/>
  <c r="D342" i="2" s="1"/>
  <c r="D343" i="2" a="1"/>
  <c r="D343" i="2" s="1"/>
  <c r="D344" i="2" a="1"/>
  <c r="D344" i="2" s="1"/>
  <c r="D345" i="2" a="1"/>
  <c r="D345" i="2" s="1"/>
  <c r="D346" i="2" a="1"/>
  <c r="D346" i="2" s="1"/>
  <c r="D347" i="2" a="1"/>
  <c r="D347" i="2" s="1"/>
  <c r="D348" i="2" a="1"/>
  <c r="D348" i="2" s="1"/>
  <c r="D349" i="2" a="1"/>
  <c r="D349" i="2" s="1"/>
  <c r="D350" i="2" a="1"/>
  <c r="D350" i="2" s="1"/>
  <c r="D351" i="2" a="1"/>
  <c r="D351" i="2" s="1"/>
  <c r="D352" i="2" a="1"/>
  <c r="D352" i="2" s="1"/>
  <c r="D353" i="2" a="1"/>
  <c r="D353" i="2" s="1"/>
  <c r="D354" i="2" a="1"/>
  <c r="D354" i="2" s="1"/>
  <c r="D355" i="2" a="1"/>
  <c r="D355" i="2" s="1"/>
  <c r="D356" i="2" a="1"/>
  <c r="D356" i="2" s="1"/>
  <c r="D357" i="2" a="1"/>
  <c r="D357" i="2" s="1"/>
  <c r="D358" i="2" a="1"/>
  <c r="D358" i="2" s="1"/>
  <c r="D359" i="2" a="1"/>
  <c r="D359" i="2" s="1"/>
  <c r="D360" i="2" a="1"/>
  <c r="D360" i="2" s="1"/>
  <c r="D361" i="2" a="1"/>
  <c r="D361" i="2" s="1"/>
  <c r="D362" i="2" a="1"/>
  <c r="D362" i="2" s="1"/>
  <c r="D363" i="2" a="1"/>
  <c r="D363" i="2" s="1"/>
  <c r="D364" i="2" a="1"/>
  <c r="D364" i="2" s="1"/>
  <c r="D365" i="2" a="1"/>
  <c r="D365" i="2" s="1"/>
  <c r="D366" i="2" a="1"/>
  <c r="D366" i="2" s="1"/>
  <c r="D367" i="2" a="1"/>
  <c r="D367" i="2" s="1"/>
  <c r="D368" i="2" a="1"/>
  <c r="D368" i="2" s="1"/>
  <c r="D369" i="2" a="1"/>
  <c r="D369" i="2" s="1"/>
  <c r="D370" i="2" a="1"/>
  <c r="D370" i="2" s="1"/>
  <c r="D371" i="2" a="1"/>
  <c r="D371" i="2" s="1"/>
  <c r="D372" i="2" a="1"/>
  <c r="D372" i="2" s="1"/>
  <c r="D373" i="2" a="1"/>
  <c r="D373" i="2" s="1"/>
  <c r="D374" i="2" a="1"/>
  <c r="D374" i="2" s="1"/>
  <c r="D375" i="2" a="1"/>
  <c r="D375" i="2" s="1"/>
  <c r="D376" i="2" a="1"/>
  <c r="D376" i="2" s="1"/>
  <c r="D377" i="2" a="1"/>
  <c r="D377" i="2" s="1"/>
  <c r="D378" i="2" a="1"/>
  <c r="D378" i="2" s="1"/>
  <c r="D379" i="2" a="1"/>
  <c r="D379" i="2" s="1"/>
  <c r="D380" i="2" a="1"/>
  <c r="D380" i="2" s="1"/>
  <c r="D381" i="2" a="1"/>
  <c r="D381" i="2" s="1"/>
  <c r="D382" i="2" a="1"/>
  <c r="D382" i="2" s="1"/>
  <c r="D383" i="2" a="1"/>
  <c r="D383" i="2" s="1"/>
  <c r="D384" i="2" a="1"/>
  <c r="D384" i="2" s="1"/>
  <c r="D385" i="2" a="1"/>
  <c r="D385" i="2" s="1"/>
  <c r="D386" i="2" a="1"/>
  <c r="D386" i="2" s="1"/>
  <c r="D387" i="2" a="1"/>
  <c r="D387" i="2" s="1"/>
  <c r="D388" i="2" a="1"/>
  <c r="D388" i="2" s="1"/>
  <c r="D389" i="2" a="1"/>
  <c r="D389" i="2" s="1"/>
  <c r="D390" i="2" a="1"/>
  <c r="D390" i="2" s="1"/>
  <c r="D391" i="2" a="1"/>
  <c r="D391" i="2" s="1"/>
  <c r="D392" i="2" a="1"/>
  <c r="D392" i="2" s="1"/>
  <c r="D393" i="2" a="1"/>
  <c r="D393" i="2" s="1"/>
  <c r="D394" i="2" a="1"/>
  <c r="D394" i="2" s="1"/>
  <c r="D395" i="2" a="1"/>
  <c r="D395" i="2" s="1"/>
  <c r="D396" i="2" a="1"/>
  <c r="D396" i="2" s="1"/>
  <c r="D397" i="2" a="1"/>
  <c r="D397" i="2" s="1"/>
  <c r="D398" i="2" a="1"/>
  <c r="D398" i="2" s="1"/>
  <c r="D399" i="2" a="1"/>
  <c r="D399" i="2" s="1"/>
  <c r="D400" i="2" a="1"/>
  <c r="D400" i="2" s="1"/>
  <c r="D401" i="2" a="1"/>
  <c r="D401" i="2" s="1"/>
  <c r="D402" i="2" a="1"/>
  <c r="D402" i="2" s="1"/>
  <c r="D403" i="2" a="1"/>
  <c r="D403" i="2" s="1"/>
  <c r="D404" i="2" a="1"/>
  <c r="D404" i="2" s="1"/>
  <c r="D405" i="2" a="1"/>
  <c r="D405" i="2" s="1"/>
  <c r="D406" i="2" a="1"/>
  <c r="D406" i="2" s="1"/>
  <c r="D407" i="2" a="1"/>
  <c r="D407" i="2" s="1"/>
  <c r="D408" i="2" a="1"/>
  <c r="D408" i="2" s="1"/>
  <c r="D409" i="2" a="1"/>
  <c r="D409" i="2" s="1"/>
  <c r="D410" i="2" a="1"/>
  <c r="D410" i="2" s="1"/>
  <c r="D411" i="2" a="1"/>
  <c r="D411" i="2" s="1"/>
  <c r="D412" i="2" a="1"/>
  <c r="D412" i="2" s="1"/>
  <c r="D413" i="2" a="1"/>
  <c r="D413" i="2" s="1"/>
  <c r="D414" i="2" a="1"/>
  <c r="D414" i="2" s="1"/>
  <c r="D415" i="2" a="1"/>
  <c r="D415" i="2" s="1"/>
  <c r="D416" i="2" a="1"/>
  <c r="D416" i="2" s="1"/>
  <c r="D417" i="2" a="1"/>
  <c r="D417" i="2" s="1"/>
  <c r="D418" i="2" a="1"/>
  <c r="D418" i="2" s="1"/>
  <c r="D419" i="2" a="1"/>
  <c r="D419" i="2" s="1"/>
  <c r="D420" i="2" a="1"/>
  <c r="D420" i="2" s="1"/>
  <c r="D421" i="2" a="1"/>
  <c r="D421" i="2" s="1"/>
  <c r="D422" i="2" a="1"/>
  <c r="D422" i="2" s="1"/>
  <c r="D423" i="2" a="1"/>
  <c r="D423" i="2" s="1"/>
  <c r="D424" i="2" a="1"/>
  <c r="D424" i="2" s="1"/>
  <c r="D425" i="2" a="1"/>
  <c r="D425" i="2" s="1"/>
  <c r="D426" i="2" a="1"/>
  <c r="D426" i="2" s="1"/>
  <c r="D427" i="2" a="1"/>
  <c r="D427" i="2" s="1"/>
  <c r="D428" i="2" a="1"/>
  <c r="D428" i="2" s="1"/>
  <c r="D429" i="2" a="1"/>
  <c r="D429" i="2" s="1"/>
  <c r="D430" i="2" a="1"/>
  <c r="D430" i="2" s="1"/>
  <c r="D431" i="2" a="1"/>
  <c r="D431" i="2" s="1"/>
  <c r="D432" i="2" a="1"/>
  <c r="D432" i="2" s="1"/>
  <c r="D433" i="2" a="1"/>
  <c r="D433" i="2" s="1"/>
  <c r="D434" i="2" a="1"/>
  <c r="D434" i="2" s="1"/>
  <c r="D435" i="2" a="1"/>
  <c r="D435" i="2" s="1"/>
  <c r="D436" i="2" a="1"/>
  <c r="D436" i="2" s="1"/>
  <c r="D437" i="2" a="1"/>
  <c r="D437" i="2" s="1"/>
  <c r="D438" i="2" a="1"/>
  <c r="D438" i="2" s="1"/>
  <c r="D439" i="2" a="1"/>
  <c r="D439" i="2" s="1"/>
  <c r="D440" i="2" a="1"/>
  <c r="D440" i="2" s="1"/>
  <c r="D441" i="2" a="1"/>
  <c r="D441" i="2" s="1"/>
  <c r="D442" i="2" a="1"/>
  <c r="D442" i="2" s="1"/>
  <c r="D443" i="2" a="1"/>
  <c r="D443" i="2" s="1"/>
  <c r="D444" i="2" a="1"/>
  <c r="D444" i="2" s="1"/>
  <c r="D445" i="2" a="1"/>
  <c r="D445" i="2" s="1"/>
  <c r="D446" i="2" a="1"/>
  <c r="D446" i="2" s="1"/>
  <c r="D447" i="2" a="1"/>
  <c r="D447" i="2" s="1"/>
  <c r="D448" i="2" a="1"/>
  <c r="D448" i="2" s="1"/>
  <c r="D449" i="2" a="1"/>
  <c r="D449" i="2" s="1"/>
  <c r="D450" i="2" a="1"/>
  <c r="D450" i="2" s="1"/>
  <c r="D451" i="2" a="1"/>
  <c r="D451" i="2" s="1"/>
  <c r="D452" i="2" a="1"/>
  <c r="D452" i="2" s="1"/>
  <c r="D453" i="2" a="1"/>
  <c r="D453" i="2" s="1"/>
  <c r="D454" i="2" a="1"/>
  <c r="D454" i="2" s="1"/>
  <c r="D455" i="2" a="1"/>
  <c r="D455" i="2" s="1"/>
  <c r="D456" i="2" a="1"/>
  <c r="D456" i="2" s="1"/>
  <c r="D457" i="2" a="1"/>
  <c r="D457" i="2" s="1"/>
  <c r="D458" i="2" a="1"/>
  <c r="D458" i="2" s="1"/>
  <c r="D459" i="2" a="1"/>
  <c r="D459" i="2" s="1"/>
  <c r="D460" i="2" a="1"/>
  <c r="D460" i="2" s="1"/>
  <c r="D461" i="2" a="1"/>
  <c r="D461" i="2" s="1"/>
  <c r="D462" i="2" a="1"/>
  <c r="D462" i="2" s="1"/>
  <c r="D463" i="2" a="1"/>
  <c r="D463" i="2" s="1"/>
  <c r="D464" i="2" a="1"/>
  <c r="D464" i="2" s="1"/>
  <c r="D465" i="2" a="1"/>
  <c r="D465" i="2" s="1"/>
  <c r="D466" i="2" a="1"/>
  <c r="D466" i="2" s="1"/>
  <c r="D467" i="2" a="1"/>
  <c r="D467" i="2" s="1"/>
  <c r="D468" i="2" a="1"/>
  <c r="D468" i="2" s="1"/>
  <c r="D469" i="2" a="1"/>
  <c r="D469" i="2" s="1"/>
  <c r="D470" i="2" a="1"/>
  <c r="D470" i="2" s="1"/>
  <c r="D471" i="2" a="1"/>
  <c r="D471" i="2" s="1"/>
  <c r="D472" i="2" a="1"/>
  <c r="D472" i="2" s="1"/>
  <c r="D473" i="2" a="1"/>
  <c r="D473" i="2" s="1"/>
  <c r="D474" i="2" a="1"/>
  <c r="D474" i="2" s="1"/>
  <c r="D475" i="2" a="1"/>
  <c r="D475" i="2" s="1"/>
  <c r="D476" i="2" a="1"/>
  <c r="D476" i="2" s="1"/>
  <c r="D477" i="2" a="1"/>
  <c r="D477" i="2" s="1"/>
  <c r="D478" i="2" a="1"/>
  <c r="D478" i="2" s="1"/>
  <c r="D479" i="2" a="1"/>
  <c r="D479" i="2" s="1"/>
  <c r="D480" i="2" a="1"/>
  <c r="D480" i="2" s="1"/>
  <c r="D481" i="2" a="1"/>
  <c r="D481" i="2" s="1"/>
  <c r="D482" i="2" a="1"/>
  <c r="D482" i="2" s="1"/>
  <c r="D483" i="2" a="1"/>
  <c r="D483" i="2" s="1"/>
  <c r="D484" i="2" a="1"/>
  <c r="D484" i="2" s="1"/>
  <c r="D485" i="2" a="1"/>
  <c r="D485" i="2" s="1"/>
  <c r="D486" i="2" a="1"/>
  <c r="D486" i="2" s="1"/>
  <c r="D487" i="2" a="1"/>
  <c r="D487" i="2" s="1"/>
  <c r="D488" i="2" a="1"/>
  <c r="D488" i="2" s="1"/>
  <c r="D489" i="2" a="1"/>
  <c r="D489" i="2" s="1"/>
  <c r="D490" i="2" a="1"/>
  <c r="D490" i="2" s="1"/>
  <c r="D491" i="2" a="1"/>
  <c r="D491" i="2" s="1"/>
  <c r="D492" i="2" a="1"/>
  <c r="D492" i="2" s="1"/>
  <c r="D493" i="2" a="1"/>
  <c r="D493" i="2" s="1"/>
  <c r="D494" i="2" a="1"/>
  <c r="D494" i="2" s="1"/>
  <c r="D495" i="2" a="1"/>
  <c r="D495" i="2" s="1"/>
  <c r="D496" i="2" a="1"/>
  <c r="D496" i="2" s="1"/>
  <c r="D497" i="2" a="1"/>
  <c r="D497" i="2" s="1"/>
  <c r="D498" i="2" a="1"/>
  <c r="D498" i="2" s="1"/>
  <c r="D499" i="2" a="1"/>
  <c r="D499" i="2" s="1"/>
  <c r="D500" i="2" a="1"/>
  <c r="D500" i="2" s="1"/>
  <c r="D501" i="2" a="1"/>
  <c r="D501" i="2" s="1"/>
  <c r="D502" i="2" a="1"/>
  <c r="D502" i="2" s="1"/>
  <c r="D503" i="2" a="1"/>
  <c r="D503" i="2" s="1"/>
  <c r="D504" i="2" a="1"/>
  <c r="D504" i="2" s="1"/>
  <c r="D505" i="2" a="1"/>
  <c r="D505" i="2" s="1"/>
  <c r="D506" i="2" a="1"/>
  <c r="D506" i="2" s="1"/>
  <c r="D507" i="2" a="1"/>
  <c r="D507" i="2" s="1"/>
  <c r="D508" i="2" a="1"/>
  <c r="D508" i="2" s="1"/>
  <c r="D509" i="2" a="1"/>
  <c r="D509" i="2" s="1"/>
  <c r="D510" i="2" a="1"/>
  <c r="D510" i="2" s="1"/>
  <c r="D511" i="2" a="1"/>
  <c r="D511" i="2" s="1"/>
  <c r="D512" i="2" a="1"/>
  <c r="D512" i="2" s="1"/>
  <c r="D513" i="2" a="1"/>
  <c r="D513" i="2" s="1"/>
  <c r="D514" i="2" a="1"/>
  <c r="D514" i="2" s="1"/>
  <c r="D515" i="2" a="1"/>
  <c r="D515" i="2" s="1"/>
  <c r="D516" i="2" a="1"/>
  <c r="D516" i="2" s="1"/>
  <c r="D517" i="2" a="1"/>
  <c r="D517" i="2" s="1"/>
  <c r="D518" i="2" a="1"/>
  <c r="D518" i="2" s="1"/>
  <c r="D519" i="2" a="1"/>
  <c r="D519" i="2" s="1"/>
  <c r="D520" i="2" a="1"/>
  <c r="D520" i="2" s="1"/>
  <c r="D521" i="2" a="1"/>
  <c r="D521" i="2" s="1"/>
  <c r="D522" i="2" a="1"/>
  <c r="D522" i="2" s="1"/>
  <c r="D523" i="2" a="1"/>
  <c r="D523" i="2" s="1"/>
  <c r="D524" i="2" a="1"/>
  <c r="D524" i="2" s="1"/>
  <c r="D525" i="2" a="1"/>
  <c r="D525" i="2" s="1"/>
  <c r="D526" i="2" a="1"/>
  <c r="D526" i="2" s="1"/>
  <c r="D527" i="2" a="1"/>
  <c r="D527" i="2" s="1"/>
  <c r="D528" i="2" a="1"/>
  <c r="D528" i="2" s="1"/>
  <c r="D529" i="2" a="1"/>
  <c r="D529" i="2" s="1"/>
  <c r="D530" i="2" a="1"/>
  <c r="D530" i="2" s="1"/>
  <c r="D531" i="2" a="1"/>
  <c r="D531" i="2" s="1"/>
  <c r="D532" i="2" a="1"/>
  <c r="D532" i="2" s="1"/>
  <c r="D533" i="2" a="1"/>
  <c r="D533" i="2" s="1"/>
  <c r="D534" i="2" a="1"/>
  <c r="D534" i="2" s="1"/>
  <c r="D535" i="2" a="1"/>
  <c r="D535" i="2" s="1"/>
  <c r="D536" i="2" a="1"/>
  <c r="D536" i="2" s="1"/>
  <c r="D537" i="2" a="1"/>
  <c r="D537" i="2" s="1"/>
  <c r="D538" i="2" a="1"/>
  <c r="D538" i="2" s="1"/>
  <c r="D539" i="2" a="1"/>
  <c r="D539" i="2" s="1"/>
  <c r="D540" i="2" a="1"/>
  <c r="D540" i="2" s="1"/>
  <c r="D541" i="2" a="1"/>
  <c r="D541" i="2" s="1"/>
  <c r="D542" i="2" a="1"/>
  <c r="D542" i="2" s="1"/>
  <c r="D543" i="2" a="1"/>
  <c r="D543" i="2" s="1"/>
  <c r="D544" i="2" a="1"/>
  <c r="D544" i="2" s="1"/>
  <c r="D545" i="2" a="1"/>
  <c r="D545" i="2" s="1"/>
  <c r="D546" i="2" a="1"/>
  <c r="D546" i="2" s="1"/>
  <c r="D547" i="2" a="1"/>
  <c r="D547" i="2" s="1"/>
  <c r="D548" i="2" a="1"/>
  <c r="D548" i="2" s="1"/>
  <c r="D549" i="2" a="1"/>
  <c r="D549" i="2" s="1"/>
  <c r="D550" i="2" a="1"/>
  <c r="D550" i="2" s="1"/>
  <c r="D551" i="2" a="1"/>
  <c r="D551" i="2" s="1"/>
  <c r="D552" i="2" a="1"/>
  <c r="D552" i="2" s="1"/>
  <c r="D553" i="2" a="1"/>
  <c r="D553" i="2" s="1"/>
  <c r="D554" i="2" a="1"/>
  <c r="D554" i="2" s="1"/>
  <c r="D555" i="2" a="1"/>
  <c r="D555" i="2" s="1"/>
  <c r="D556" i="2" a="1"/>
  <c r="D556" i="2" s="1"/>
  <c r="D557" i="2" a="1"/>
  <c r="D557" i="2" s="1"/>
  <c r="D558" i="2" a="1"/>
  <c r="D558" i="2" s="1"/>
  <c r="D559" i="2" a="1"/>
  <c r="D559" i="2" s="1"/>
  <c r="D560" i="2" a="1"/>
  <c r="D560" i="2" s="1"/>
  <c r="D561" i="2" a="1"/>
  <c r="D561" i="2" s="1"/>
  <c r="D562" i="2" a="1"/>
  <c r="D562" i="2" s="1"/>
  <c r="D563" i="2" a="1"/>
  <c r="D563" i="2" s="1"/>
  <c r="D564" i="2" a="1"/>
  <c r="D564" i="2" s="1"/>
  <c r="D565" i="2" a="1"/>
  <c r="D565" i="2" s="1"/>
  <c r="D566" i="2" a="1"/>
  <c r="D566" i="2" s="1"/>
  <c r="D567" i="2" a="1"/>
  <c r="D567" i="2" s="1"/>
  <c r="D568" i="2" a="1"/>
  <c r="D568" i="2" s="1"/>
  <c r="D569" i="2" a="1"/>
  <c r="D569" i="2" s="1"/>
  <c r="D570" i="2" a="1"/>
  <c r="D570" i="2" s="1"/>
  <c r="D571" i="2" a="1"/>
  <c r="D571" i="2" s="1"/>
  <c r="D572" i="2" a="1"/>
  <c r="D572" i="2" s="1"/>
  <c r="D573" i="2" a="1"/>
  <c r="D573" i="2" s="1"/>
  <c r="D574" i="2" a="1"/>
  <c r="D574" i="2" s="1"/>
  <c r="D575" i="2" a="1"/>
  <c r="D575" i="2" s="1"/>
  <c r="D576" i="2" a="1"/>
  <c r="D576" i="2" s="1"/>
  <c r="D577" i="2" a="1"/>
  <c r="D577" i="2" s="1"/>
  <c r="D578" i="2" a="1"/>
  <c r="D578" i="2" s="1"/>
  <c r="D579" i="2" a="1"/>
  <c r="D579" i="2" s="1"/>
  <c r="D580" i="2" a="1"/>
  <c r="D580" i="2" s="1"/>
  <c r="D581" i="2" a="1"/>
  <c r="D581" i="2" s="1"/>
  <c r="D582" i="2" a="1"/>
  <c r="D582" i="2" s="1"/>
  <c r="D583" i="2" a="1"/>
  <c r="D583" i="2" s="1"/>
  <c r="D584" i="2" a="1"/>
  <c r="D584" i="2" s="1"/>
  <c r="D585" i="2" a="1"/>
  <c r="D585" i="2" s="1"/>
  <c r="D586" i="2" a="1"/>
  <c r="D586" i="2" s="1"/>
  <c r="D587" i="2" a="1"/>
  <c r="D587" i="2" s="1"/>
  <c r="D588" i="2" a="1"/>
  <c r="D588" i="2" s="1"/>
  <c r="D589" i="2" a="1"/>
  <c r="D589" i="2" s="1"/>
  <c r="D590" i="2" a="1"/>
  <c r="D590" i="2" s="1"/>
  <c r="D591" i="2" a="1"/>
  <c r="D591" i="2" s="1"/>
  <c r="D592" i="2" a="1"/>
  <c r="D592" i="2" s="1"/>
  <c r="D593" i="2" a="1"/>
  <c r="D593" i="2" s="1"/>
  <c r="D594" i="2" a="1"/>
  <c r="D594" i="2" s="1"/>
  <c r="D595" i="2" a="1"/>
  <c r="D595" i="2" s="1"/>
  <c r="D596" i="2" a="1"/>
  <c r="D596" i="2" s="1"/>
  <c r="D597" i="2" a="1"/>
  <c r="D597" i="2" s="1"/>
  <c r="D598" i="2" a="1"/>
  <c r="D598" i="2" s="1"/>
  <c r="D599" i="2" a="1"/>
  <c r="D599" i="2" s="1"/>
  <c r="D600" i="2" a="1"/>
  <c r="D600" i="2" s="1"/>
  <c r="D601" i="2" a="1"/>
  <c r="D601" i="2" s="1"/>
  <c r="D602" i="2" a="1"/>
  <c r="D602" i="2" s="1"/>
  <c r="D603" i="2" a="1"/>
  <c r="D603" i="2" s="1"/>
  <c r="D604" i="2" a="1"/>
  <c r="D604" i="2" s="1"/>
  <c r="D605" i="2" a="1"/>
  <c r="D605" i="2" s="1"/>
  <c r="D606" i="2" a="1"/>
  <c r="D606" i="2" s="1"/>
  <c r="D607" i="2" a="1"/>
  <c r="D607" i="2" s="1"/>
  <c r="D608" i="2" a="1"/>
  <c r="D608" i="2" s="1"/>
  <c r="D609" i="2" a="1"/>
  <c r="D609" i="2" s="1"/>
  <c r="D610" i="2" a="1"/>
  <c r="D610" i="2" s="1"/>
  <c r="D611" i="2" a="1"/>
  <c r="D611" i="2" s="1"/>
  <c r="D612" i="2" a="1"/>
  <c r="D612" i="2" s="1"/>
  <c r="D613" i="2" a="1"/>
  <c r="D613" i="2" s="1"/>
  <c r="D614" i="2" a="1"/>
  <c r="D614" i="2" s="1"/>
  <c r="D615" i="2" a="1"/>
  <c r="D615" i="2" s="1"/>
  <c r="D616" i="2" a="1"/>
  <c r="D616" i="2" s="1"/>
  <c r="D617" i="2" a="1"/>
  <c r="D617" i="2" s="1"/>
  <c r="D618" i="2" a="1"/>
  <c r="D618" i="2" s="1"/>
  <c r="D619" i="2" a="1"/>
  <c r="D619" i="2" s="1"/>
  <c r="D620" i="2" a="1"/>
  <c r="D620" i="2" s="1"/>
  <c r="D621" i="2" a="1"/>
  <c r="D621" i="2" s="1"/>
  <c r="D622" i="2" a="1"/>
  <c r="D622" i="2" s="1"/>
  <c r="D623" i="2" a="1"/>
  <c r="D623" i="2" s="1"/>
  <c r="D624" i="2" a="1"/>
  <c r="D624" i="2" s="1"/>
  <c r="D625" i="2" a="1"/>
  <c r="D625" i="2" s="1"/>
  <c r="D626" i="2" a="1"/>
  <c r="D626" i="2" s="1"/>
  <c r="D627" i="2" a="1"/>
  <c r="D627" i="2" s="1"/>
  <c r="D628" i="2" a="1"/>
  <c r="D628" i="2" s="1"/>
  <c r="D629" i="2" a="1"/>
  <c r="D629" i="2" s="1"/>
  <c r="D630" i="2" a="1"/>
  <c r="D630" i="2" s="1"/>
  <c r="D631" i="2" a="1"/>
  <c r="D631" i="2" s="1"/>
  <c r="D632" i="2" a="1"/>
  <c r="D632" i="2" s="1"/>
  <c r="D633" i="2" a="1"/>
  <c r="D633" i="2" s="1"/>
  <c r="D634" i="2" a="1"/>
  <c r="D634" i="2" s="1"/>
  <c r="D635" i="2" a="1"/>
  <c r="D635" i="2" s="1"/>
  <c r="D636" i="2" a="1"/>
  <c r="D636" i="2" s="1"/>
  <c r="D637" i="2" a="1"/>
  <c r="D637" i="2" s="1"/>
  <c r="D638" i="2" a="1"/>
  <c r="D638" i="2" s="1"/>
  <c r="D639" i="2" a="1"/>
  <c r="D639" i="2" s="1"/>
  <c r="D640" i="2" a="1"/>
  <c r="D640" i="2" s="1"/>
  <c r="D641" i="2" a="1"/>
  <c r="D641" i="2" s="1"/>
  <c r="D642" i="2" a="1"/>
  <c r="D642" i="2" s="1"/>
  <c r="D643" i="2" a="1"/>
  <c r="D643" i="2" s="1"/>
  <c r="D644" i="2" a="1"/>
  <c r="D644" i="2" s="1"/>
  <c r="D645" i="2" a="1"/>
  <c r="D645" i="2" s="1"/>
  <c r="D646" i="2" a="1"/>
  <c r="D646" i="2" s="1"/>
  <c r="D647" i="2" a="1"/>
  <c r="D647" i="2" s="1"/>
  <c r="D648" i="2" a="1"/>
  <c r="D648" i="2" s="1"/>
  <c r="D649" i="2" a="1"/>
  <c r="D649" i="2" s="1"/>
  <c r="D650" i="2" a="1"/>
  <c r="D650" i="2" s="1"/>
  <c r="D651" i="2" a="1"/>
  <c r="D651" i="2" s="1"/>
  <c r="D652" i="2" a="1"/>
  <c r="D652" i="2" s="1"/>
  <c r="D653" i="2" a="1"/>
  <c r="D653" i="2" s="1"/>
  <c r="D654" i="2" a="1"/>
  <c r="D654" i="2" s="1"/>
  <c r="D655" i="2" a="1"/>
  <c r="D655" i="2" s="1"/>
  <c r="D656" i="2" a="1"/>
  <c r="D656" i="2" s="1"/>
  <c r="D657" i="2" a="1"/>
  <c r="D657" i="2" s="1"/>
  <c r="D658" i="2" a="1"/>
  <c r="D658" i="2" s="1"/>
  <c r="D659" i="2" a="1"/>
  <c r="D659" i="2" s="1"/>
  <c r="D660" i="2" a="1"/>
  <c r="D660" i="2" s="1"/>
  <c r="D661" i="2" a="1"/>
  <c r="D661" i="2" s="1"/>
  <c r="D662" i="2" a="1"/>
  <c r="D662" i="2" s="1"/>
  <c r="D663" i="2" a="1"/>
  <c r="D663" i="2" s="1"/>
  <c r="D664" i="2" a="1"/>
  <c r="D664" i="2" s="1"/>
  <c r="D665" i="2" a="1"/>
  <c r="D665" i="2" s="1"/>
  <c r="D666" i="2" a="1"/>
  <c r="D666" i="2" s="1"/>
  <c r="D667" i="2" a="1"/>
  <c r="D667" i="2" s="1"/>
  <c r="D668" i="2" a="1"/>
  <c r="D668" i="2" s="1"/>
  <c r="D669" i="2" a="1"/>
  <c r="D669" i="2" s="1"/>
  <c r="D670" i="2" a="1"/>
  <c r="D670" i="2" s="1"/>
  <c r="D671" i="2" a="1"/>
  <c r="D671" i="2" s="1"/>
  <c r="D672" i="2" a="1"/>
  <c r="D672" i="2" s="1"/>
  <c r="D673" i="2" a="1"/>
  <c r="D673" i="2" s="1"/>
  <c r="D674" i="2" a="1"/>
  <c r="D674" i="2" s="1"/>
  <c r="D675" i="2" a="1"/>
  <c r="D675" i="2" s="1"/>
  <c r="D676" i="2" a="1"/>
  <c r="D676" i="2" s="1"/>
  <c r="D677" i="2" a="1"/>
  <c r="D677" i="2" s="1"/>
  <c r="D678" i="2" a="1"/>
  <c r="D678" i="2" s="1"/>
  <c r="D679" i="2" a="1"/>
  <c r="D679" i="2" s="1"/>
  <c r="D680" i="2" a="1"/>
  <c r="D680" i="2" s="1"/>
  <c r="D681" i="2" a="1"/>
  <c r="D681" i="2" s="1"/>
  <c r="D682" i="2" a="1"/>
  <c r="D682" i="2" s="1"/>
  <c r="D683" i="2" a="1"/>
  <c r="D683" i="2" s="1"/>
  <c r="D684" i="2" a="1"/>
  <c r="D684" i="2" s="1"/>
  <c r="D685" i="2" a="1"/>
  <c r="D685" i="2" s="1"/>
  <c r="D686" i="2" a="1"/>
  <c r="D686" i="2" s="1"/>
  <c r="D687" i="2" a="1"/>
  <c r="D687" i="2" s="1"/>
  <c r="D688" i="2" a="1"/>
  <c r="D688" i="2" s="1"/>
  <c r="D689" i="2" a="1"/>
  <c r="D689" i="2" s="1"/>
  <c r="D690" i="2" a="1"/>
  <c r="D690" i="2" s="1"/>
  <c r="D691" i="2" a="1"/>
  <c r="D691" i="2" s="1"/>
  <c r="D692" i="2" a="1"/>
  <c r="D692" i="2" s="1"/>
  <c r="D693" i="2" a="1"/>
  <c r="D693" i="2" s="1"/>
  <c r="D694" i="2" a="1"/>
  <c r="D694" i="2" s="1"/>
  <c r="D695" i="2" a="1"/>
  <c r="D695" i="2" s="1"/>
  <c r="D696" i="2" a="1"/>
  <c r="D696" i="2" s="1"/>
  <c r="D697" i="2" a="1"/>
  <c r="D697" i="2" s="1"/>
  <c r="D698" i="2" a="1"/>
  <c r="D698" i="2" s="1"/>
  <c r="D699" i="2" a="1"/>
  <c r="D699" i="2" s="1"/>
  <c r="D700" i="2" a="1"/>
  <c r="D700" i="2" s="1"/>
  <c r="D701" i="2" a="1"/>
  <c r="D701" i="2" s="1"/>
  <c r="D702" i="2" a="1"/>
  <c r="D702" i="2" s="1"/>
  <c r="D703" i="2" a="1"/>
  <c r="D703" i="2" s="1"/>
  <c r="D704" i="2" a="1"/>
  <c r="D704" i="2" s="1"/>
  <c r="D705" i="2" a="1"/>
  <c r="D705" i="2" s="1"/>
  <c r="D706" i="2" a="1"/>
  <c r="D706" i="2" s="1"/>
  <c r="D707" i="2" a="1"/>
  <c r="D707" i="2" s="1"/>
  <c r="D708" i="2" a="1"/>
  <c r="D708" i="2" s="1"/>
  <c r="D709" i="2" a="1"/>
  <c r="D709" i="2" s="1"/>
  <c r="D710" i="2" a="1"/>
  <c r="D710" i="2" s="1"/>
  <c r="D711" i="2" a="1"/>
  <c r="D711" i="2" s="1"/>
  <c r="D712" i="2" a="1"/>
  <c r="D712" i="2" s="1"/>
  <c r="D713" i="2" a="1"/>
  <c r="D713" i="2" s="1"/>
  <c r="D714" i="2" a="1"/>
  <c r="D714" i="2" s="1"/>
  <c r="D715" i="2" a="1"/>
  <c r="D715" i="2" s="1"/>
  <c r="D716" i="2" a="1"/>
  <c r="D716" i="2" s="1"/>
  <c r="D717" i="2" a="1"/>
  <c r="D717" i="2" s="1"/>
  <c r="D718" i="2" a="1"/>
  <c r="D718" i="2" s="1"/>
  <c r="D719" i="2" a="1"/>
  <c r="D719" i="2" s="1"/>
  <c r="D720" i="2" a="1"/>
  <c r="D720" i="2" s="1"/>
  <c r="D721" i="2" a="1"/>
  <c r="D721" i="2" s="1"/>
  <c r="D722" i="2" a="1"/>
  <c r="D722" i="2" s="1"/>
  <c r="D723" i="2" a="1"/>
  <c r="D723" i="2" s="1"/>
  <c r="D724" i="2" a="1"/>
  <c r="D724" i="2" s="1"/>
  <c r="D725" i="2" a="1"/>
  <c r="D725" i="2" s="1"/>
  <c r="D726" i="2" a="1"/>
  <c r="D726" i="2" s="1"/>
  <c r="D727" i="2" a="1"/>
  <c r="D727" i="2" s="1"/>
  <c r="D728" i="2" a="1"/>
  <c r="D728" i="2" s="1"/>
  <c r="D729" i="2" a="1"/>
  <c r="D729" i="2" s="1"/>
  <c r="D730" i="2" a="1"/>
  <c r="D730" i="2" s="1"/>
  <c r="D731" i="2" a="1"/>
  <c r="D731" i="2" s="1"/>
  <c r="D732" i="2" a="1"/>
  <c r="D732" i="2" s="1"/>
  <c r="D733" i="2" a="1"/>
  <c r="D733" i="2" s="1"/>
  <c r="D734" i="2" a="1"/>
  <c r="D734" i="2" s="1"/>
  <c r="D735" i="2" a="1"/>
  <c r="D735" i="2" s="1"/>
  <c r="D736" i="2" a="1"/>
  <c r="D736" i="2" s="1"/>
  <c r="D737" i="2" a="1"/>
  <c r="D737" i="2" s="1"/>
  <c r="D738" i="2" a="1"/>
  <c r="D738" i="2" s="1"/>
  <c r="D739" i="2" a="1"/>
  <c r="D739" i="2" s="1"/>
  <c r="D740" i="2" a="1"/>
  <c r="D740" i="2" s="1"/>
  <c r="D741" i="2" a="1"/>
  <c r="D741" i="2" s="1"/>
  <c r="D742" i="2" a="1"/>
  <c r="D742" i="2" s="1"/>
  <c r="D743" i="2" a="1"/>
  <c r="D743" i="2" s="1"/>
  <c r="D744" i="2" a="1"/>
  <c r="D744" i="2" s="1"/>
  <c r="D745" i="2" a="1"/>
  <c r="D745" i="2" s="1"/>
  <c r="D746" i="2" a="1"/>
  <c r="D746" i="2" s="1"/>
  <c r="D747" i="2" a="1"/>
  <c r="D747" i="2" s="1"/>
  <c r="D748" i="2" a="1"/>
  <c r="D748" i="2" s="1"/>
  <c r="D749" i="2" a="1"/>
  <c r="D749" i="2" s="1"/>
  <c r="D750" i="2" a="1"/>
  <c r="D750" i="2" s="1"/>
  <c r="D751" i="2" a="1"/>
  <c r="D751" i="2" s="1"/>
  <c r="D752" i="2" a="1"/>
  <c r="D752" i="2" s="1"/>
  <c r="D753" i="2" a="1"/>
  <c r="D753" i="2" s="1"/>
  <c r="D754" i="2" a="1"/>
  <c r="D754" i="2" s="1"/>
  <c r="D755" i="2" a="1"/>
  <c r="D755" i="2" s="1"/>
  <c r="D756" i="2" a="1"/>
  <c r="D756" i="2" s="1"/>
  <c r="D757" i="2" a="1"/>
  <c r="D757" i="2" s="1"/>
  <c r="D758" i="2" a="1"/>
  <c r="D758" i="2" s="1"/>
  <c r="D759" i="2" a="1"/>
  <c r="D759" i="2" s="1"/>
  <c r="D760" i="2" a="1"/>
  <c r="D760" i="2" s="1"/>
  <c r="D761" i="2" a="1"/>
  <c r="D761" i="2" s="1"/>
  <c r="D762" i="2" a="1"/>
  <c r="D762" i="2" s="1"/>
  <c r="D763" i="2" a="1"/>
  <c r="D763" i="2" s="1"/>
  <c r="D764" i="2" a="1"/>
  <c r="D764" i="2" s="1"/>
  <c r="D765" i="2" a="1"/>
  <c r="D765" i="2" s="1"/>
  <c r="D766" i="2" a="1"/>
  <c r="D766" i="2" s="1"/>
  <c r="D767" i="2" a="1"/>
  <c r="D767" i="2" s="1"/>
  <c r="D768" i="2" a="1"/>
  <c r="D768" i="2" s="1"/>
  <c r="D769" i="2" a="1"/>
  <c r="D769" i="2" s="1"/>
  <c r="D770" i="2" a="1"/>
  <c r="D770" i="2" s="1"/>
  <c r="D771" i="2" a="1"/>
  <c r="D771" i="2" s="1"/>
  <c r="D772" i="2" a="1"/>
  <c r="D772" i="2" s="1"/>
  <c r="D773" i="2" a="1"/>
  <c r="D773" i="2" s="1"/>
  <c r="D774" i="2" a="1"/>
  <c r="D774" i="2" s="1"/>
  <c r="D775" i="2" a="1"/>
  <c r="D775" i="2" s="1"/>
  <c r="D776" i="2" a="1"/>
  <c r="D776" i="2" s="1"/>
  <c r="D777" i="2" a="1"/>
  <c r="D777" i="2" s="1"/>
  <c r="D778" i="2" a="1"/>
  <c r="D778" i="2" s="1"/>
  <c r="D779" i="2" a="1"/>
  <c r="D779" i="2" s="1"/>
  <c r="D780" i="2" a="1"/>
  <c r="D780" i="2" s="1"/>
  <c r="D781" i="2" a="1"/>
  <c r="D781" i="2" s="1"/>
  <c r="D782" i="2" a="1"/>
  <c r="D782" i="2" s="1"/>
  <c r="D783" i="2" a="1"/>
  <c r="D783" i="2" s="1"/>
  <c r="D784" i="2" a="1"/>
  <c r="D784" i="2" s="1"/>
  <c r="D785" i="2" a="1"/>
  <c r="D785" i="2" s="1"/>
  <c r="D786" i="2" a="1"/>
  <c r="D786" i="2" s="1"/>
  <c r="D787" i="2" a="1"/>
  <c r="D787" i="2" s="1"/>
  <c r="D788" i="2" a="1"/>
  <c r="D788" i="2" s="1"/>
  <c r="D789" i="2" a="1"/>
  <c r="D789" i="2" s="1"/>
  <c r="D790" i="2" a="1"/>
  <c r="D790" i="2" s="1"/>
  <c r="D791" i="2" a="1"/>
  <c r="D791" i="2" s="1"/>
  <c r="D792" i="2" a="1"/>
  <c r="D792" i="2" s="1"/>
  <c r="D793" i="2" a="1"/>
  <c r="D793" i="2" s="1"/>
  <c r="D794" i="2" a="1"/>
  <c r="D794" i="2" s="1"/>
  <c r="D795" i="2" a="1"/>
  <c r="D795" i="2" s="1"/>
  <c r="D796" i="2" a="1"/>
  <c r="D796" i="2" s="1"/>
  <c r="D797" i="2" a="1"/>
  <c r="D797" i="2" s="1"/>
  <c r="D798" i="2" a="1"/>
  <c r="D798" i="2" s="1"/>
  <c r="D799" i="2" a="1"/>
  <c r="D799" i="2" s="1"/>
  <c r="D800" i="2" a="1"/>
  <c r="D800" i="2" s="1"/>
  <c r="D801" i="2" a="1"/>
  <c r="D801" i="2" s="1"/>
  <c r="D802" i="2" a="1"/>
  <c r="D802" i="2" s="1"/>
  <c r="D803" i="2" a="1"/>
  <c r="D803" i="2" s="1"/>
  <c r="D804" i="2" a="1"/>
  <c r="D804" i="2" s="1"/>
  <c r="D805" i="2" a="1"/>
  <c r="D805" i="2" s="1"/>
  <c r="D806" i="2" a="1"/>
  <c r="D806" i="2" s="1"/>
  <c r="D807" i="2" a="1"/>
  <c r="D807" i="2" s="1"/>
  <c r="D808" i="2" a="1"/>
  <c r="D808" i="2" s="1"/>
  <c r="D809" i="2" a="1"/>
  <c r="D809" i="2" s="1"/>
  <c r="D810" i="2" a="1"/>
  <c r="D810" i="2" s="1"/>
  <c r="D811" i="2" a="1"/>
  <c r="D811" i="2" s="1"/>
  <c r="D812" i="2" a="1"/>
  <c r="D812" i="2" s="1"/>
  <c r="D813" i="2" a="1"/>
  <c r="D813" i="2" s="1"/>
  <c r="D814" i="2" a="1"/>
  <c r="D814" i="2" s="1"/>
  <c r="D815" i="2" a="1"/>
  <c r="D815" i="2" s="1"/>
  <c r="D816" i="2" a="1"/>
  <c r="D816" i="2" s="1"/>
  <c r="D817" i="2" a="1"/>
  <c r="D817" i="2" s="1"/>
  <c r="D818" i="2" a="1"/>
  <c r="D818" i="2" s="1"/>
  <c r="D819" i="2" a="1"/>
  <c r="D819" i="2" s="1"/>
  <c r="D820" i="2" a="1"/>
  <c r="D820" i="2" s="1"/>
  <c r="D821" i="2" a="1"/>
  <c r="D821" i="2" s="1"/>
  <c r="D822" i="2" a="1"/>
  <c r="D822" i="2" s="1"/>
  <c r="D823" i="2" a="1"/>
  <c r="D823" i="2" s="1"/>
  <c r="D824" i="2" a="1"/>
  <c r="D824" i="2" s="1"/>
  <c r="D825" i="2" a="1"/>
  <c r="D825" i="2" s="1"/>
  <c r="D826" i="2" a="1"/>
  <c r="D826" i="2" s="1"/>
  <c r="D827" i="2" a="1"/>
  <c r="D827" i="2" s="1"/>
  <c r="D828" i="2" a="1"/>
  <c r="D828" i="2" s="1"/>
  <c r="D829" i="2" a="1"/>
  <c r="D829" i="2" s="1"/>
  <c r="D830" i="2" a="1"/>
  <c r="D830" i="2" s="1"/>
  <c r="D831" i="2" a="1"/>
  <c r="D831" i="2" s="1"/>
  <c r="D832" i="2" a="1"/>
  <c r="D832" i="2" s="1"/>
  <c r="D833" i="2" a="1"/>
  <c r="D833" i="2" s="1"/>
  <c r="D834" i="2" a="1"/>
  <c r="D834" i="2" s="1"/>
  <c r="D835" i="2" a="1"/>
  <c r="D835" i="2" s="1"/>
  <c r="D836" i="2" a="1"/>
  <c r="D836" i="2" s="1"/>
  <c r="D837" i="2" a="1"/>
  <c r="D837" i="2" s="1"/>
  <c r="D838" i="2" a="1"/>
  <c r="D838" i="2" s="1"/>
  <c r="D839" i="2" a="1"/>
  <c r="D839" i="2" s="1"/>
  <c r="D840" i="2" a="1"/>
  <c r="D840" i="2" s="1"/>
  <c r="D841" i="2" a="1"/>
  <c r="D841" i="2" s="1"/>
  <c r="D842" i="2" a="1"/>
  <c r="D842" i="2" s="1"/>
  <c r="D843" i="2" a="1"/>
  <c r="D843" i="2" s="1"/>
  <c r="D844" i="2" a="1"/>
  <c r="D844" i="2" s="1"/>
  <c r="D845" i="2" a="1"/>
  <c r="D845" i="2" s="1"/>
  <c r="D846" i="2" a="1"/>
  <c r="D846" i="2" s="1"/>
  <c r="D847" i="2" a="1"/>
  <c r="D847" i="2" s="1"/>
  <c r="D848" i="2" a="1"/>
  <c r="D848" i="2" s="1"/>
  <c r="D849" i="2" a="1"/>
  <c r="D849" i="2" s="1"/>
  <c r="D850" i="2" a="1"/>
  <c r="D850" i="2" s="1"/>
  <c r="D851" i="2" a="1"/>
  <c r="D851" i="2" s="1"/>
  <c r="D852" i="2" a="1"/>
  <c r="D852" i="2" s="1"/>
  <c r="D853" i="2" a="1"/>
  <c r="D853" i="2" s="1"/>
  <c r="D854" i="2" a="1"/>
  <c r="D854" i="2" s="1"/>
  <c r="D855" i="2" a="1"/>
  <c r="D855" i="2" s="1"/>
  <c r="D856" i="2" a="1"/>
  <c r="D856" i="2" s="1"/>
  <c r="D857" i="2" a="1"/>
  <c r="D857" i="2" s="1"/>
  <c r="D858" i="2" a="1"/>
  <c r="D858" i="2" s="1"/>
  <c r="D859" i="2" a="1"/>
  <c r="D859" i="2" s="1"/>
  <c r="D860" i="2" a="1"/>
  <c r="D860" i="2" s="1"/>
  <c r="D861" i="2" a="1"/>
  <c r="D861" i="2" s="1"/>
  <c r="D862" i="2" a="1"/>
  <c r="D862" i="2" s="1"/>
  <c r="D863" i="2" a="1"/>
  <c r="D863" i="2" s="1"/>
  <c r="D864" i="2" a="1"/>
  <c r="D864" i="2" s="1"/>
  <c r="D865" i="2" a="1"/>
  <c r="D865" i="2" s="1"/>
  <c r="D866" i="2" a="1"/>
  <c r="D866" i="2" s="1"/>
  <c r="D867" i="2" a="1"/>
  <c r="D867" i="2" s="1"/>
  <c r="D868" i="2" a="1"/>
  <c r="D868" i="2" s="1"/>
  <c r="D869" i="2" a="1"/>
  <c r="D869" i="2" s="1"/>
  <c r="D870" i="2" a="1"/>
  <c r="D870" i="2" s="1"/>
  <c r="D871" i="2" a="1"/>
  <c r="D871" i="2" s="1"/>
  <c r="D872" i="2" a="1"/>
  <c r="D872" i="2" s="1"/>
  <c r="D873" i="2" a="1"/>
  <c r="D873" i="2" s="1"/>
  <c r="D874" i="2" a="1"/>
  <c r="D874" i="2" s="1"/>
  <c r="D875" i="2" a="1"/>
  <c r="D875" i="2" s="1"/>
  <c r="D876" i="2" a="1"/>
  <c r="D876" i="2" s="1"/>
  <c r="D877" i="2" a="1"/>
  <c r="D877" i="2" s="1"/>
  <c r="D878" i="2" a="1"/>
  <c r="D878" i="2" s="1"/>
  <c r="D879" i="2" a="1"/>
  <c r="D879" i="2" s="1"/>
  <c r="D880" i="2" a="1"/>
  <c r="D880" i="2" s="1"/>
  <c r="D881" i="2" a="1"/>
  <c r="D881" i="2" s="1"/>
  <c r="D882" i="2" a="1"/>
  <c r="D882" i="2" s="1"/>
  <c r="D883" i="2" a="1"/>
  <c r="D883" i="2" s="1"/>
  <c r="D884" i="2" a="1"/>
  <c r="D884" i="2" s="1"/>
  <c r="D885" i="2" a="1"/>
  <c r="D885" i="2" s="1"/>
  <c r="D886" i="2" a="1"/>
  <c r="D886" i="2" s="1"/>
  <c r="D887" i="2" a="1"/>
  <c r="D887" i="2" s="1"/>
  <c r="D888" i="2" a="1"/>
  <c r="D888" i="2" s="1"/>
  <c r="D889" i="2" a="1"/>
  <c r="D889" i="2" s="1"/>
  <c r="D890" i="2" a="1"/>
  <c r="D890" i="2" s="1"/>
  <c r="D891" i="2" a="1"/>
  <c r="D891" i="2" s="1"/>
  <c r="D892" i="2" a="1"/>
  <c r="D892" i="2" s="1"/>
  <c r="D893" i="2" a="1"/>
  <c r="D893" i="2" s="1"/>
  <c r="D894" i="2" a="1"/>
  <c r="D894" i="2" s="1"/>
  <c r="D895" i="2" a="1"/>
  <c r="D895" i="2" s="1"/>
  <c r="D896" i="2" a="1"/>
  <c r="D896" i="2" s="1"/>
  <c r="D897" i="2" a="1"/>
  <c r="D897" i="2" s="1"/>
  <c r="D898" i="2" a="1"/>
  <c r="D898" i="2" s="1"/>
  <c r="D899" i="2" a="1"/>
  <c r="D899" i="2" s="1"/>
  <c r="D900" i="2" a="1"/>
  <c r="D900" i="2" s="1"/>
  <c r="D901" i="2" a="1"/>
  <c r="D901" i="2" s="1"/>
  <c r="D902" i="2" a="1"/>
  <c r="D902" i="2" s="1"/>
  <c r="D903" i="2" a="1"/>
  <c r="D903" i="2" s="1"/>
  <c r="D904" i="2" a="1"/>
  <c r="D904" i="2" s="1"/>
  <c r="D905" i="2" a="1"/>
  <c r="D905" i="2" s="1"/>
  <c r="D906" i="2" a="1"/>
  <c r="D906" i="2" s="1"/>
  <c r="D907" i="2" a="1"/>
  <c r="D907" i="2" s="1"/>
  <c r="D908" i="2" a="1"/>
  <c r="D908" i="2" s="1"/>
  <c r="D909" i="2" a="1"/>
  <c r="D909" i="2" s="1"/>
  <c r="D910" i="2" a="1"/>
  <c r="D910" i="2" s="1"/>
  <c r="D911" i="2" a="1"/>
  <c r="D911" i="2" s="1"/>
  <c r="D912" i="2" a="1"/>
  <c r="D912" i="2" s="1"/>
  <c r="D913" i="2" a="1"/>
  <c r="D913" i="2" s="1"/>
  <c r="D914" i="2" a="1"/>
  <c r="D914" i="2" s="1"/>
  <c r="D915" i="2" a="1"/>
  <c r="D915" i="2" s="1"/>
  <c r="D916" i="2" a="1"/>
  <c r="D916" i="2" s="1"/>
  <c r="D917" i="2" a="1"/>
  <c r="D917" i="2" s="1"/>
  <c r="D918" i="2" a="1"/>
  <c r="D918" i="2" s="1"/>
  <c r="D919" i="2" a="1"/>
  <c r="D919" i="2" s="1"/>
  <c r="D920" i="2" a="1"/>
  <c r="D920" i="2" s="1"/>
  <c r="D921" i="2" a="1"/>
  <c r="D921" i="2" s="1"/>
  <c r="D922" i="2" a="1"/>
  <c r="D922" i="2" s="1"/>
  <c r="D923" i="2" a="1"/>
  <c r="D923" i="2" s="1"/>
  <c r="D924" i="2" a="1"/>
  <c r="D924" i="2" s="1"/>
  <c r="D925" i="2" a="1"/>
  <c r="D925" i="2" s="1"/>
  <c r="D926" i="2" a="1"/>
  <c r="D926" i="2" s="1"/>
  <c r="D927" i="2" a="1"/>
  <c r="D927" i="2" s="1"/>
  <c r="D928" i="2" a="1"/>
  <c r="D928" i="2" s="1"/>
  <c r="D929" i="2" a="1"/>
  <c r="D929" i="2" s="1"/>
  <c r="D930" i="2" a="1"/>
  <c r="D930" i="2" s="1"/>
  <c r="D931" i="2" a="1"/>
  <c r="D931" i="2" s="1"/>
  <c r="D932" i="2" a="1"/>
  <c r="D932" i="2" s="1"/>
  <c r="D933" i="2" a="1"/>
  <c r="D933" i="2" s="1"/>
  <c r="D934" i="2" a="1"/>
  <c r="D934" i="2" s="1"/>
  <c r="D935" i="2" a="1"/>
  <c r="D935" i="2" s="1"/>
  <c r="D936" i="2" a="1"/>
  <c r="D936" i="2" s="1"/>
  <c r="D937" i="2" a="1"/>
  <c r="D937" i="2" s="1"/>
  <c r="D938" i="2" a="1"/>
  <c r="D938" i="2" s="1"/>
  <c r="D939" i="2" a="1"/>
  <c r="D939" i="2" s="1"/>
  <c r="D940" i="2" a="1"/>
  <c r="D940" i="2" s="1"/>
  <c r="D941" i="2" a="1"/>
  <c r="D941" i="2" s="1"/>
  <c r="D942" i="2" a="1"/>
  <c r="D942" i="2" s="1"/>
  <c r="D943" i="2" a="1"/>
  <c r="D943" i="2" s="1"/>
  <c r="D944" i="2" a="1"/>
  <c r="D944" i="2" s="1"/>
  <c r="D945" i="2" a="1"/>
  <c r="D945" i="2" s="1"/>
  <c r="D946" i="2" a="1"/>
  <c r="D946" i="2" s="1"/>
  <c r="D947" i="2" a="1"/>
  <c r="D947" i="2" s="1"/>
  <c r="D948" i="2" a="1"/>
  <c r="D948" i="2" s="1"/>
  <c r="D949" i="2" a="1"/>
  <c r="D949" i="2" s="1"/>
  <c r="D950" i="2" a="1"/>
  <c r="D950" i="2" s="1"/>
  <c r="D951" i="2" a="1"/>
  <c r="D951" i="2" s="1"/>
  <c r="D952" i="2" a="1"/>
  <c r="D952" i="2" s="1"/>
  <c r="D953" i="2" a="1"/>
  <c r="D953" i="2" s="1"/>
  <c r="D954" i="2" a="1"/>
  <c r="D954" i="2" s="1"/>
  <c r="D955" i="2" a="1"/>
  <c r="D955" i="2" s="1"/>
  <c r="D956" i="2" a="1"/>
  <c r="D956" i="2" s="1"/>
  <c r="D957" i="2" a="1"/>
  <c r="D957" i="2" s="1"/>
  <c r="D958" i="2" a="1"/>
  <c r="D958" i="2" s="1"/>
  <c r="D959" i="2" a="1"/>
  <c r="D959" i="2" s="1"/>
  <c r="D960" i="2" a="1"/>
  <c r="D960" i="2" s="1"/>
  <c r="D961" i="2" a="1"/>
  <c r="D961" i="2" s="1"/>
  <c r="D962" i="2" a="1"/>
  <c r="D962" i="2" s="1"/>
  <c r="D963" i="2" a="1"/>
  <c r="D963" i="2" s="1"/>
  <c r="D964" i="2" a="1"/>
  <c r="D964" i="2" s="1"/>
  <c r="D965" i="2" a="1"/>
  <c r="D965" i="2" s="1"/>
  <c r="D966" i="2" a="1"/>
  <c r="D966" i="2" s="1"/>
  <c r="D967" i="2" a="1"/>
  <c r="D967" i="2" s="1"/>
  <c r="D968" i="2" a="1"/>
  <c r="D968" i="2" s="1"/>
  <c r="D969" i="2" a="1"/>
  <c r="D969" i="2" s="1"/>
  <c r="D970" i="2" a="1"/>
  <c r="D970" i="2" s="1"/>
  <c r="D971" i="2" a="1"/>
  <c r="D971" i="2" s="1"/>
  <c r="D972" i="2" a="1"/>
  <c r="D972" i="2" s="1"/>
  <c r="D973" i="2" a="1"/>
  <c r="D973" i="2" s="1"/>
  <c r="D974" i="2" a="1"/>
  <c r="D974" i="2" s="1"/>
  <c r="D975" i="2" a="1"/>
  <c r="D975" i="2" s="1"/>
  <c r="D976" i="2" a="1"/>
  <c r="D976" i="2" s="1"/>
  <c r="D977" i="2" a="1"/>
  <c r="D977" i="2" s="1"/>
  <c r="D978" i="2" a="1"/>
  <c r="D978" i="2" s="1"/>
  <c r="D979" i="2" a="1"/>
  <c r="D979" i="2" s="1"/>
  <c r="D980" i="2" a="1"/>
  <c r="D980" i="2" s="1"/>
  <c r="D981" i="2" a="1"/>
  <c r="D981" i="2" s="1"/>
  <c r="D982" i="2" a="1"/>
  <c r="D982" i="2" s="1"/>
  <c r="D983" i="2" a="1"/>
  <c r="D983" i="2" s="1"/>
  <c r="D984" i="2" a="1"/>
  <c r="D984" i="2" s="1"/>
  <c r="D985" i="2" a="1"/>
  <c r="D985" i="2" s="1"/>
  <c r="D986" i="2" a="1"/>
  <c r="D986" i="2" s="1"/>
  <c r="D987" i="2" a="1"/>
  <c r="D987" i="2" s="1"/>
  <c r="D988" i="2" a="1"/>
  <c r="D988" i="2" s="1"/>
  <c r="D989" i="2" a="1"/>
  <c r="D989" i="2" s="1"/>
  <c r="D990" i="2" a="1"/>
  <c r="D990" i="2" s="1"/>
  <c r="D991" i="2" a="1"/>
  <c r="D991" i="2" s="1"/>
  <c r="D992" i="2" a="1"/>
  <c r="D992" i="2" s="1"/>
  <c r="D993" i="2" a="1"/>
  <c r="D993" i="2" s="1"/>
  <c r="D994" i="2" a="1"/>
  <c r="D994" i="2" s="1"/>
  <c r="D995" i="2" a="1"/>
  <c r="D995" i="2" s="1"/>
  <c r="D996" i="2" a="1"/>
  <c r="D996" i="2" s="1"/>
  <c r="D997" i="2" a="1"/>
  <c r="D997" i="2" s="1"/>
  <c r="D998" i="2" a="1"/>
  <c r="D998" i="2" s="1"/>
  <c r="D999" i="2" a="1"/>
  <c r="D999" i="2" s="1"/>
  <c r="D1000" i="2" a="1"/>
  <c r="D1000" i="2" s="1"/>
  <c r="D1001" i="2" a="1"/>
  <c r="D1001" i="2" s="1"/>
  <c r="D1002" i="2" a="1"/>
  <c r="D1002" i="2" s="1"/>
  <c r="D1003" i="2" a="1"/>
  <c r="D1003" i="2" s="1"/>
  <c r="D1004" i="2" a="1"/>
  <c r="D1004" i="2" s="1"/>
  <c r="D1005" i="2" a="1"/>
  <c r="D1005" i="2" s="1"/>
  <c r="D1006" i="2" a="1"/>
  <c r="D1006" i="2" s="1"/>
  <c r="D1007" i="2" a="1"/>
  <c r="D1007" i="2" s="1"/>
  <c r="D1008" i="2" a="1"/>
  <c r="D1008" i="2" s="1"/>
  <c r="D1009" i="2" a="1"/>
  <c r="D1009" i="2" s="1"/>
  <c r="D1010" i="2" a="1"/>
  <c r="D1010" i="2" s="1"/>
  <c r="D1011" i="2" a="1"/>
  <c r="D1011" i="2" s="1"/>
  <c r="D1012" i="2" a="1"/>
  <c r="D1012" i="2" s="1"/>
  <c r="D1013" i="2" a="1"/>
  <c r="D1013" i="2" s="1"/>
  <c r="D1014" i="2" a="1"/>
  <c r="D1014" i="2" s="1"/>
  <c r="D1015" i="2" a="1"/>
  <c r="D1015" i="2" s="1"/>
  <c r="D1016" i="2" a="1"/>
  <c r="D1016" i="2" s="1"/>
  <c r="D1017" i="2" a="1"/>
  <c r="D1017" i="2" s="1"/>
  <c r="D1018" i="2" a="1"/>
  <c r="D1018" i="2" s="1"/>
  <c r="D1019" i="2" a="1"/>
  <c r="D1019" i="2" s="1"/>
  <c r="D1020" i="2" a="1"/>
  <c r="D1020" i="2" s="1"/>
  <c r="D1021" i="2" a="1"/>
  <c r="D1021" i="2" s="1"/>
  <c r="D1022" i="2" a="1"/>
  <c r="D1022" i="2" s="1"/>
  <c r="D1023" i="2" a="1"/>
  <c r="D1023" i="2" s="1"/>
  <c r="D1024" i="2" a="1"/>
  <c r="D1024" i="2" s="1"/>
  <c r="D1025" i="2" a="1"/>
  <c r="D1025" i="2" s="1"/>
  <c r="D1026" i="2" a="1"/>
  <c r="D1026" i="2" s="1"/>
  <c r="D1027" i="2" a="1"/>
  <c r="D1027" i="2" s="1"/>
  <c r="D1028" i="2" a="1"/>
  <c r="D1028" i="2" s="1"/>
  <c r="D1029" i="2" a="1"/>
  <c r="D1029" i="2" s="1"/>
  <c r="D1030" i="2" a="1"/>
  <c r="D1030" i="2" s="1"/>
  <c r="D1031" i="2" a="1"/>
  <c r="D1031" i="2" s="1"/>
  <c r="D1032" i="2" a="1"/>
  <c r="D1032" i="2" s="1"/>
  <c r="D1033" i="2" a="1"/>
  <c r="D1033" i="2" s="1"/>
  <c r="D1034" i="2" a="1"/>
  <c r="D1034" i="2" s="1"/>
  <c r="D1035" i="2" a="1"/>
  <c r="D1035" i="2" s="1"/>
  <c r="D1036" i="2" a="1"/>
  <c r="D1036" i="2" s="1"/>
  <c r="D1037" i="2" a="1"/>
  <c r="D1037" i="2" s="1"/>
  <c r="D1038" i="2" a="1"/>
  <c r="D1038" i="2" s="1"/>
  <c r="D1039" i="2" a="1"/>
  <c r="D1039" i="2" s="1"/>
  <c r="D1040" i="2" a="1"/>
  <c r="D1040" i="2" s="1"/>
  <c r="D1041" i="2" a="1"/>
  <c r="D1041" i="2" s="1"/>
  <c r="D1042" i="2" a="1"/>
  <c r="D1042" i="2" s="1"/>
  <c r="D1043" i="2" a="1"/>
  <c r="D1043" i="2" s="1"/>
  <c r="D1044" i="2" a="1"/>
  <c r="D1044" i="2" s="1"/>
  <c r="D1045" i="2" a="1"/>
  <c r="D1045" i="2" s="1"/>
  <c r="D1046" i="2" a="1"/>
  <c r="D1046" i="2" s="1"/>
  <c r="D1047" i="2" a="1"/>
  <c r="D1047" i="2" s="1"/>
  <c r="D1048" i="2" a="1"/>
  <c r="D1048" i="2" s="1"/>
  <c r="D1049" i="2" a="1"/>
  <c r="D1049" i="2" s="1"/>
  <c r="D1050" i="2" a="1"/>
  <c r="D1050" i="2" s="1"/>
  <c r="D1051" i="2" a="1"/>
  <c r="D1051" i="2" s="1"/>
  <c r="D1052" i="2" a="1"/>
  <c r="D1052" i="2" s="1"/>
  <c r="D1053" i="2" a="1"/>
  <c r="D1053" i="2" s="1"/>
  <c r="D1054" i="2" a="1"/>
  <c r="D1054" i="2" s="1"/>
  <c r="D1055" i="2" a="1"/>
  <c r="D1055" i="2" s="1"/>
  <c r="D1056" i="2" a="1"/>
  <c r="D1056" i="2" s="1"/>
  <c r="D1057" i="2" a="1"/>
  <c r="D1057" i="2" s="1"/>
  <c r="D1058" i="2" a="1"/>
  <c r="D1058" i="2" s="1"/>
  <c r="D1059" i="2" a="1"/>
  <c r="D1059" i="2" s="1"/>
  <c r="D1060" i="2" a="1"/>
  <c r="D1060" i="2" s="1"/>
  <c r="D1061" i="2" a="1"/>
  <c r="D1061" i="2" s="1"/>
  <c r="D1062" i="2" a="1"/>
  <c r="D1062" i="2" s="1"/>
  <c r="D1063" i="2" a="1"/>
  <c r="D1063" i="2" s="1"/>
  <c r="D1064" i="2" a="1"/>
  <c r="D1064" i="2" s="1"/>
  <c r="D1065" i="2" a="1"/>
  <c r="D1065" i="2" s="1"/>
  <c r="D1066" i="2" a="1"/>
  <c r="D1066" i="2" s="1"/>
  <c r="D1067" i="2" a="1"/>
  <c r="D1067" i="2" s="1"/>
  <c r="D1068" i="2" a="1"/>
  <c r="D1068" i="2" s="1"/>
  <c r="D1069" i="2" a="1"/>
  <c r="D1069" i="2" s="1"/>
  <c r="D1070" i="2" a="1"/>
  <c r="D1070" i="2" s="1"/>
  <c r="D1071" i="2" a="1"/>
  <c r="D1071" i="2" s="1"/>
  <c r="D1072" i="2" a="1"/>
  <c r="D1072" i="2" s="1"/>
  <c r="D1073" i="2" a="1"/>
  <c r="D1073" i="2" s="1"/>
  <c r="D1074" i="2" a="1"/>
  <c r="D1074" i="2" s="1"/>
  <c r="D1075" i="2" a="1"/>
  <c r="D1075" i="2" s="1"/>
  <c r="D1076" i="2" a="1"/>
  <c r="D1076" i="2" s="1"/>
  <c r="D1077" i="2" a="1"/>
  <c r="D1077" i="2" s="1"/>
  <c r="D1078" i="2" a="1"/>
  <c r="D1078" i="2" s="1"/>
  <c r="D1079" i="2" a="1"/>
  <c r="D1079" i="2" s="1"/>
  <c r="D1080" i="2" a="1"/>
  <c r="D1080" i="2" s="1"/>
  <c r="D1081" i="2" a="1"/>
  <c r="D1081" i="2" s="1"/>
  <c r="D1082" i="2" a="1"/>
  <c r="D1082" i="2" s="1"/>
  <c r="D1083" i="2" a="1"/>
  <c r="D1083" i="2" s="1"/>
  <c r="D1084" i="2" a="1"/>
  <c r="D1084" i="2" s="1"/>
  <c r="D1085" i="2" a="1"/>
  <c r="D1085" i="2" s="1"/>
  <c r="D1086" i="2" a="1"/>
  <c r="D1086" i="2" s="1"/>
  <c r="D1087" i="2" a="1"/>
  <c r="D1087" i="2" s="1"/>
  <c r="D1088" i="2" a="1"/>
  <c r="D1088" i="2" s="1"/>
  <c r="D1089" i="2" a="1"/>
  <c r="D1089" i="2" s="1"/>
  <c r="D1090" i="2" a="1"/>
  <c r="D1090" i="2" s="1"/>
  <c r="D1091" i="2" a="1"/>
  <c r="D1091" i="2" s="1"/>
  <c r="D1092" i="2" a="1"/>
  <c r="D1092" i="2" s="1"/>
  <c r="D1093" i="2" a="1"/>
  <c r="D1093" i="2" s="1"/>
  <c r="D1094" i="2" a="1"/>
  <c r="D1094" i="2" s="1"/>
  <c r="D1095" i="2" a="1"/>
  <c r="D1095" i="2" s="1"/>
  <c r="D1096" i="2" a="1"/>
  <c r="D1096" i="2" s="1"/>
  <c r="D1097" i="2" a="1"/>
  <c r="D1097" i="2" s="1"/>
  <c r="D1098" i="2" a="1"/>
  <c r="D1098" i="2" s="1"/>
  <c r="D1099" i="2" a="1"/>
  <c r="D1099" i="2" s="1"/>
  <c r="D1100" i="2" a="1"/>
  <c r="D1100" i="2" s="1"/>
  <c r="D1101" i="2" a="1"/>
  <c r="D1101" i="2" s="1"/>
  <c r="D1102" i="2" a="1"/>
  <c r="D1102" i="2" s="1"/>
  <c r="D1103" i="2" a="1"/>
  <c r="D1103" i="2" s="1"/>
  <c r="D1104" i="2" a="1"/>
  <c r="D1104" i="2" s="1"/>
  <c r="D1105" i="2" a="1"/>
  <c r="D1105" i="2" s="1"/>
  <c r="D1106" i="2" a="1"/>
  <c r="D1106" i="2" s="1"/>
  <c r="D1107" i="2" a="1"/>
  <c r="D1107" i="2" s="1"/>
  <c r="D1108" i="2" a="1"/>
  <c r="D1108" i="2" s="1"/>
  <c r="D1109" i="2" a="1"/>
  <c r="D1109" i="2" s="1"/>
  <c r="D1110" i="2" a="1"/>
  <c r="D1110" i="2" s="1"/>
  <c r="D1111" i="2" a="1"/>
  <c r="D1111" i="2" s="1"/>
  <c r="D1112" i="2" a="1"/>
  <c r="D1112" i="2" s="1"/>
  <c r="D1113" i="2" a="1"/>
  <c r="D1113" i="2" s="1"/>
  <c r="D1114" i="2" a="1"/>
  <c r="D1114" i="2" s="1"/>
  <c r="D1115" i="2" a="1"/>
  <c r="D1115" i="2" s="1"/>
  <c r="D1116" i="2" a="1"/>
  <c r="D1116" i="2" s="1"/>
  <c r="D1117" i="2" a="1"/>
  <c r="D1117" i="2" s="1"/>
  <c r="D1118" i="2" a="1"/>
  <c r="D1118" i="2" s="1"/>
  <c r="D1119" i="2" a="1"/>
  <c r="D1119" i="2" s="1"/>
  <c r="D1120" i="2" a="1"/>
  <c r="D1120" i="2" s="1"/>
  <c r="D1121" i="2" a="1"/>
  <c r="D1121" i="2" s="1"/>
  <c r="D1122" i="2" a="1"/>
  <c r="D1122" i="2" s="1"/>
  <c r="D1123" i="2" a="1"/>
  <c r="D1123" i="2" s="1"/>
  <c r="D1124" i="2" a="1"/>
  <c r="D1124" i="2" s="1"/>
  <c r="D1125" i="2" a="1"/>
  <c r="D1125" i="2" s="1"/>
  <c r="D1126" i="2" a="1"/>
  <c r="D1126" i="2" s="1"/>
  <c r="D1127" i="2" a="1"/>
  <c r="D1127" i="2" s="1"/>
  <c r="D1128" i="2" a="1"/>
  <c r="D1128" i="2" s="1"/>
  <c r="D1129" i="2" a="1"/>
  <c r="D1129" i="2" s="1"/>
  <c r="D1130" i="2" a="1"/>
  <c r="D1130" i="2" s="1"/>
  <c r="D1131" i="2" a="1"/>
  <c r="D1131" i="2" s="1"/>
  <c r="D1132" i="2" a="1"/>
  <c r="D1132" i="2" s="1"/>
  <c r="D1133" i="2" a="1"/>
  <c r="D1133" i="2" s="1"/>
  <c r="D1134" i="2" a="1"/>
  <c r="D1134" i="2" s="1"/>
  <c r="D1135" i="2" a="1"/>
  <c r="D1135" i="2" s="1"/>
  <c r="D1136" i="2" a="1"/>
  <c r="D1136" i="2" s="1"/>
  <c r="D1137" i="2" a="1"/>
  <c r="D1137" i="2" s="1"/>
  <c r="D1138" i="2" a="1"/>
  <c r="D1138" i="2" s="1"/>
  <c r="D1139" i="2" a="1"/>
  <c r="D1139" i="2" s="1"/>
  <c r="D1140" i="2" a="1"/>
  <c r="D1140" i="2" s="1"/>
  <c r="D1141" i="2" a="1"/>
  <c r="D1141" i="2" s="1"/>
  <c r="D1142" i="2" a="1"/>
  <c r="D1142" i="2" s="1"/>
  <c r="D1143" i="2" a="1"/>
  <c r="D1143" i="2" s="1"/>
  <c r="D1144" i="2" a="1"/>
  <c r="D1144" i="2" s="1"/>
  <c r="D1145" i="2" a="1"/>
  <c r="D1145" i="2" s="1"/>
  <c r="D1146" i="2" a="1"/>
  <c r="D1146" i="2" s="1"/>
  <c r="D1147" i="2" a="1"/>
  <c r="D1147" i="2" s="1"/>
  <c r="D1148" i="2" a="1"/>
  <c r="D1148" i="2" s="1"/>
  <c r="D1149" i="2" a="1"/>
  <c r="D1149" i="2" s="1"/>
  <c r="D1150" i="2" a="1"/>
  <c r="D1150" i="2" s="1"/>
  <c r="D1151" i="2" a="1"/>
  <c r="D1151" i="2" s="1"/>
  <c r="D1152" i="2" a="1"/>
  <c r="D1152" i="2" s="1"/>
  <c r="D1153" i="2" a="1"/>
  <c r="D1153" i="2" s="1"/>
  <c r="D1154" i="2" a="1"/>
  <c r="D1154" i="2" s="1"/>
  <c r="D1155" i="2" a="1"/>
  <c r="D1155" i="2" s="1"/>
  <c r="D1156" i="2" a="1"/>
  <c r="D1156" i="2" s="1"/>
  <c r="D1157" i="2" a="1"/>
  <c r="D1157" i="2" s="1"/>
  <c r="D1158" i="2" a="1"/>
  <c r="D1158" i="2" s="1"/>
  <c r="D1159" i="2" a="1"/>
  <c r="D1159" i="2" s="1"/>
  <c r="D1160" i="2" a="1"/>
  <c r="D1160" i="2" s="1"/>
  <c r="D1161" i="2" a="1"/>
  <c r="D1161" i="2" s="1"/>
  <c r="D1162" i="2" a="1"/>
  <c r="D1162" i="2" s="1"/>
  <c r="D1163" i="2" a="1"/>
  <c r="D1163" i="2" s="1"/>
  <c r="D1164" i="2" a="1"/>
  <c r="D1164" i="2" s="1"/>
  <c r="D1165" i="2" a="1"/>
  <c r="D1165" i="2" s="1"/>
  <c r="D1166" i="2" a="1"/>
  <c r="D1166" i="2" s="1"/>
  <c r="D1167" i="2" a="1"/>
  <c r="D1167" i="2" s="1"/>
  <c r="D1168" i="2" a="1"/>
  <c r="D1168" i="2" s="1"/>
  <c r="D1169" i="2" a="1"/>
  <c r="D1169" i="2" s="1"/>
  <c r="D1170" i="2" a="1"/>
  <c r="D1170" i="2" s="1"/>
  <c r="D1171" i="2" a="1"/>
  <c r="D1171" i="2" s="1"/>
  <c r="D1172" i="2" a="1"/>
  <c r="D1172" i="2" s="1"/>
  <c r="D1173" i="2" a="1"/>
  <c r="D1173" i="2" s="1"/>
  <c r="D1174" i="2" a="1"/>
  <c r="D1174" i="2" s="1"/>
  <c r="D1175" i="2" a="1"/>
  <c r="D1175" i="2" s="1"/>
  <c r="D1176" i="2" a="1"/>
  <c r="D1176" i="2" s="1"/>
  <c r="D1177" i="2" a="1"/>
  <c r="D1177" i="2" s="1"/>
  <c r="D1178" i="2" a="1"/>
  <c r="D1178" i="2" s="1"/>
  <c r="D1179" i="2" a="1"/>
  <c r="D1179" i="2" s="1"/>
  <c r="D1180" i="2" a="1"/>
  <c r="D1180" i="2" s="1"/>
  <c r="D1181" i="2" a="1"/>
  <c r="D1181" i="2" s="1"/>
  <c r="D1182" i="2" a="1"/>
  <c r="D1182" i="2" s="1"/>
  <c r="D1183" i="2" a="1"/>
  <c r="D1183" i="2" s="1"/>
  <c r="D1184" i="2" a="1"/>
  <c r="D1184" i="2" s="1"/>
  <c r="D1185" i="2" a="1"/>
  <c r="D1185" i="2" s="1"/>
  <c r="D1186" i="2" a="1"/>
  <c r="D1186" i="2" s="1"/>
  <c r="D1187" i="2" a="1"/>
  <c r="D1187" i="2" s="1"/>
  <c r="D1188" i="2" a="1"/>
  <c r="D1188" i="2" s="1"/>
  <c r="D1189" i="2" a="1"/>
  <c r="D1189" i="2" s="1"/>
  <c r="D1190" i="2" a="1"/>
  <c r="D1190" i="2" s="1"/>
  <c r="D1191" i="2" a="1"/>
  <c r="D1191" i="2" s="1"/>
  <c r="D1192" i="2" a="1"/>
  <c r="D1192" i="2" s="1"/>
  <c r="D1193" i="2" a="1"/>
  <c r="D1193" i="2" s="1"/>
  <c r="D1194" i="2" a="1"/>
  <c r="D1194" i="2" s="1"/>
  <c r="D1195" i="2" a="1"/>
  <c r="D1195" i="2" s="1"/>
  <c r="D1196" i="2" a="1"/>
  <c r="D1196" i="2" s="1"/>
  <c r="D1197" i="2" a="1"/>
  <c r="D1197" i="2" s="1"/>
  <c r="D1198" i="2" a="1"/>
  <c r="D1198" i="2" s="1"/>
  <c r="D1199" i="2" a="1"/>
  <c r="D1199" i="2" s="1"/>
  <c r="D1200" i="2" a="1"/>
  <c r="D1200" i="2" s="1"/>
  <c r="D1201" i="2" a="1"/>
  <c r="D1201" i="2" s="1"/>
  <c r="D1202" i="2" a="1"/>
  <c r="D1202" i="2" s="1"/>
  <c r="D1203" i="2" a="1"/>
  <c r="D1203" i="2" s="1"/>
  <c r="D1204" i="2" a="1"/>
  <c r="D1204" i="2" s="1"/>
  <c r="D1205" i="2" a="1"/>
  <c r="D1205" i="2" s="1"/>
  <c r="D1206" i="2" a="1"/>
  <c r="D1206" i="2" s="1"/>
  <c r="D1207" i="2" a="1"/>
  <c r="D1207" i="2" s="1"/>
  <c r="D1208" i="2" a="1"/>
  <c r="D1208" i="2" s="1"/>
  <c r="D1209" i="2" a="1"/>
  <c r="D1209" i="2" s="1"/>
  <c r="D1210" i="2" a="1"/>
  <c r="D1210" i="2" s="1"/>
  <c r="D1211" i="2" a="1"/>
  <c r="D1211" i="2" s="1"/>
  <c r="D1212" i="2" a="1"/>
  <c r="D1212" i="2" s="1"/>
  <c r="D1213" i="2" a="1"/>
  <c r="D1213" i="2" s="1"/>
  <c r="D1214" i="2" a="1"/>
  <c r="D1214" i="2" s="1"/>
  <c r="D1215" i="2" a="1"/>
  <c r="D1215" i="2" s="1"/>
  <c r="D1216" i="2" a="1"/>
  <c r="D1216" i="2" s="1"/>
  <c r="D1217" i="2" a="1"/>
  <c r="D1217" i="2" s="1"/>
  <c r="D1218" i="2" a="1"/>
  <c r="D1218" i="2" s="1"/>
  <c r="D1219" i="2" a="1"/>
  <c r="D1219" i="2" s="1"/>
  <c r="D1220" i="2" a="1"/>
  <c r="D1220" i="2" s="1"/>
  <c r="D1221" i="2" a="1"/>
  <c r="D1221" i="2" s="1"/>
  <c r="D1222" i="2" a="1"/>
  <c r="D1222" i="2" s="1"/>
  <c r="D1223" i="2" a="1"/>
  <c r="D1223" i="2" s="1"/>
  <c r="D1224" i="2" a="1"/>
  <c r="D1224" i="2" s="1"/>
  <c r="D1225" i="2" a="1"/>
  <c r="D1225" i="2" s="1"/>
  <c r="D1226" i="2" a="1"/>
  <c r="D1226" i="2" s="1"/>
  <c r="D1227" i="2" a="1"/>
  <c r="D1227" i="2" s="1"/>
  <c r="D1228" i="2" a="1"/>
  <c r="D1228" i="2" s="1"/>
  <c r="D1229" i="2" a="1"/>
  <c r="D1229" i="2" s="1"/>
  <c r="D1230" i="2" a="1"/>
  <c r="D1230" i="2" s="1"/>
  <c r="D1231" i="2" a="1"/>
  <c r="D1231" i="2" s="1"/>
  <c r="D1232" i="2" a="1"/>
  <c r="D1232" i="2" s="1"/>
  <c r="D1233" i="2" a="1"/>
  <c r="D1233" i="2" s="1"/>
  <c r="D1234" i="2" a="1"/>
  <c r="D1234" i="2" s="1"/>
  <c r="D1235" i="2" a="1"/>
  <c r="D1235" i="2" s="1"/>
  <c r="D1236" i="2" a="1"/>
  <c r="D1236" i="2" s="1"/>
  <c r="D1237" i="2" a="1"/>
  <c r="D1237" i="2" s="1"/>
  <c r="D1238" i="2" a="1"/>
  <c r="D1238" i="2" s="1"/>
  <c r="D1239" i="2" a="1"/>
  <c r="D1239" i="2" s="1"/>
  <c r="D1240" i="2" a="1"/>
  <c r="D1240" i="2" s="1"/>
  <c r="D1241" i="2" a="1"/>
  <c r="D1241" i="2" s="1"/>
  <c r="D1242" i="2" a="1"/>
  <c r="D1242" i="2" s="1"/>
  <c r="D1243" i="2" a="1"/>
  <c r="D1243" i="2" s="1"/>
  <c r="D1244" i="2" a="1"/>
  <c r="D1244" i="2" s="1"/>
  <c r="D1245" i="2" a="1"/>
  <c r="D1245" i="2" s="1"/>
  <c r="D1246" i="2" a="1"/>
  <c r="D1246" i="2" s="1"/>
  <c r="D1247" i="2" a="1"/>
  <c r="D1247" i="2" s="1"/>
  <c r="D1248" i="2" a="1"/>
  <c r="D1248" i="2" s="1"/>
  <c r="D1249" i="2" a="1"/>
  <c r="D1249" i="2" s="1"/>
  <c r="D1250" i="2" a="1"/>
  <c r="D1250" i="2" s="1"/>
  <c r="D1251" i="2" a="1"/>
  <c r="D1251" i="2" s="1"/>
  <c r="D1252" i="2" a="1"/>
  <c r="D1252" i="2" s="1"/>
  <c r="D1253" i="2" a="1"/>
  <c r="D1253" i="2" s="1"/>
  <c r="D1254" i="2" a="1"/>
  <c r="D1254" i="2" s="1"/>
  <c r="D1255" i="2" a="1"/>
  <c r="D1255" i="2" s="1"/>
  <c r="D1256" i="2" a="1"/>
  <c r="D1256" i="2" s="1"/>
  <c r="D1257" i="2" a="1"/>
  <c r="D1257" i="2" s="1"/>
  <c r="D1258" i="2" a="1"/>
  <c r="D1258" i="2" s="1"/>
  <c r="D1259" i="2" a="1"/>
  <c r="D1259" i="2" s="1"/>
  <c r="D1260" i="2" a="1"/>
  <c r="D1260" i="2" s="1"/>
  <c r="D1261" i="2" a="1"/>
  <c r="D1261" i="2" s="1"/>
  <c r="D1262" i="2" a="1"/>
  <c r="D1262" i="2" s="1"/>
  <c r="D1263" i="2" a="1"/>
  <c r="D1263" i="2" s="1"/>
  <c r="D1264" i="2" a="1"/>
  <c r="D1264" i="2" s="1"/>
  <c r="D1265" i="2" a="1"/>
  <c r="D1265" i="2" s="1"/>
  <c r="D1266" i="2" a="1"/>
  <c r="D1266" i="2" s="1"/>
  <c r="D1267" i="2" a="1"/>
  <c r="D1267" i="2" s="1"/>
  <c r="D1268" i="2" a="1"/>
  <c r="D1268" i="2" s="1"/>
  <c r="D1269" i="2" a="1"/>
  <c r="D1269" i="2" s="1"/>
  <c r="D1270" i="2" a="1"/>
  <c r="D1270" i="2" s="1"/>
  <c r="D1271" i="2" a="1"/>
  <c r="D1271" i="2" s="1"/>
  <c r="D1272" i="2" a="1"/>
  <c r="D1272" i="2" s="1"/>
  <c r="D1273" i="2" a="1"/>
  <c r="D1273" i="2" s="1"/>
  <c r="D1274" i="2" a="1"/>
  <c r="D1274" i="2" s="1"/>
  <c r="D1275" i="2" a="1"/>
  <c r="D1275" i="2" s="1"/>
  <c r="D1276" i="2" a="1"/>
  <c r="D1276" i="2" s="1"/>
  <c r="D1277" i="2" a="1"/>
  <c r="D1277" i="2" s="1"/>
  <c r="D1278" i="2" a="1"/>
  <c r="D1278" i="2" s="1"/>
  <c r="D1279" i="2" a="1"/>
  <c r="D1279" i="2" s="1"/>
  <c r="D1280" i="2" a="1"/>
  <c r="D1280" i="2" s="1"/>
  <c r="D1281" i="2" a="1"/>
  <c r="D1281" i="2" s="1"/>
  <c r="D1282" i="2" a="1"/>
  <c r="D1282" i="2" s="1"/>
  <c r="D1283" i="2" a="1"/>
  <c r="D1283" i="2" s="1"/>
  <c r="D1284" i="2" a="1"/>
  <c r="D1284" i="2" s="1"/>
  <c r="D1285" i="2" a="1"/>
  <c r="D1285" i="2" s="1"/>
  <c r="D1286" i="2" a="1"/>
  <c r="D1286" i="2" s="1"/>
  <c r="D1287" i="2" a="1"/>
  <c r="D1287" i="2" s="1"/>
  <c r="D1288" i="2" a="1"/>
  <c r="D1288" i="2" s="1"/>
  <c r="D1289" i="2" a="1"/>
  <c r="D1289" i="2" s="1"/>
  <c r="D1290" i="2" a="1"/>
  <c r="D1290" i="2" s="1"/>
  <c r="D1291" i="2" a="1"/>
  <c r="D1291" i="2" s="1"/>
  <c r="D1292" i="2" a="1"/>
  <c r="D1292" i="2" s="1"/>
  <c r="D1293" i="2" a="1"/>
  <c r="D1293" i="2" s="1"/>
  <c r="D1294" i="2" a="1"/>
  <c r="D1294" i="2" s="1"/>
  <c r="D1295" i="2" a="1"/>
  <c r="D1295" i="2" s="1"/>
  <c r="D1296" i="2" a="1"/>
  <c r="D1296" i="2" s="1"/>
  <c r="D1297" i="2" a="1"/>
  <c r="D1297" i="2" s="1"/>
  <c r="D1298" i="2" a="1"/>
  <c r="D1298" i="2" s="1"/>
  <c r="D1299" i="2" a="1"/>
  <c r="D1299" i="2" s="1"/>
  <c r="D1300" i="2" a="1"/>
  <c r="D1300" i="2" s="1"/>
  <c r="D1301" i="2" a="1"/>
  <c r="D1301" i="2" s="1"/>
  <c r="D1302" i="2" a="1"/>
  <c r="D1302" i="2" s="1"/>
  <c r="D1303" i="2" a="1"/>
  <c r="D1303" i="2" s="1"/>
  <c r="D1304" i="2" a="1"/>
  <c r="D1304" i="2" s="1"/>
  <c r="D1305" i="2" a="1"/>
  <c r="D1305" i="2" s="1"/>
  <c r="D1306" i="2" a="1"/>
  <c r="D1306" i="2" s="1"/>
  <c r="D1307" i="2" a="1"/>
  <c r="D1307" i="2" s="1"/>
  <c r="D1308" i="2" a="1"/>
  <c r="D1308" i="2" s="1"/>
  <c r="D1309" i="2" a="1"/>
  <c r="D1309" i="2" s="1"/>
  <c r="D1310" i="2" a="1"/>
  <c r="D1310" i="2" s="1"/>
  <c r="D1311" i="2" a="1"/>
  <c r="D1311" i="2" s="1"/>
  <c r="D1312" i="2" a="1"/>
  <c r="D1312" i="2" s="1"/>
  <c r="D1313" i="2" a="1"/>
  <c r="D1313" i="2" s="1"/>
  <c r="D1314" i="2" a="1"/>
  <c r="D1314" i="2" s="1"/>
  <c r="D1315" i="2" a="1"/>
  <c r="D1315" i="2" s="1"/>
  <c r="D1316" i="2" a="1"/>
  <c r="D1316" i="2" s="1"/>
  <c r="D1317" i="2" a="1"/>
  <c r="D1317" i="2" s="1"/>
  <c r="D1318" i="2" a="1"/>
  <c r="D1318" i="2" s="1"/>
  <c r="D1319" i="2" a="1"/>
  <c r="D1319" i="2" s="1"/>
  <c r="D1320" i="2" a="1"/>
  <c r="D1320" i="2" s="1"/>
  <c r="D1321" i="2" a="1"/>
  <c r="D1321" i="2" s="1"/>
  <c r="D1322" i="2" a="1"/>
  <c r="D1322" i="2" s="1"/>
  <c r="D1323" i="2" a="1"/>
  <c r="D1323" i="2" s="1"/>
  <c r="D1324" i="2" a="1"/>
  <c r="D1324" i="2" s="1"/>
  <c r="D1325" i="2" a="1"/>
  <c r="D1325" i="2" s="1"/>
  <c r="D1326" i="2" a="1"/>
  <c r="D1326" i="2" s="1"/>
  <c r="D1327" i="2" a="1"/>
  <c r="D1327" i="2" s="1"/>
  <c r="D1328" i="2" a="1"/>
  <c r="D1328" i="2" s="1"/>
  <c r="D1329" i="2" a="1"/>
  <c r="D1329" i="2" s="1"/>
  <c r="D1330" i="2" a="1"/>
  <c r="D1330" i="2" s="1"/>
  <c r="D1331" i="2" a="1"/>
  <c r="D1331" i="2" s="1"/>
  <c r="D1332" i="2" a="1"/>
  <c r="D1332" i="2" s="1"/>
  <c r="D1333" i="2" a="1"/>
  <c r="D1333" i="2" s="1"/>
  <c r="D1334" i="2" a="1"/>
  <c r="D1334" i="2" s="1"/>
  <c r="D1335" i="2" a="1"/>
  <c r="D1335" i="2" s="1"/>
  <c r="D1336" i="2" a="1"/>
  <c r="D1336" i="2" s="1"/>
  <c r="D1337" i="2" a="1"/>
  <c r="D1337" i="2" s="1"/>
  <c r="D1338" i="2" a="1"/>
  <c r="D1338" i="2" s="1"/>
  <c r="D1339" i="2" a="1"/>
  <c r="D1339" i="2" s="1"/>
  <c r="D1340" i="2" a="1"/>
  <c r="D1340" i="2" s="1"/>
  <c r="D1341" i="2" a="1"/>
  <c r="D1341" i="2" s="1"/>
  <c r="D1342" i="2" a="1"/>
  <c r="D1342" i="2" s="1"/>
  <c r="D1343" i="2" a="1"/>
  <c r="D1343" i="2" s="1"/>
  <c r="D1344" i="2" a="1"/>
  <c r="D1344" i="2" s="1"/>
  <c r="D1345" i="2" a="1"/>
  <c r="D1345" i="2" s="1"/>
  <c r="D1346" i="2" a="1"/>
  <c r="D1346" i="2" s="1"/>
  <c r="D1347" i="2" a="1"/>
  <c r="D1347" i="2" s="1"/>
  <c r="D1348" i="2" a="1"/>
  <c r="D1348" i="2" s="1"/>
  <c r="D1349" i="2" a="1"/>
  <c r="D1349" i="2" s="1"/>
  <c r="D1350" i="2" a="1"/>
  <c r="D1350" i="2" s="1"/>
  <c r="D1351" i="2" a="1"/>
  <c r="D1351" i="2" s="1"/>
  <c r="D1352" i="2" a="1"/>
  <c r="D1352" i="2" s="1"/>
  <c r="D1353" i="2" a="1"/>
  <c r="D1353" i="2" s="1"/>
  <c r="D1354" i="2" a="1"/>
  <c r="D1354" i="2" s="1"/>
  <c r="D1355" i="2" a="1"/>
  <c r="D1355" i="2" s="1"/>
  <c r="D1356" i="2" a="1"/>
  <c r="D1356" i="2" s="1"/>
  <c r="D1357" i="2" a="1"/>
  <c r="D1357" i="2" s="1"/>
  <c r="D1358" i="2" a="1"/>
  <c r="D1358" i="2" s="1"/>
  <c r="D1359" i="2" a="1"/>
  <c r="D1359" i="2" s="1"/>
  <c r="D1360" i="2" a="1"/>
  <c r="D1360" i="2" s="1"/>
  <c r="D1361" i="2" a="1"/>
  <c r="D1361" i="2" s="1"/>
  <c r="D1362" i="2" a="1"/>
  <c r="D1362" i="2" s="1"/>
  <c r="D1363" i="2" a="1"/>
  <c r="D1363" i="2" s="1"/>
  <c r="D1364" i="2" a="1"/>
  <c r="D1364" i="2" s="1"/>
  <c r="D1365" i="2" a="1"/>
  <c r="D1365" i="2" s="1"/>
  <c r="D1366" i="2" a="1"/>
  <c r="D1366" i="2" s="1"/>
  <c r="D1367" i="2" a="1"/>
  <c r="D1367" i="2" s="1"/>
  <c r="D1368" i="2" a="1"/>
  <c r="D1368" i="2" s="1"/>
  <c r="D1369" i="2" a="1"/>
  <c r="D1369" i="2" s="1"/>
  <c r="D1370" i="2" a="1"/>
  <c r="D1370" i="2" s="1"/>
  <c r="D1371" i="2" a="1"/>
  <c r="D1371" i="2" s="1"/>
  <c r="D1372" i="2" a="1"/>
  <c r="D1372" i="2" s="1"/>
  <c r="D1373" i="2" a="1"/>
  <c r="D1373" i="2" s="1"/>
  <c r="D1374" i="2" a="1"/>
  <c r="D1374" i="2" s="1"/>
  <c r="D1375" i="2" a="1"/>
  <c r="D1375" i="2" s="1"/>
  <c r="D1376" i="2" a="1"/>
  <c r="D1376" i="2" s="1"/>
  <c r="D1377" i="2" a="1"/>
  <c r="D1377" i="2" s="1"/>
  <c r="D1378" i="2" a="1"/>
  <c r="D1378" i="2" s="1"/>
  <c r="D1379" i="2" a="1"/>
  <c r="D1379" i="2" s="1"/>
  <c r="D1380" i="2" a="1"/>
  <c r="D1380" i="2" s="1"/>
  <c r="D1381" i="2" a="1"/>
  <c r="D1381" i="2" s="1"/>
  <c r="D1382" i="2" a="1"/>
  <c r="D1382" i="2" s="1"/>
  <c r="D1383" i="2" a="1"/>
  <c r="D1383" i="2" s="1"/>
  <c r="D1384" i="2" a="1"/>
  <c r="D1384" i="2" s="1"/>
  <c r="D1385" i="2" a="1"/>
  <c r="D1385" i="2" s="1"/>
  <c r="D1386" i="2" a="1"/>
  <c r="D1386" i="2" s="1"/>
  <c r="D1387" i="2" a="1"/>
  <c r="D1387" i="2" s="1"/>
  <c r="D1388" i="2" a="1"/>
  <c r="D1388" i="2" s="1"/>
  <c r="D1389" i="2" a="1"/>
  <c r="D1389" i="2" s="1"/>
  <c r="D1390" i="2" a="1"/>
  <c r="D1390" i="2" s="1"/>
  <c r="D1391" i="2" a="1"/>
  <c r="D1391" i="2" s="1"/>
  <c r="D1392" i="2" a="1"/>
  <c r="D1392" i="2" s="1"/>
  <c r="D1393" i="2" a="1"/>
  <c r="D1393" i="2" s="1"/>
  <c r="D1394" i="2" a="1"/>
  <c r="D1394" i="2" s="1"/>
  <c r="D1395" i="2" a="1"/>
  <c r="D1395" i="2" s="1"/>
  <c r="D1396" i="2" a="1"/>
  <c r="D1396" i="2" s="1"/>
  <c r="D1397" i="2" a="1"/>
  <c r="D1397" i="2" s="1"/>
  <c r="D1398" i="2" a="1"/>
  <c r="D1398" i="2" s="1"/>
  <c r="D1399" i="2" a="1"/>
  <c r="D1399" i="2" s="1"/>
  <c r="D1400" i="2" a="1"/>
  <c r="D1400" i="2" s="1"/>
  <c r="D1401" i="2" a="1"/>
  <c r="D1401" i="2" s="1"/>
  <c r="D1402" i="2" a="1"/>
  <c r="D1402" i="2" s="1"/>
  <c r="D1403" i="2" a="1"/>
  <c r="D1403" i="2" s="1"/>
  <c r="D1404" i="2" a="1"/>
  <c r="D1404" i="2" s="1"/>
  <c r="D1405" i="2" a="1"/>
  <c r="D1405" i="2" s="1"/>
  <c r="D1406" i="2" a="1"/>
  <c r="D1406" i="2" s="1"/>
  <c r="D1407" i="2" a="1"/>
  <c r="D1407" i="2" s="1"/>
  <c r="D1408" i="2" a="1"/>
  <c r="D1408" i="2" s="1"/>
  <c r="D1409" i="2" a="1"/>
  <c r="D1409" i="2" s="1"/>
  <c r="D1410" i="2" a="1"/>
  <c r="D1410" i="2" s="1"/>
  <c r="D1411" i="2" a="1"/>
  <c r="D1411" i="2" s="1"/>
  <c r="D1412" i="2" a="1"/>
  <c r="D1412" i="2" s="1"/>
  <c r="D1413" i="2" a="1"/>
  <c r="D1413" i="2" s="1"/>
  <c r="D1414" i="2" a="1"/>
  <c r="D1414" i="2" s="1"/>
  <c r="D1415" i="2" a="1"/>
  <c r="D1415" i="2" s="1"/>
  <c r="D1416" i="2" a="1"/>
  <c r="D1416" i="2" s="1"/>
  <c r="D1417" i="2" a="1"/>
  <c r="D1417" i="2" s="1"/>
  <c r="D1418" i="2" a="1"/>
  <c r="D1418" i="2" s="1"/>
  <c r="D1419" i="2" a="1"/>
  <c r="D1419" i="2" s="1"/>
  <c r="D1420" i="2" a="1"/>
  <c r="D1420" i="2" s="1"/>
  <c r="D1421" i="2" a="1"/>
  <c r="D1421" i="2" s="1"/>
  <c r="D1422" i="2" a="1"/>
  <c r="D1422" i="2" s="1"/>
  <c r="D1423" i="2" a="1"/>
  <c r="D1423" i="2" s="1"/>
  <c r="D1424" i="2" a="1"/>
  <c r="D1424" i="2" s="1"/>
  <c r="D1425" i="2" a="1"/>
  <c r="D1425" i="2" s="1"/>
  <c r="D1426" i="2" a="1"/>
  <c r="D1426" i="2" s="1"/>
  <c r="D1427" i="2" a="1"/>
  <c r="D1427" i="2" s="1"/>
  <c r="D1428" i="2" a="1"/>
  <c r="D1428" i="2" s="1"/>
  <c r="D1429" i="2" a="1"/>
  <c r="D1429" i="2" s="1"/>
  <c r="D1430" i="2" a="1"/>
  <c r="D1430" i="2" s="1"/>
  <c r="D1431" i="2" a="1"/>
  <c r="D1431" i="2" s="1"/>
  <c r="D1432" i="2" a="1"/>
  <c r="D1432" i="2" s="1"/>
  <c r="D1433" i="2" a="1"/>
  <c r="D1433" i="2" s="1"/>
  <c r="D1434" i="2" a="1"/>
  <c r="D1434" i="2" s="1"/>
  <c r="D1435" i="2" a="1"/>
  <c r="D1435" i="2" s="1"/>
  <c r="D1436" i="2" a="1"/>
  <c r="D1436" i="2" s="1"/>
  <c r="D1437" i="2" a="1"/>
  <c r="D1437" i="2" s="1"/>
  <c r="D1438" i="2" a="1"/>
  <c r="D1438" i="2" s="1"/>
  <c r="D1439" i="2" a="1"/>
  <c r="D1439" i="2" s="1"/>
  <c r="D1440" i="2" a="1"/>
  <c r="D1440" i="2" s="1"/>
  <c r="D1441" i="2" a="1"/>
  <c r="D1441" i="2" s="1"/>
  <c r="D1442" i="2" a="1"/>
  <c r="D1442" i="2" s="1"/>
  <c r="D1443" i="2" a="1"/>
  <c r="D1443" i="2" s="1"/>
  <c r="D1444" i="2" a="1"/>
  <c r="D1444" i="2" s="1"/>
  <c r="D1445" i="2" a="1"/>
  <c r="D1445" i="2" s="1"/>
  <c r="D1446" i="2" a="1"/>
  <c r="D1446" i="2" s="1"/>
  <c r="D1447" i="2" a="1"/>
  <c r="D1447" i="2" s="1"/>
  <c r="D1448" i="2" a="1"/>
  <c r="D1448" i="2" s="1"/>
  <c r="D1449" i="2" a="1"/>
  <c r="D1449" i="2" s="1"/>
  <c r="D1450" i="2" a="1"/>
  <c r="D1450" i="2" s="1"/>
  <c r="D1451" i="2" a="1"/>
  <c r="D1451" i="2" s="1"/>
  <c r="D1452" i="2" a="1"/>
  <c r="D1452" i="2" s="1"/>
  <c r="D1453" i="2" a="1"/>
  <c r="D1453" i="2" s="1"/>
  <c r="D1454" i="2" a="1"/>
  <c r="D1454" i="2" s="1"/>
  <c r="D1455" i="2" a="1"/>
  <c r="D1455" i="2" s="1"/>
  <c r="D1456" i="2" a="1"/>
  <c r="D1456" i="2" s="1"/>
  <c r="D1457" i="2" a="1"/>
  <c r="D1457" i="2" s="1"/>
  <c r="D1458" i="2" a="1"/>
  <c r="D1458" i="2" s="1"/>
  <c r="D1459" i="2" a="1"/>
  <c r="D1459" i="2" s="1"/>
  <c r="D1460" i="2" a="1"/>
  <c r="D1460" i="2" s="1"/>
  <c r="D1461" i="2" a="1"/>
  <c r="D1461" i="2" s="1"/>
  <c r="D1462" i="2" a="1"/>
  <c r="D1462" i="2" s="1"/>
  <c r="D1463" i="2" a="1"/>
  <c r="D1463" i="2" s="1"/>
  <c r="D1464" i="2" a="1"/>
  <c r="D1464" i="2" s="1"/>
  <c r="D1465" i="2" a="1"/>
  <c r="D1465" i="2" s="1"/>
  <c r="D1466" i="2" a="1"/>
  <c r="D1466" i="2" s="1"/>
  <c r="D1467" i="2" a="1"/>
  <c r="D1467" i="2" s="1"/>
  <c r="D1468" i="2" a="1"/>
  <c r="D1468" i="2" s="1"/>
  <c r="D1469" i="2" a="1"/>
  <c r="D1469" i="2" s="1"/>
  <c r="D1470" i="2" a="1"/>
  <c r="D1470" i="2" s="1"/>
  <c r="D1471" i="2" a="1"/>
  <c r="D1471" i="2" s="1"/>
  <c r="D1472" i="2" a="1"/>
  <c r="D1472" i="2" s="1"/>
  <c r="D1473" i="2" a="1"/>
  <c r="D1473" i="2" s="1"/>
  <c r="D1474" i="2" a="1"/>
  <c r="D1474" i="2" s="1"/>
  <c r="D1475" i="2" a="1"/>
  <c r="D1475" i="2" s="1"/>
  <c r="D1476" i="2" a="1"/>
  <c r="D1476" i="2" s="1"/>
  <c r="D1477" i="2" a="1"/>
  <c r="D1477" i="2" s="1"/>
  <c r="D1478" i="2" a="1"/>
  <c r="D1478" i="2" s="1"/>
  <c r="D1479" i="2" a="1"/>
  <c r="D1479" i="2" s="1"/>
  <c r="D1480" i="2" a="1"/>
  <c r="D1480" i="2" s="1"/>
  <c r="D1481" i="2" a="1"/>
  <c r="D1481" i="2" s="1"/>
  <c r="D1482" i="2" a="1"/>
  <c r="D1482" i="2" s="1"/>
  <c r="D1483" i="2" a="1"/>
  <c r="D1483" i="2" s="1"/>
  <c r="D1484" i="2" a="1"/>
  <c r="D1484" i="2" s="1"/>
  <c r="D1485" i="2" a="1"/>
  <c r="D1485" i="2" s="1"/>
  <c r="D1486" i="2" a="1"/>
  <c r="D1486" i="2" s="1"/>
  <c r="D1487" i="2" a="1"/>
  <c r="D1487" i="2" s="1"/>
  <c r="D1488" i="2" a="1"/>
  <c r="D1488" i="2" s="1"/>
  <c r="D1489" i="2" a="1"/>
  <c r="D1489" i="2" s="1"/>
  <c r="D1490" i="2" a="1"/>
  <c r="D1490" i="2" s="1"/>
  <c r="D1491" i="2" a="1"/>
  <c r="D1491" i="2" s="1"/>
  <c r="D1492" i="2" a="1"/>
  <c r="D1492" i="2" s="1"/>
  <c r="D1493" i="2" a="1"/>
  <c r="D1493" i="2" s="1"/>
  <c r="D1494" i="2" a="1"/>
  <c r="D1494" i="2" s="1"/>
  <c r="D1495" i="2" a="1"/>
  <c r="D1495" i="2" s="1"/>
  <c r="D1496" i="2" a="1"/>
  <c r="D1496" i="2" s="1"/>
  <c r="D1497" i="2" a="1"/>
  <c r="D1497" i="2" s="1"/>
  <c r="D1498" i="2" a="1"/>
  <c r="D1498" i="2" s="1"/>
  <c r="D1499" i="2" a="1"/>
  <c r="D1499" i="2" s="1"/>
  <c r="D1500" i="2" a="1"/>
  <c r="D1500" i="2" s="1"/>
  <c r="D1501" i="2" a="1"/>
  <c r="D1501" i="2" s="1"/>
  <c r="D1502" i="2" a="1"/>
  <c r="D1502" i="2" s="1"/>
  <c r="D1503" i="2" a="1"/>
  <c r="D1503" i="2" s="1"/>
  <c r="D1504" i="2" a="1"/>
  <c r="D1504" i="2" s="1"/>
  <c r="D1505" i="2" a="1"/>
  <c r="D1505" i="2" s="1"/>
  <c r="D1506" i="2" a="1"/>
  <c r="D1506" i="2" s="1"/>
  <c r="D1507" i="2" a="1"/>
  <c r="D1507" i="2" s="1"/>
  <c r="D1508" i="2" a="1"/>
  <c r="D1508" i="2" s="1"/>
  <c r="D1509" i="2" a="1"/>
  <c r="D1509" i="2" s="1"/>
  <c r="D1510" i="2" a="1"/>
  <c r="D1510" i="2" s="1"/>
  <c r="D1511" i="2" a="1"/>
  <c r="D1511" i="2" s="1"/>
  <c r="D1512" i="2" a="1"/>
  <c r="D1512" i="2" s="1"/>
  <c r="D1513" i="2" a="1"/>
  <c r="D1513" i="2" s="1"/>
  <c r="D1514" i="2" a="1"/>
  <c r="D1514" i="2" s="1"/>
  <c r="D1515" i="2" a="1"/>
  <c r="D1515" i="2" s="1"/>
  <c r="D1516" i="2" a="1"/>
  <c r="D1516" i="2" s="1"/>
  <c r="D1517" i="2" a="1"/>
  <c r="D1517" i="2" s="1"/>
  <c r="D1518" i="2" a="1"/>
  <c r="D1518" i="2" s="1"/>
  <c r="D1519" i="2" a="1"/>
  <c r="D1519" i="2" s="1"/>
  <c r="D1520" i="2" a="1"/>
  <c r="D1520" i="2" s="1"/>
  <c r="D1521" i="2" a="1"/>
  <c r="D1521" i="2" s="1"/>
  <c r="D1522" i="2" a="1"/>
  <c r="D1522" i="2" s="1"/>
  <c r="D1523" i="2" a="1"/>
  <c r="D1523" i="2" s="1"/>
  <c r="D1524" i="2" a="1"/>
  <c r="D1524" i="2" s="1"/>
  <c r="D1525" i="2" a="1"/>
  <c r="D1525" i="2" s="1"/>
  <c r="D1526" i="2" a="1"/>
  <c r="D1526" i="2" s="1"/>
  <c r="D1527" i="2" a="1"/>
  <c r="D1527" i="2" s="1"/>
  <c r="D1528" i="2" a="1"/>
  <c r="D1528" i="2" s="1"/>
  <c r="D1529" i="2" a="1"/>
  <c r="D1529" i="2" s="1"/>
  <c r="D1530" i="2" a="1"/>
  <c r="D1530" i="2" s="1"/>
  <c r="D1531" i="2" a="1"/>
  <c r="D1531" i="2" s="1"/>
  <c r="D1532" i="2" a="1"/>
  <c r="D1532" i="2" s="1"/>
  <c r="D1533" i="2" a="1"/>
  <c r="D1533" i="2" s="1"/>
  <c r="D1534" i="2" a="1"/>
  <c r="D1534" i="2" s="1"/>
  <c r="D1535" i="2" a="1"/>
  <c r="D1535" i="2" s="1"/>
  <c r="D1536" i="2" a="1"/>
  <c r="D1536" i="2" s="1"/>
  <c r="D1537" i="2" a="1"/>
  <c r="D1537" i="2" s="1"/>
  <c r="D1538" i="2" a="1"/>
  <c r="D1538" i="2" s="1"/>
  <c r="D1539" i="2" a="1"/>
  <c r="D1539" i="2" s="1"/>
  <c r="D1540" i="2" a="1"/>
  <c r="D1540" i="2" s="1"/>
  <c r="D1541" i="2" a="1"/>
  <c r="D1541" i="2" s="1"/>
  <c r="D1542" i="2" a="1"/>
  <c r="D1542" i="2" s="1"/>
  <c r="D1543" i="2" a="1"/>
  <c r="D1543" i="2" s="1"/>
  <c r="D1544" i="2" a="1"/>
  <c r="D1544" i="2" s="1"/>
  <c r="D1545" i="2" a="1"/>
  <c r="D1545" i="2" s="1"/>
  <c r="D1546" i="2" a="1"/>
  <c r="D1546" i="2" s="1"/>
  <c r="D1547" i="2" a="1"/>
  <c r="D1547" i="2" s="1"/>
  <c r="D1548" i="2" a="1"/>
  <c r="D1548" i="2" s="1"/>
  <c r="D1549" i="2" a="1"/>
  <c r="D1549" i="2" s="1"/>
  <c r="D1550" i="2" a="1"/>
  <c r="D1550" i="2" s="1"/>
  <c r="D1551" i="2" a="1"/>
  <c r="D1551" i="2" s="1"/>
  <c r="D1552" i="2" a="1"/>
  <c r="D1552" i="2" s="1"/>
  <c r="D1553" i="2" a="1"/>
  <c r="D1553" i="2" s="1"/>
  <c r="D1554" i="2" a="1"/>
  <c r="D1554" i="2" s="1"/>
  <c r="D1555" i="2" a="1"/>
  <c r="D1555" i="2" s="1"/>
  <c r="D1556" i="2" a="1"/>
  <c r="D1556" i="2" s="1"/>
  <c r="D1557" i="2" a="1"/>
  <c r="D1557" i="2" s="1"/>
  <c r="D1558" i="2" a="1"/>
  <c r="D1558" i="2" s="1"/>
  <c r="D1559" i="2" a="1"/>
  <c r="D1559" i="2" s="1"/>
  <c r="D1560" i="2" a="1"/>
  <c r="D1560" i="2" s="1"/>
  <c r="D1561" i="2" a="1"/>
  <c r="D1561" i="2" s="1"/>
  <c r="D1562" i="2" a="1"/>
  <c r="D1562" i="2" s="1"/>
  <c r="D1563" i="2" a="1"/>
  <c r="D1563" i="2" s="1"/>
  <c r="D1564" i="2" a="1"/>
  <c r="D1564" i="2" s="1"/>
  <c r="D1565" i="2" a="1"/>
  <c r="D1565" i="2" s="1"/>
  <c r="D1566" i="2" a="1"/>
  <c r="D1566" i="2" s="1"/>
  <c r="D1567" i="2" a="1"/>
  <c r="D1567" i="2" s="1"/>
  <c r="D1568" i="2" a="1"/>
  <c r="D1568" i="2" s="1"/>
  <c r="D1569" i="2" a="1"/>
  <c r="D1569" i="2" s="1"/>
  <c r="D1570" i="2" a="1"/>
  <c r="D1570" i="2" s="1"/>
  <c r="D1571" i="2" a="1"/>
  <c r="D1571" i="2" s="1"/>
  <c r="D1572" i="2" a="1"/>
  <c r="D1572" i="2" s="1"/>
  <c r="D1573" i="2" a="1"/>
  <c r="D1573" i="2" s="1"/>
  <c r="D1574" i="2" a="1"/>
  <c r="D1574" i="2" s="1"/>
  <c r="D1575" i="2" a="1"/>
  <c r="D1575" i="2" s="1"/>
  <c r="D1576" i="2" a="1"/>
  <c r="D1576" i="2" s="1"/>
  <c r="D1577" i="2" a="1"/>
  <c r="D1577" i="2" s="1"/>
  <c r="D1578" i="2" a="1"/>
  <c r="D1578" i="2" s="1"/>
  <c r="D1579" i="2" a="1"/>
  <c r="D1579" i="2" s="1"/>
  <c r="D1580" i="2" a="1"/>
  <c r="D1580" i="2" s="1"/>
  <c r="D1581" i="2" a="1"/>
  <c r="D1581" i="2" s="1"/>
  <c r="D1582" i="2" a="1"/>
  <c r="D1582" i="2" s="1"/>
  <c r="D1583" i="2" a="1"/>
  <c r="D1583" i="2" s="1"/>
  <c r="D1584" i="2" a="1"/>
  <c r="D1584" i="2" s="1"/>
  <c r="D1585" i="2" a="1"/>
  <c r="D1585" i="2" s="1"/>
  <c r="D1586" i="2" a="1"/>
  <c r="D1586" i="2" s="1"/>
  <c r="D1587" i="2" a="1"/>
  <c r="D1587" i="2" s="1"/>
  <c r="D1588" i="2" a="1"/>
  <c r="D1588" i="2" s="1"/>
  <c r="D1589" i="2" a="1"/>
  <c r="D1589" i="2" s="1"/>
  <c r="D1590" i="2" a="1"/>
  <c r="D1590" i="2" s="1"/>
  <c r="D1591" i="2" a="1"/>
  <c r="D1591" i="2" s="1"/>
  <c r="D1592" i="2" a="1"/>
  <c r="D1592" i="2" s="1"/>
  <c r="D1593" i="2" a="1"/>
  <c r="D1593" i="2" s="1"/>
  <c r="D1594" i="2" a="1"/>
  <c r="D1594" i="2" s="1"/>
  <c r="D1595" i="2" a="1"/>
  <c r="D1595" i="2" s="1"/>
  <c r="D1596" i="2" a="1"/>
  <c r="D1596" i="2" s="1"/>
  <c r="D1597" i="2" a="1"/>
  <c r="D1597" i="2" s="1"/>
  <c r="D1598" i="2" a="1"/>
  <c r="D1598" i="2" s="1"/>
  <c r="D1599" i="2" a="1"/>
  <c r="D1599" i="2" s="1"/>
  <c r="D1600" i="2" a="1"/>
  <c r="D1600" i="2" s="1"/>
  <c r="D1601" i="2" a="1"/>
  <c r="D1601" i="2" s="1"/>
  <c r="D1602" i="2" a="1"/>
  <c r="D1602" i="2" s="1"/>
  <c r="D1603" i="2" a="1"/>
  <c r="D1603" i="2" s="1"/>
  <c r="D1604" i="2" a="1"/>
  <c r="D1604" i="2" s="1"/>
  <c r="D1605" i="2" a="1"/>
  <c r="D1605" i="2" s="1"/>
  <c r="D1606" i="2" a="1"/>
  <c r="D1606" i="2" s="1"/>
  <c r="D1607" i="2" a="1"/>
  <c r="D1607" i="2" s="1"/>
  <c r="D1608" i="2" a="1"/>
  <c r="D1608" i="2" s="1"/>
  <c r="D1609" i="2" a="1"/>
  <c r="D1609" i="2" s="1"/>
  <c r="D1610" i="2" a="1"/>
  <c r="D1610" i="2" s="1"/>
  <c r="D1611" i="2" a="1"/>
  <c r="D1611" i="2" s="1"/>
  <c r="D1612" i="2" a="1"/>
  <c r="D1612" i="2" s="1"/>
  <c r="D1613" i="2" a="1"/>
  <c r="D1613" i="2" s="1"/>
  <c r="D1614" i="2" a="1"/>
  <c r="D1614" i="2" s="1"/>
  <c r="D1615" i="2" a="1"/>
  <c r="D1615" i="2" s="1"/>
  <c r="D1616" i="2" a="1"/>
  <c r="D1616" i="2" s="1"/>
  <c r="D1617" i="2" a="1"/>
  <c r="D1617" i="2" s="1"/>
  <c r="D1618" i="2" a="1"/>
  <c r="D1618" i="2" s="1"/>
  <c r="D1619" i="2" a="1"/>
  <c r="D1619" i="2" s="1"/>
  <c r="D1620" i="2" a="1"/>
  <c r="D1620" i="2" s="1"/>
  <c r="D1621" i="2" a="1"/>
  <c r="D1621" i="2" s="1"/>
  <c r="D1622" i="2" a="1"/>
  <c r="D1622" i="2" s="1"/>
  <c r="D1623" i="2" a="1"/>
  <c r="D1623" i="2" s="1"/>
  <c r="D1624" i="2" a="1"/>
  <c r="D1624" i="2" s="1"/>
  <c r="D1625" i="2" a="1"/>
  <c r="D1625" i="2" s="1"/>
  <c r="D1626" i="2" a="1"/>
  <c r="D1626" i="2" s="1"/>
  <c r="D1627" i="2" a="1"/>
  <c r="D1627" i="2" s="1"/>
  <c r="D1628" i="2" a="1"/>
  <c r="D1628" i="2" s="1"/>
  <c r="D1629" i="2" a="1"/>
  <c r="D1629" i="2" s="1"/>
  <c r="D1630" i="2" a="1"/>
  <c r="D1630" i="2" s="1"/>
  <c r="D1631" i="2" a="1"/>
  <c r="D1631" i="2" s="1"/>
  <c r="D1632" i="2" a="1"/>
  <c r="D1632" i="2" s="1"/>
  <c r="D1633" i="2" a="1"/>
  <c r="D1633" i="2" s="1"/>
  <c r="D1634" i="2" a="1"/>
  <c r="D1634" i="2" s="1"/>
  <c r="D1635" i="2" a="1"/>
  <c r="D1635" i="2" s="1"/>
  <c r="D1636" i="2" a="1"/>
  <c r="D1636" i="2" s="1"/>
  <c r="D1637" i="2" a="1"/>
  <c r="D1637" i="2" s="1"/>
  <c r="D1638" i="2" a="1"/>
  <c r="D1638" i="2" s="1"/>
  <c r="D1639" i="2" a="1"/>
  <c r="D1639" i="2" s="1"/>
  <c r="D1640" i="2" a="1"/>
  <c r="D1640" i="2" s="1"/>
  <c r="D1641" i="2" a="1"/>
  <c r="D1641" i="2" s="1"/>
  <c r="D1642" i="2" a="1"/>
  <c r="D1642" i="2" s="1"/>
  <c r="D1643" i="2" a="1"/>
  <c r="D1643" i="2" s="1"/>
  <c r="D1644" i="2" a="1"/>
  <c r="D1644" i="2" s="1"/>
  <c r="D1645" i="2" a="1"/>
  <c r="D1645" i="2" s="1"/>
  <c r="D1646" i="2" a="1"/>
  <c r="D1646" i="2" s="1"/>
  <c r="D1647" i="2" a="1"/>
  <c r="D1647" i="2" s="1"/>
  <c r="D1648" i="2" a="1"/>
  <c r="D1648" i="2" s="1"/>
  <c r="D1649" i="2" a="1"/>
  <c r="D1649" i="2" s="1"/>
  <c r="D1650" i="2" a="1"/>
  <c r="D1650" i="2" s="1"/>
  <c r="D1651" i="2" a="1"/>
  <c r="D1651" i="2" s="1"/>
  <c r="D1652" i="2" a="1"/>
  <c r="D1652" i="2" s="1"/>
  <c r="D1653" i="2" a="1"/>
  <c r="D1653" i="2" s="1"/>
  <c r="D1654" i="2" a="1"/>
  <c r="D1654" i="2" s="1"/>
  <c r="D1655" i="2" a="1"/>
  <c r="D1655" i="2" s="1"/>
  <c r="D1656" i="2" a="1"/>
  <c r="D1656" i="2" s="1"/>
  <c r="D1657" i="2" a="1"/>
  <c r="D1657" i="2" s="1"/>
  <c r="D1658" i="2" a="1"/>
  <c r="D1658" i="2" s="1"/>
  <c r="D1659" i="2" a="1"/>
  <c r="D1659" i="2" s="1"/>
  <c r="D1660" i="2" a="1"/>
  <c r="D1660" i="2" s="1"/>
  <c r="D1661" i="2" a="1"/>
  <c r="D1661" i="2" s="1"/>
  <c r="D1662" i="2" a="1"/>
  <c r="D1662" i="2" s="1"/>
  <c r="D1663" i="2" a="1"/>
  <c r="D1663" i="2" s="1"/>
  <c r="D1664" i="2" a="1"/>
  <c r="D1664" i="2" s="1"/>
  <c r="D1665" i="2" a="1"/>
  <c r="D1665" i="2" s="1"/>
  <c r="D1666" i="2" a="1"/>
  <c r="D1666" i="2" s="1"/>
  <c r="D1667" i="2" a="1"/>
  <c r="D1667" i="2" s="1"/>
  <c r="D1668" i="2" a="1"/>
  <c r="D1668" i="2" s="1"/>
  <c r="D1669" i="2" a="1"/>
  <c r="D1669" i="2" s="1"/>
  <c r="D1670" i="2" a="1"/>
  <c r="D1670" i="2" s="1"/>
  <c r="D1671" i="2" a="1"/>
  <c r="D1671" i="2" s="1"/>
  <c r="D1672" i="2" a="1"/>
  <c r="D1672" i="2" s="1"/>
  <c r="D1673" i="2" a="1"/>
  <c r="D1673" i="2" s="1"/>
  <c r="D1674" i="2" a="1"/>
  <c r="D1674" i="2" s="1"/>
  <c r="D1675" i="2" a="1"/>
  <c r="D1675" i="2" s="1"/>
  <c r="D1676" i="2" a="1"/>
  <c r="D1676" i="2" s="1"/>
  <c r="D1677" i="2" a="1"/>
  <c r="D1677" i="2" s="1"/>
  <c r="D1678" i="2" a="1"/>
  <c r="D1678" i="2" s="1"/>
  <c r="D1679" i="2" a="1"/>
  <c r="D1679" i="2" s="1"/>
  <c r="D1680" i="2" a="1"/>
  <c r="D1680" i="2" s="1"/>
  <c r="D1681" i="2" a="1"/>
  <c r="D1681" i="2" s="1"/>
  <c r="D1682" i="2" a="1"/>
  <c r="D1682" i="2" s="1"/>
  <c r="D1683" i="2" a="1"/>
  <c r="D1683" i="2" s="1"/>
  <c r="D1684" i="2" a="1"/>
  <c r="D1684" i="2" s="1"/>
  <c r="D1685" i="2" a="1"/>
  <c r="D1685" i="2" s="1"/>
  <c r="D1686" i="2" a="1"/>
  <c r="D1686" i="2" s="1"/>
  <c r="D1687" i="2" a="1"/>
  <c r="D1687" i="2" s="1"/>
  <c r="D1688" i="2" a="1"/>
  <c r="D1688" i="2" s="1"/>
  <c r="D1689" i="2" a="1"/>
  <c r="D1689" i="2" s="1"/>
  <c r="D1690" i="2" a="1"/>
  <c r="D1690" i="2" s="1"/>
  <c r="D1691" i="2" a="1"/>
  <c r="D1691" i="2" s="1"/>
  <c r="D1692" i="2" a="1"/>
  <c r="D1692" i="2" s="1"/>
  <c r="D1693" i="2" a="1"/>
  <c r="D1693" i="2" s="1"/>
  <c r="D1694" i="2" a="1"/>
  <c r="D1694" i="2" s="1"/>
  <c r="D1695" i="2" a="1"/>
  <c r="D1695" i="2" s="1"/>
  <c r="D1696" i="2" a="1"/>
  <c r="D1696" i="2" s="1"/>
  <c r="D1697" i="2" a="1"/>
  <c r="D1697" i="2" s="1"/>
  <c r="D1698" i="2" a="1"/>
  <c r="D1698" i="2" s="1"/>
  <c r="D1699" i="2" a="1"/>
  <c r="D1699" i="2" s="1"/>
  <c r="D1700" i="2" a="1"/>
  <c r="D1700" i="2" s="1"/>
  <c r="D1701" i="2" a="1"/>
  <c r="D1701" i="2" s="1"/>
  <c r="D1702" i="2" a="1"/>
  <c r="D1702" i="2" s="1"/>
  <c r="D1703" i="2" a="1"/>
  <c r="D1703" i="2" s="1"/>
  <c r="D1704" i="2" a="1"/>
  <c r="D1704" i="2" s="1"/>
  <c r="D1705" i="2" a="1"/>
  <c r="D1705" i="2" s="1"/>
  <c r="D1706" i="2" a="1"/>
  <c r="D1706" i="2" s="1"/>
  <c r="D1707" i="2" a="1"/>
  <c r="D1707" i="2" s="1"/>
  <c r="D1708" i="2" a="1"/>
  <c r="D1708" i="2" s="1"/>
  <c r="D1709" i="2" a="1"/>
  <c r="D1709" i="2" s="1"/>
  <c r="D1710" i="2" a="1"/>
  <c r="D1710" i="2" s="1"/>
  <c r="D1711" i="2" a="1"/>
  <c r="D1711" i="2" s="1"/>
  <c r="D1712" i="2" a="1"/>
  <c r="D1712" i="2" s="1"/>
  <c r="D1713" i="2" a="1"/>
  <c r="D1713" i="2" s="1"/>
  <c r="D1714" i="2" a="1"/>
  <c r="D1714" i="2" s="1"/>
  <c r="D1715" i="2" a="1"/>
  <c r="D1715" i="2" s="1"/>
  <c r="D1716" i="2" a="1"/>
  <c r="D1716" i="2" s="1"/>
  <c r="D1717" i="2" a="1"/>
  <c r="D1717" i="2" s="1"/>
  <c r="D1718" i="2" a="1"/>
  <c r="D1718" i="2" s="1"/>
  <c r="D1719" i="2" a="1"/>
  <c r="D1719" i="2" s="1"/>
  <c r="D1720" i="2" a="1"/>
  <c r="D1720" i="2" s="1"/>
  <c r="D1721" i="2" a="1"/>
  <c r="D1721" i="2" s="1"/>
  <c r="D1722" i="2" a="1"/>
  <c r="D1722" i="2" s="1"/>
  <c r="D1723" i="2" a="1"/>
  <c r="D1723" i="2" s="1"/>
  <c r="D1724" i="2" a="1"/>
  <c r="D1724" i="2" s="1"/>
  <c r="D1725" i="2" a="1"/>
  <c r="D1725" i="2" s="1"/>
  <c r="D1726" i="2" a="1"/>
  <c r="D1726" i="2" s="1"/>
  <c r="D1727" i="2" a="1"/>
  <c r="D1727" i="2" s="1"/>
  <c r="D1728" i="2" a="1"/>
  <c r="D1728" i="2" s="1"/>
  <c r="D1729" i="2" a="1"/>
  <c r="D1729" i="2" s="1"/>
  <c r="D1730" i="2" a="1"/>
  <c r="D1730" i="2" s="1"/>
  <c r="D1731" i="2" a="1"/>
  <c r="D1731" i="2" s="1"/>
  <c r="D1732" i="2" a="1"/>
  <c r="D1732" i="2" s="1"/>
  <c r="D1733" i="2" a="1"/>
  <c r="D1733" i="2" s="1"/>
  <c r="D1734" i="2" a="1"/>
  <c r="D1734" i="2" s="1"/>
  <c r="D1735" i="2" a="1"/>
  <c r="D1735" i="2" s="1"/>
  <c r="D1736" i="2" a="1"/>
  <c r="D1736" i="2" s="1"/>
  <c r="D1737" i="2" a="1"/>
  <c r="D1737" i="2" s="1"/>
  <c r="D1738" i="2" a="1"/>
  <c r="D1738" i="2" s="1"/>
  <c r="D1739" i="2" a="1"/>
  <c r="D1739" i="2" s="1"/>
  <c r="D1740" i="2" a="1"/>
  <c r="D1740" i="2" s="1"/>
  <c r="D1741" i="2" a="1"/>
  <c r="D1741" i="2" s="1"/>
  <c r="D1742" i="2" a="1"/>
  <c r="D1742" i="2" s="1"/>
  <c r="D1743" i="2" a="1"/>
  <c r="D1743" i="2" s="1"/>
  <c r="D1744" i="2" a="1"/>
  <c r="D1744" i="2" s="1"/>
  <c r="D1745" i="2" a="1"/>
  <c r="D1745" i="2" s="1"/>
  <c r="D1746" i="2" a="1"/>
  <c r="D1746" i="2" s="1"/>
  <c r="D1747" i="2" a="1"/>
  <c r="D1747" i="2" s="1"/>
  <c r="D1748" i="2" a="1"/>
  <c r="D1748" i="2" s="1"/>
  <c r="D1749" i="2" a="1"/>
  <c r="D1749" i="2" s="1"/>
  <c r="D1750" i="2" a="1"/>
  <c r="D1750" i="2" s="1"/>
  <c r="D1751" i="2" a="1"/>
  <c r="D1751" i="2" s="1"/>
  <c r="D1752" i="2" a="1"/>
  <c r="D1752" i="2" s="1"/>
  <c r="D1753" i="2" a="1"/>
  <c r="D1753" i="2" s="1"/>
  <c r="D1754" i="2" a="1"/>
  <c r="D1754" i="2" s="1"/>
  <c r="D1755" i="2" a="1"/>
  <c r="D1755" i="2" s="1"/>
  <c r="D1756" i="2" a="1"/>
  <c r="D1756" i="2" s="1"/>
  <c r="D1757" i="2" a="1"/>
  <c r="D1757" i="2" s="1"/>
  <c r="D1758" i="2" a="1"/>
  <c r="D1758" i="2" s="1"/>
  <c r="D1759" i="2" a="1"/>
  <c r="D1759" i="2" s="1"/>
  <c r="D1760" i="2" a="1"/>
  <c r="D1760" i="2" s="1"/>
  <c r="D1761" i="2" a="1"/>
  <c r="D1761" i="2" s="1"/>
  <c r="D1762" i="2" a="1"/>
  <c r="D1762" i="2" s="1"/>
  <c r="D1763" i="2" a="1"/>
  <c r="D1763" i="2" s="1"/>
  <c r="D1764" i="2" a="1"/>
  <c r="D1764" i="2" s="1"/>
  <c r="D1765" i="2" a="1"/>
  <c r="D1765" i="2" s="1"/>
  <c r="D1766" i="2" a="1"/>
  <c r="D1766" i="2" s="1"/>
  <c r="D1767" i="2" a="1"/>
  <c r="D1767" i="2" s="1"/>
  <c r="D1768" i="2" a="1"/>
  <c r="D1768" i="2" s="1"/>
  <c r="D1769" i="2" a="1"/>
  <c r="D1769" i="2" s="1"/>
  <c r="D1770" i="2" a="1"/>
  <c r="D1770" i="2" s="1"/>
  <c r="D1771" i="2" a="1"/>
  <c r="D1771" i="2" s="1"/>
  <c r="D1772" i="2" a="1"/>
  <c r="D1772" i="2" s="1"/>
  <c r="D1773" i="2" a="1"/>
  <c r="D1773" i="2" s="1"/>
  <c r="D1774" i="2" a="1"/>
  <c r="D1774" i="2" s="1"/>
  <c r="D1775" i="2" a="1"/>
  <c r="D1775" i="2" s="1"/>
  <c r="D1776" i="2" a="1"/>
  <c r="D1776" i="2" s="1"/>
  <c r="D1777" i="2" a="1"/>
  <c r="D1777" i="2" s="1"/>
  <c r="D1778" i="2" a="1"/>
  <c r="D1778" i="2" s="1"/>
  <c r="D1779" i="2" a="1"/>
  <c r="D1779" i="2" s="1"/>
  <c r="D1780" i="2" a="1"/>
  <c r="D1780" i="2" s="1"/>
  <c r="D1781" i="2" a="1"/>
  <c r="D1781" i="2" s="1"/>
  <c r="D1782" i="2" a="1"/>
  <c r="D1782" i="2" s="1"/>
  <c r="D1783" i="2" a="1"/>
  <c r="D1783" i="2" s="1"/>
  <c r="D1784" i="2" a="1"/>
  <c r="D1784" i="2" s="1"/>
  <c r="D1785" i="2" a="1"/>
  <c r="D1785" i="2" s="1"/>
  <c r="D1786" i="2" a="1"/>
  <c r="D1786" i="2" s="1"/>
  <c r="D1787" i="2" a="1"/>
  <c r="D1787" i="2" s="1"/>
  <c r="D1788" i="2" a="1"/>
  <c r="D1788" i="2" s="1"/>
  <c r="D1789" i="2" a="1"/>
  <c r="D1789" i="2" s="1"/>
  <c r="D1790" i="2" a="1"/>
  <c r="D1790" i="2" s="1"/>
  <c r="D1791" i="2" a="1"/>
  <c r="D1791" i="2" s="1"/>
  <c r="D1792" i="2" a="1"/>
  <c r="D1792" i="2" s="1"/>
  <c r="D1793" i="2" a="1"/>
  <c r="D1793" i="2" s="1"/>
  <c r="D1794" i="2" a="1"/>
  <c r="D1794" i="2" s="1"/>
  <c r="D1795" i="2" a="1"/>
  <c r="D1795" i="2" s="1"/>
  <c r="D1796" i="2" a="1"/>
  <c r="D1796" i="2" s="1"/>
  <c r="D1797" i="2" a="1"/>
  <c r="D1797" i="2" s="1"/>
  <c r="D1798" i="2" a="1"/>
  <c r="D1798" i="2" s="1"/>
  <c r="D1799" i="2" a="1"/>
  <c r="D1799" i="2" s="1"/>
  <c r="D1800" i="2" a="1"/>
  <c r="D1800" i="2" s="1"/>
  <c r="D1801" i="2" a="1"/>
  <c r="D1801" i="2" s="1"/>
  <c r="D1802" i="2" a="1"/>
  <c r="D1802" i="2" s="1"/>
  <c r="D1803" i="2" a="1"/>
  <c r="D1803" i="2" s="1"/>
  <c r="D1804" i="2" a="1"/>
  <c r="D1804" i="2" s="1"/>
  <c r="D1805" i="2" a="1"/>
  <c r="D1805" i="2" s="1"/>
  <c r="D1806" i="2" a="1"/>
  <c r="D1806" i="2" s="1"/>
  <c r="D1807" i="2" a="1"/>
  <c r="D1807" i="2" s="1"/>
  <c r="D1808" i="2" a="1"/>
  <c r="D1808" i="2" s="1"/>
  <c r="D1809" i="2" a="1"/>
  <c r="D1809" i="2" s="1"/>
  <c r="D1810" i="2" a="1"/>
  <c r="D1810" i="2" s="1"/>
  <c r="D1811" i="2" a="1"/>
  <c r="D1811" i="2" s="1"/>
  <c r="D1812" i="2" a="1"/>
  <c r="D1812" i="2" s="1"/>
  <c r="D1813" i="2" a="1"/>
  <c r="D1813" i="2" s="1"/>
  <c r="D1814" i="2" a="1"/>
  <c r="D1814" i="2" s="1"/>
  <c r="D1815" i="2" a="1"/>
  <c r="D1815" i="2" s="1"/>
  <c r="D1816" i="2" a="1"/>
  <c r="D1816" i="2" s="1"/>
  <c r="D1817" i="2" a="1"/>
  <c r="D1817" i="2" s="1"/>
  <c r="D1818" i="2" a="1"/>
  <c r="D1818" i="2" s="1"/>
  <c r="D1819" i="2" a="1"/>
  <c r="D1819" i="2" s="1"/>
  <c r="D1820" i="2" a="1"/>
  <c r="D1820" i="2" s="1"/>
  <c r="D1821" i="2" a="1"/>
  <c r="D1821" i="2" s="1"/>
  <c r="D1822" i="2" a="1"/>
  <c r="D1822" i="2" s="1"/>
  <c r="D1823" i="2" a="1"/>
  <c r="D1823" i="2" s="1"/>
  <c r="D1824" i="2" a="1"/>
  <c r="D1824" i="2" s="1"/>
  <c r="D1825" i="2" a="1"/>
  <c r="D1825" i="2" s="1"/>
  <c r="D1826" i="2" a="1"/>
  <c r="D1826" i="2" s="1"/>
  <c r="D1827" i="2" a="1"/>
  <c r="D1827" i="2" s="1"/>
  <c r="D1828" i="2" a="1"/>
  <c r="D1828" i="2" s="1"/>
  <c r="D1829" i="2" a="1"/>
  <c r="D1829" i="2" s="1"/>
  <c r="D1830" i="2" a="1"/>
  <c r="D1830" i="2" s="1"/>
  <c r="D1831" i="2" a="1"/>
  <c r="D1831" i="2" s="1"/>
  <c r="D1832" i="2" a="1"/>
  <c r="D1832" i="2" s="1"/>
  <c r="D1833" i="2" a="1"/>
  <c r="D1833" i="2" s="1"/>
  <c r="D1834" i="2" a="1"/>
  <c r="D1834" i="2" s="1"/>
  <c r="D1835" i="2" a="1"/>
  <c r="D1835" i="2" s="1"/>
  <c r="D1836" i="2" a="1"/>
  <c r="D1836" i="2" s="1"/>
  <c r="D1837" i="2" a="1"/>
  <c r="D1837" i="2" s="1"/>
  <c r="D1838" i="2" a="1"/>
  <c r="D1838" i="2" s="1"/>
  <c r="D1839" i="2" a="1"/>
  <c r="D1839" i="2" s="1"/>
  <c r="D1840" i="2" a="1"/>
  <c r="D1840" i="2" s="1"/>
  <c r="D1841" i="2" a="1"/>
  <c r="D1841" i="2" s="1"/>
  <c r="D1842" i="2" a="1"/>
  <c r="D1842" i="2" s="1"/>
  <c r="D1843" i="2" a="1"/>
  <c r="D1843" i="2" s="1"/>
  <c r="D1844" i="2" a="1"/>
  <c r="D1844" i="2" s="1"/>
  <c r="D1845" i="2" a="1"/>
  <c r="D1845" i="2" s="1"/>
  <c r="D1846" i="2" a="1"/>
  <c r="D1846" i="2" s="1"/>
  <c r="D1847" i="2" a="1"/>
  <c r="D1847" i="2" s="1"/>
  <c r="D1848" i="2" a="1"/>
  <c r="D1848" i="2" s="1"/>
  <c r="D1849" i="2" a="1"/>
  <c r="D1849" i="2" s="1"/>
  <c r="D1850" i="2" a="1"/>
  <c r="D1850" i="2" s="1"/>
  <c r="D1851" i="2" a="1"/>
  <c r="D1851" i="2" s="1"/>
  <c r="D1852" i="2" a="1"/>
  <c r="D1852" i="2" s="1"/>
  <c r="D1853" i="2" a="1"/>
  <c r="D1853" i="2" s="1"/>
  <c r="D1854" i="2" a="1"/>
  <c r="D1854" i="2" s="1"/>
  <c r="D1855" i="2" a="1"/>
  <c r="D1855" i="2" s="1"/>
  <c r="D1856" i="2" a="1"/>
  <c r="D1856" i="2" s="1"/>
  <c r="D1857" i="2" a="1"/>
  <c r="D1857" i="2" s="1"/>
  <c r="D1858" i="2" a="1"/>
  <c r="D1858" i="2" s="1"/>
  <c r="D1859" i="2" a="1"/>
  <c r="D1859" i="2" s="1"/>
  <c r="D1860" i="2" a="1"/>
  <c r="D1860" i="2" s="1"/>
  <c r="D1861" i="2" a="1"/>
  <c r="D1861" i="2" s="1"/>
  <c r="D1862" i="2" a="1"/>
  <c r="D1862" i="2" s="1"/>
  <c r="D1863" i="2" a="1"/>
  <c r="D1863" i="2" s="1"/>
  <c r="D1864" i="2" a="1"/>
  <c r="D1864" i="2" s="1"/>
  <c r="D1865" i="2" a="1"/>
  <c r="D1865" i="2" s="1"/>
  <c r="D1866" i="2" a="1"/>
  <c r="D1866" i="2" s="1"/>
  <c r="D1867" i="2" a="1"/>
  <c r="D1867" i="2" s="1"/>
  <c r="D1868" i="2" a="1"/>
  <c r="D1868" i="2" s="1"/>
  <c r="D1869" i="2" a="1"/>
  <c r="D1869" i="2" s="1"/>
  <c r="D1870" i="2" a="1"/>
  <c r="D1870" i="2" s="1"/>
  <c r="D1871" i="2" a="1"/>
  <c r="D1871" i="2" s="1"/>
  <c r="D1872" i="2" a="1"/>
  <c r="D1872" i="2" s="1"/>
  <c r="D1873" i="2" a="1"/>
  <c r="D1873" i="2" s="1"/>
  <c r="D1874" i="2" a="1"/>
  <c r="D1874" i="2" s="1"/>
  <c r="D1875" i="2" a="1"/>
  <c r="D1875" i="2" s="1"/>
  <c r="D1876" i="2" a="1"/>
  <c r="D1876" i="2" s="1"/>
  <c r="D1877" i="2" a="1"/>
  <c r="D1877" i="2" s="1"/>
  <c r="D1878" i="2" a="1"/>
  <c r="D1878" i="2" s="1"/>
  <c r="D1879" i="2" a="1"/>
  <c r="D1879" i="2" s="1"/>
  <c r="D1880" i="2" a="1"/>
  <c r="D1880" i="2" s="1"/>
  <c r="D1881" i="2" a="1"/>
  <c r="D1881" i="2" s="1"/>
  <c r="D1882" i="2" a="1"/>
  <c r="D1882" i="2" s="1"/>
  <c r="D1883" i="2" a="1"/>
  <c r="D1883" i="2" s="1"/>
  <c r="D1884" i="2" a="1"/>
  <c r="D1884" i="2" s="1"/>
  <c r="D1885" i="2" a="1"/>
  <c r="D1885" i="2" s="1"/>
  <c r="D1886" i="2" a="1"/>
  <c r="D1886" i="2" s="1"/>
  <c r="D1887" i="2" a="1"/>
  <c r="D1887" i="2" s="1"/>
  <c r="D1888" i="2" a="1"/>
  <c r="D1888" i="2" s="1"/>
  <c r="D1889" i="2" a="1"/>
  <c r="D1889" i="2" s="1"/>
  <c r="D1890" i="2" a="1"/>
  <c r="D1890" i="2" s="1"/>
  <c r="D1891" i="2" a="1"/>
  <c r="D1891" i="2" s="1"/>
  <c r="D1892" i="2" a="1"/>
  <c r="D1892" i="2" s="1"/>
  <c r="D1893" i="2" a="1"/>
  <c r="D1893" i="2" s="1"/>
  <c r="D1894" i="2" a="1"/>
  <c r="D1894" i="2" s="1"/>
  <c r="D1895" i="2" a="1"/>
  <c r="D1895" i="2" s="1"/>
  <c r="D1896" i="2" a="1"/>
  <c r="D1896" i="2" s="1"/>
  <c r="D1897" i="2" a="1"/>
  <c r="D1897" i="2" s="1"/>
  <c r="D1898" i="2" a="1"/>
  <c r="D1898" i="2" s="1"/>
  <c r="D1899" i="2" a="1"/>
  <c r="D1899" i="2" s="1"/>
  <c r="D1900" i="2" a="1"/>
  <c r="D1900" i="2" s="1"/>
  <c r="D1901" i="2" a="1"/>
  <c r="D1901" i="2" s="1"/>
  <c r="D1902" i="2" a="1"/>
  <c r="D1902" i="2" s="1"/>
  <c r="D1903" i="2" a="1"/>
  <c r="D1903" i="2" s="1"/>
  <c r="D1904" i="2" a="1"/>
  <c r="D1904" i="2" s="1"/>
  <c r="D1905" i="2" a="1"/>
  <c r="D1905" i="2" s="1"/>
  <c r="D1906" i="2" a="1"/>
  <c r="D1906" i="2" s="1"/>
  <c r="D1907" i="2" a="1"/>
  <c r="D1907" i="2" s="1"/>
  <c r="D1908" i="2" a="1"/>
  <c r="D1908" i="2" s="1"/>
  <c r="D1909" i="2" a="1"/>
  <c r="D1909" i="2" s="1"/>
  <c r="D1910" i="2" a="1"/>
  <c r="D1910" i="2" s="1"/>
  <c r="D1911" i="2" a="1"/>
  <c r="D1911" i="2" s="1"/>
  <c r="D1912" i="2" a="1"/>
  <c r="D1912" i="2" s="1"/>
  <c r="D1913" i="2" a="1"/>
  <c r="D1913" i="2" s="1"/>
  <c r="D1914" i="2" a="1"/>
  <c r="D1914" i="2" s="1"/>
  <c r="D1915" i="2" a="1"/>
  <c r="D1915" i="2" s="1"/>
  <c r="D1916" i="2" a="1"/>
  <c r="D1916" i="2" s="1"/>
  <c r="D1917" i="2" a="1"/>
  <c r="D1917" i="2" s="1"/>
  <c r="D1918" i="2" a="1"/>
  <c r="D1918" i="2" s="1"/>
  <c r="D1919" i="2" a="1"/>
  <c r="D1919" i="2" s="1"/>
  <c r="D1920" i="2" a="1"/>
  <c r="D1920" i="2" s="1"/>
  <c r="D1921" i="2" a="1"/>
  <c r="D1921" i="2" s="1"/>
  <c r="D1922" i="2" a="1"/>
  <c r="D1922" i="2" s="1"/>
  <c r="D1923" i="2" a="1"/>
  <c r="D1923" i="2" s="1"/>
  <c r="D1924" i="2" a="1"/>
  <c r="D1924" i="2" s="1"/>
  <c r="D1925" i="2" a="1"/>
  <c r="D1925" i="2" s="1"/>
  <c r="D1926" i="2" a="1"/>
  <c r="D1926" i="2" s="1"/>
  <c r="D1927" i="2" a="1"/>
  <c r="D1927" i="2" s="1"/>
  <c r="D1928" i="2" a="1"/>
  <c r="D1928" i="2" s="1"/>
  <c r="D1929" i="2" a="1"/>
  <c r="D1929" i="2" s="1"/>
  <c r="D1930" i="2" a="1"/>
  <c r="D1930" i="2" s="1"/>
  <c r="D1931" i="2" a="1"/>
  <c r="D1931" i="2" s="1"/>
  <c r="D1932" i="2" a="1"/>
  <c r="D1932" i="2" s="1"/>
  <c r="D1933" i="2" a="1"/>
  <c r="D1933" i="2" s="1"/>
  <c r="D1934" i="2" a="1"/>
  <c r="D1934" i="2" s="1"/>
  <c r="D1935" i="2" a="1"/>
  <c r="D1935" i="2" s="1"/>
  <c r="D1936" i="2" a="1"/>
  <c r="D1936" i="2" s="1"/>
  <c r="D1937" i="2" a="1"/>
  <c r="D1937" i="2" s="1"/>
  <c r="D1938" i="2" a="1"/>
  <c r="D1938" i="2" s="1"/>
  <c r="D1939" i="2" a="1"/>
  <c r="D1939" i="2" s="1"/>
  <c r="D1940" i="2" a="1"/>
  <c r="D1940" i="2" s="1"/>
  <c r="D1941" i="2" a="1"/>
  <c r="D1941" i="2" s="1"/>
  <c r="D1942" i="2" a="1"/>
  <c r="D1942" i="2" s="1"/>
  <c r="D1943" i="2" a="1"/>
  <c r="D1943" i="2" s="1"/>
  <c r="D1944" i="2" a="1"/>
  <c r="D1944" i="2" s="1"/>
  <c r="D1945" i="2" a="1"/>
  <c r="D1945" i="2" s="1"/>
  <c r="D1946" i="2" a="1"/>
  <c r="D1946" i="2" s="1"/>
  <c r="D1947" i="2" a="1"/>
  <c r="D1947" i="2" s="1"/>
  <c r="D1948" i="2" a="1"/>
  <c r="D1948" i="2" s="1"/>
  <c r="D1949" i="2" a="1"/>
  <c r="D1949" i="2" s="1"/>
  <c r="D1950" i="2" a="1"/>
  <c r="D1950" i="2" s="1"/>
  <c r="D1951" i="2" a="1"/>
  <c r="D1951" i="2" s="1"/>
  <c r="D1952" i="2" a="1"/>
  <c r="D1952" i="2" s="1"/>
  <c r="D1953" i="2" a="1"/>
  <c r="D1953" i="2" s="1"/>
  <c r="D1954" i="2" a="1"/>
  <c r="D1954" i="2" s="1"/>
  <c r="D1955" i="2" a="1"/>
  <c r="D1955" i="2" s="1"/>
  <c r="D1956" i="2" a="1"/>
  <c r="D1956" i="2" s="1"/>
  <c r="D1957" i="2" a="1"/>
  <c r="D1957" i="2" s="1"/>
  <c r="D1958" i="2" a="1"/>
  <c r="D1958" i="2" s="1"/>
  <c r="D1959" i="2" a="1"/>
  <c r="D1959" i="2" s="1"/>
  <c r="D1960" i="2" a="1"/>
  <c r="D1960" i="2" s="1"/>
  <c r="D1961" i="2" a="1"/>
  <c r="D1961" i="2" s="1"/>
  <c r="D1962" i="2" a="1"/>
  <c r="D1962" i="2" s="1"/>
  <c r="D1963" i="2" a="1"/>
  <c r="D1963" i="2" s="1"/>
  <c r="D1964" i="2" a="1"/>
  <c r="D1964" i="2" s="1"/>
  <c r="D1965" i="2" a="1"/>
  <c r="D1965" i="2" s="1"/>
  <c r="D1966" i="2" a="1"/>
  <c r="D1966" i="2" s="1"/>
  <c r="D1967" i="2" a="1"/>
  <c r="D1967" i="2" s="1"/>
  <c r="D1968" i="2" a="1"/>
  <c r="D1968" i="2" s="1"/>
  <c r="D1969" i="2" a="1"/>
  <c r="D1969" i="2" s="1"/>
  <c r="D1970" i="2" a="1"/>
  <c r="D1970" i="2" s="1"/>
  <c r="D1971" i="2" a="1"/>
  <c r="D1971" i="2" s="1"/>
  <c r="D1972" i="2" a="1"/>
  <c r="D1972" i="2" s="1"/>
  <c r="D1973" i="2" a="1"/>
  <c r="D1973" i="2" s="1"/>
  <c r="D1974" i="2" a="1"/>
  <c r="D1974" i="2" s="1"/>
  <c r="D1975" i="2" a="1"/>
  <c r="D1975" i="2" s="1"/>
  <c r="D1976" i="2" a="1"/>
  <c r="D1976" i="2" s="1"/>
  <c r="D1977" i="2" a="1"/>
  <c r="D1977" i="2" s="1"/>
  <c r="D1978" i="2" a="1"/>
  <c r="D1978" i="2" s="1"/>
  <c r="D1979" i="2" a="1"/>
  <c r="D1979" i="2" s="1"/>
  <c r="D1980" i="2" a="1"/>
  <c r="D1980" i="2" s="1"/>
  <c r="D1981" i="2" a="1"/>
  <c r="D1981" i="2" s="1"/>
  <c r="D1982" i="2" a="1"/>
  <c r="D1982" i="2" s="1"/>
  <c r="D1983" i="2" a="1"/>
  <c r="D1983" i="2" s="1"/>
  <c r="D1984" i="2" a="1"/>
  <c r="D1984" i="2" s="1"/>
  <c r="D1985" i="2" a="1"/>
  <c r="D1985" i="2" s="1"/>
  <c r="D1986" i="2" a="1"/>
  <c r="D1986" i="2" s="1"/>
  <c r="D1987" i="2" a="1"/>
  <c r="D1987" i="2" s="1"/>
  <c r="D1988" i="2" a="1"/>
  <c r="D1988" i="2" s="1"/>
  <c r="D1989" i="2" a="1"/>
  <c r="D1989" i="2" s="1"/>
  <c r="D1990" i="2" a="1"/>
  <c r="D1990" i="2" s="1"/>
  <c r="D1991" i="2" a="1"/>
  <c r="D1991" i="2" s="1"/>
  <c r="D1992" i="2" a="1"/>
  <c r="D1992" i="2" s="1"/>
  <c r="D1993" i="2" a="1"/>
  <c r="D1993" i="2" s="1"/>
  <c r="D1994" i="2" a="1"/>
  <c r="D1994" i="2" s="1"/>
  <c r="D1995" i="2" a="1"/>
  <c r="D1995" i="2" s="1"/>
  <c r="D1996" i="2" a="1"/>
  <c r="D1996" i="2" s="1"/>
  <c r="D1997" i="2" a="1"/>
  <c r="D1997" i="2" s="1"/>
  <c r="D1998" i="2" a="1"/>
  <c r="D1998" i="2" s="1"/>
  <c r="D1999" i="2" a="1"/>
  <c r="D1999" i="2" s="1"/>
  <c r="D2000" i="2" a="1"/>
  <c r="D2000" i="2" s="1"/>
  <c r="D2001" i="2" a="1"/>
  <c r="D20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4FFA73-5FA6-4CE1-B5FF-00438C9E7BD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559526C-CE5F-452D-BB0F-712DD82DE93D}" name="WorksheetConnection_Customers.csv!Table2" type="102" refreshedVersion="8" minRefreshableVersion="5">
    <extLst>
      <ext xmlns:x15="http://schemas.microsoft.com/office/spreadsheetml/2010/11/main" uri="{DE250136-89BD-433C-8126-D09CA5730AF9}">
        <x15:connection id="Table2" autoDelete="1">
          <x15:rangePr sourceName="_xlcn.WorksheetConnection_Customers.csvTable2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<sst xmlns="http://schemas.openxmlformats.org/spreadsheetml/2006/main" count="8064" uniqueCount="64">
  <si>
    <t>CustomerID</t>
  </si>
  <si>
    <t>Gender</t>
  </si>
  <si>
    <t>Age</t>
  </si>
  <si>
    <t>Annual Income ($)</t>
  </si>
  <si>
    <t>Spending Score (1-100)</t>
  </si>
  <si>
    <t>Profession</t>
  </si>
  <si>
    <t>Work Experience</t>
  </si>
  <si>
    <t>Family Size</t>
  </si>
  <si>
    <t>Male</t>
  </si>
  <si>
    <t>Healthcare</t>
  </si>
  <si>
    <t>Engineer</t>
  </si>
  <si>
    <t>Female</t>
  </si>
  <si>
    <t>Lawyer</t>
  </si>
  <si>
    <t>Entertainment</t>
  </si>
  <si>
    <t>Artist</t>
  </si>
  <si>
    <t>Executive</t>
  </si>
  <si>
    <t>Doctor</t>
  </si>
  <si>
    <t>Homemaker</t>
  </si>
  <si>
    <t>Marketing</t>
  </si>
  <si>
    <t>UNKNOWN</t>
  </si>
  <si>
    <t>Age Groups</t>
  </si>
  <si>
    <t>Spending Category</t>
  </si>
  <si>
    <t>avg_age</t>
  </si>
  <si>
    <t>Row Labels</t>
  </si>
  <si>
    <t>Grand Total</t>
  </si>
  <si>
    <t>Count of CustomerID</t>
  </si>
  <si>
    <t>Sum of Annual Income ($)</t>
  </si>
  <si>
    <t>Baby Boomers</t>
  </si>
  <si>
    <t>Gen A</t>
  </si>
  <si>
    <t>Gen X</t>
  </si>
  <si>
    <t>Gen Z</t>
  </si>
  <si>
    <t>Greatest</t>
  </si>
  <si>
    <t>Millenials</t>
  </si>
  <si>
    <t>Silent</t>
  </si>
  <si>
    <t>Average of Annual Income ($)</t>
  </si>
  <si>
    <t>High</t>
  </si>
  <si>
    <t>Low</t>
  </si>
  <si>
    <t>Medium</t>
  </si>
  <si>
    <t>Very High</t>
  </si>
  <si>
    <t>Category</t>
  </si>
  <si>
    <t>Family Size2</t>
  </si>
  <si>
    <t>Work Experience2</t>
  </si>
  <si>
    <t>Family Size_second</t>
  </si>
  <si>
    <t>1years</t>
  </si>
  <si>
    <t>0years</t>
  </si>
  <si>
    <t>8years</t>
  </si>
  <si>
    <t>9years</t>
  </si>
  <si>
    <t>6years</t>
  </si>
  <si>
    <t>1members</t>
  </si>
  <si>
    <t>2members</t>
  </si>
  <si>
    <t>3members</t>
  </si>
  <si>
    <t>4members</t>
  </si>
  <si>
    <t>5members</t>
  </si>
  <si>
    <t>6members</t>
  </si>
  <si>
    <t>7members</t>
  </si>
  <si>
    <t>8members</t>
  </si>
  <si>
    <t>9members</t>
  </si>
  <si>
    <t>Average of Spending Score (1-100)</t>
  </si>
  <si>
    <t>KPI</t>
  </si>
  <si>
    <t>Total Customers</t>
  </si>
  <si>
    <t>Avg_spending score</t>
  </si>
  <si>
    <t>Total Income</t>
  </si>
  <si>
    <t>Avg_income</t>
  </si>
  <si>
    <t>Family Size_member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</si>
</sst>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
  </numFmts>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0" fillId="0" borderId="10" xfId="0" applyBorder="1"/>
    <xf numFmtId="2" fontId="0" fillId="0" borderId="10" xfId="0" applyNumberFormat="1" applyBorder="1"/>
    <xf numFmtId="164" fontId="0" fillId="0" borderId="10" xfId="0" applyNumberFormat="1" applyBorder="1"/>
    <xf numFmtId="0" fontId="0" fillId="33" borderId="10"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0" formatCode="General"/>
    </dxf>
    <dxf>
      <numFmt numFmtId="0" formatCode="General"/>
    </dxf>
    <dxf>
      <numFmt numFmtId="0" formatCode="General"/>
    </dxf>
    <dxf>
      <numFmt numFmtId="164" formatCode="[$$-409]#,##0"/>
    </dxf>
    <dxf>
      <numFmt numFmtId="0" formatCode="General"/>
    </dxf>
    <dxf>
      <font>
        <b/>
        <color theme="1"/>
      </font>
      <border>
        <bottom style="thin">
          <color theme="4"/>
        </bottom>
        <vertical/>
        <horizontal/>
      </border>
    </dxf>
    <dxf>
      <font>
        <color theme="1"/>
      </font>
      <fill>
        <patternFill>
          <bgColor theme="4" tint="-0.24994659260841701"/>
        </patternFill>
      </fill>
      <border diagonalUp="0" diagonalDown="0">
        <left/>
        <right/>
        <top/>
        <bottom/>
        <vertical/>
        <horizontal/>
      </border>
    </dxf>
  </dxfs>
  <tableStyles count="1" defaultTableStyle="TableStyleMedium2" defaultPivotStyle="PivotStyleLight16">
    <tableStyle name="Costco" pivot="0" table="0" count="10" xr9:uid="{21327F21-F5A7-467D-9FA6-9DE86DA9FF32}">
      <tableStyleElement type="wholeTable" dxfId="7"/>
      <tableStyleElement type="headerRow" dxfId="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0"/>
            <color theme="0"/>
          </font>
          <fill>
            <patternFill patternType="solid">
              <fgColor theme="4"/>
              <bgColor theme="3" tint="0.39994506668294322"/>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Costc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1.xml"/><Relationship Id="rId27" Type="http://schemas.openxmlformats.org/officeDocument/2006/relationships/sheetMetadata" Target="metadata.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[CustomersTask24A.xlsx]Gender Analysis!PivotTable1</c:name>
    <c:fmtId val="3"/>
  </c:pivotSource>
  <c:chart>
    <c:autoTitleDeleted val="1"/>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noFill/>
          </a:ln>
          <a:effectLst/>
        </c:spPr>
      </c:pivotFmt>
      <c:pivotFmt>
        <c:idx val="2"/>
        <c:spPr>
          <a:solidFill>
            <a:schemeClr val="accent1">
              <a:lumMod val="75000"/>
            </a:schemeClr>
          </a:solidFill>
          <a:ln w="19050">
            <a:noFill/>
          </a:ln>
          <a:effectLst/>
        </c:spPr>
      </c:pivotFmt>
      <c:pivotFmt>
        <c:idx val="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19050">
            <a:noFill/>
          </a:ln>
          <a:effectLst/>
        </c:spPr>
      </c:pivotFmt>
      <c:pivotFmt>
        <c:idx val="5"/>
        <c:spPr>
          <a:solidFill>
            <a:schemeClr val="accent1">
              <a:lumMod val="75000"/>
            </a:schemeClr>
          </a:solidFill>
          <a:ln w="19050">
            <a:noFill/>
          </a:ln>
          <a:effectLst/>
        </c:spPr>
      </c:pivotFmt>
      <c:pivotFmt>
        <c:idx val="6"/>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accent1">
                      <a:lumMod val="50000"/>
                    </a:schemeClr>
                  </a:solidFill>
                  <a:latin typeface="Georgia" panose="02040502050405020303" pitchFamily="18" charset="0"/>
                  <a:ea typeface="Georgia" panose="02040502050405020303" pitchFamily="18" charset="0"/>
                  <a:cs typeface="Georgia" panose="02040502050405020303"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w="19050">
            <a:noFill/>
          </a:ln>
          <a:effectLst/>
        </c:spPr>
      </c:pivotFmt>
      <c:pivotFmt>
        <c:idx val="8"/>
        <c:spPr>
          <a:solidFill>
            <a:schemeClr val="accent1">
              <a:lumMod val="75000"/>
            </a:schemeClr>
          </a:solidFill>
          <a:ln w="19050">
            <a:noFill/>
          </a:ln>
          <a:effectLst/>
        </c:spPr>
      </c:pivotFmt>
    </c:pivotFmts>
    <c:plotArea>
      <c:layout>
        <c:manualLayout>
          <c:layoutTarget val="inner"/>
          <c:xMode val="edge"/>
          <c:yMode val="edge"/>
          <c:x val="0.28821698861174783"/>
          <c:y val="0.1525672265950366"/>
          <c:w val="0.37213749468235918"/>
          <c:h val="0.84303865373350539"/>
        </c:manualLayout>
      </c:layout>
      <c:pieChart>
        <c:varyColors val="1"/>
        <c:ser>
          <c:idx val="0"/>
          <c:order val="0"/>
          <c:tx>
            <c:strRef>
              <c:f>'Gender Analysis'!$B$3</c:f>
              <c:strCache>
                <c:ptCount val="1"/>
                <c:pt idx="0">
                  <c:v>Total</c:v>
                </c:pt>
              </c:strCache>
            </c:strRef>
          </c:tx>
          <c:spPr>
            <a:solidFill>
              <a:schemeClr val="accent6">
                <a:lumMod val="50000"/>
              </a:schemeClr>
            </a:solidFill>
            <a:ln>
              <a:noFill/>
            </a:ln>
          </c:spPr>
          <c:explosion val="5"/>
          <c:dPt>
            <c:idx val="0"/>
            <c:bubble3D val="0"/>
            <c:explosion val="0"/>
            <c:spPr>
              <a:solidFill>
                <a:schemeClr val="accent1">
                  <a:lumMod val="50000"/>
                </a:schemeClr>
              </a:solidFill>
              <a:ln w="19050">
                <a:noFill/>
              </a:ln>
              <a:effectLst/>
            </c:spPr>
            <c:extLst>
              <c:ext xmlns:c16="http://schemas.microsoft.com/office/drawing/2014/chart" uri="{C3380CC4-5D6E-409C-BE32-E72D297353CC}">
                <c16:uniqueId val="{00000001-EC63-4112-A8F3-C587D9FDED27}"/>
              </c:ext>
            </c:extLst>
          </c:dPt>
          <c:dPt>
            <c:idx val="1"/>
            <c:bubble3D val="0"/>
            <c:spPr>
              <a:solidFill>
                <a:schemeClr val="accent1">
                  <a:lumMod val="75000"/>
                </a:schemeClr>
              </a:solidFill>
              <a:ln w="19050">
                <a:noFill/>
              </a:ln>
              <a:effectLst/>
            </c:spPr>
            <c:extLst>
              <c:ext xmlns:c16="http://schemas.microsoft.com/office/drawing/2014/chart" uri="{C3380CC4-5D6E-409C-BE32-E72D297353CC}">
                <c16:uniqueId val="{00000003-EC63-4112-A8F3-C587D9FDED27}"/>
              </c:ext>
            </c:extLst>
          </c:dPt>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accent1">
                        <a:lumMod val="50000"/>
                      </a:schemeClr>
                    </a:solidFill>
                    <a:latin typeface="Georgia" panose="02040502050405020303" pitchFamily="18" charset="0"/>
                    <a:ea typeface="Georgia" panose="02040502050405020303" pitchFamily="18" charset="0"/>
                    <a:cs typeface="Georgia" panose="02040502050405020303" pitchFamily="18" charset="0"/>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Analysis'!$A$4:$A$6</c:f>
              <c:strCache>
                <c:ptCount val="2"/>
                <c:pt idx="0">
                  <c:v>Female</c:v>
                </c:pt>
                <c:pt idx="1">
                  <c:v>Male</c:v>
                </c:pt>
              </c:strCache>
            </c:strRef>
          </c:cat>
          <c:val>
            <c:numRef>
              <c:f>'Gender Analysis'!$B$4:$B$6</c:f>
              <c:numCache>
                <c:formatCode>0.00%</c:formatCode>
                <c:ptCount val="2"/>
                <c:pt idx="0">
                  <c:v>0.59204618972153367</c:v>
                </c:pt>
                <c:pt idx="1">
                  <c:v>0.40795381027846633</c:v>
                </c:pt>
              </c:numCache>
            </c:numRef>
          </c:val>
          <c:extLst>
            <c:ext xmlns:c16="http://schemas.microsoft.com/office/drawing/2014/chart" uri="{C3380CC4-5D6E-409C-BE32-E72D297353CC}">
              <c16:uniqueId val="{00000004-EC63-4112-A8F3-C587D9FDED27}"/>
            </c:ext>
          </c:extLst>
        </c:ser>
        <c:dLbls>
          <c:dLblPos val="outEnd"/>
          <c:showLegendKey val="0"/>
          <c:showVal val="1"/>
          <c:showCatName val="0"/>
          <c:showSerName val="0"/>
          <c:showPercent val="0"/>
          <c:showBubbleSize val="0"/>
          <c:showLeaderLines val="1"/>
        </c:dLbls>
        <c:firstSliceAng val="169"/>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Georgia" panose="020405020504050203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[CustomersTask24A.xlsx]Profession by annual Income!PivotTable1</c:name>
    <c:fmtId val="12"/>
  </c:pivotSource>
  <c:chart>
    <c:autoTitleDeleted val="1"/>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noFill/>
          </a:ln>
          <a:effectLst/>
        </c:spPr>
      </c:pivotFmt>
      <c:pivotFmt>
        <c:idx val="2"/>
        <c:spPr>
          <a:solidFill>
            <a:schemeClr val="accent1">
              <a:lumMod val="75000"/>
            </a:schemeClr>
          </a:solidFill>
          <a:ln w="19050">
            <a:noFill/>
          </a:ln>
          <a:effectLst/>
        </c:spPr>
      </c:pivotFmt>
      <c:pivotFmt>
        <c:idx val="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19050">
            <a:noFill/>
          </a:ln>
          <a:effectLst/>
        </c:spPr>
      </c:pivotFmt>
      <c:pivotFmt>
        <c:idx val="5"/>
        <c:spPr>
          <a:solidFill>
            <a:schemeClr val="accent1">
              <a:lumMod val="75000"/>
            </a:schemeClr>
          </a:solidFill>
          <a:ln w="19050">
            <a:noFill/>
          </a:ln>
          <a:effectLst/>
        </c:spPr>
      </c:pivotFmt>
      <c:pivotFmt>
        <c:idx val="6"/>
        <c:spPr>
          <a:solidFill>
            <a:schemeClr val="accent1">
              <a:lumMod val="50000"/>
            </a:schemeClr>
          </a:solidFill>
          <a:ln w="19050">
            <a:noFill/>
          </a:ln>
          <a:effectLst/>
        </c:spPr>
      </c:pivotFmt>
      <c:pivotFmt>
        <c:idx val="7"/>
        <c:spPr>
          <a:solidFill>
            <a:schemeClr val="accent1">
              <a:lumMod val="50000"/>
            </a:schemeClr>
          </a:solidFill>
          <a:ln w="19050">
            <a:noFill/>
          </a:ln>
          <a:effectLst/>
        </c:spPr>
      </c:pivotFmt>
      <c:pivotFmt>
        <c:idx val="8"/>
        <c:spPr>
          <a:solidFill>
            <a:schemeClr val="accent1">
              <a:lumMod val="75000"/>
            </a:schemeClr>
          </a:solidFill>
          <a:ln w="19050">
            <a:noFill/>
          </a:ln>
          <a:effectLst/>
        </c:spPr>
      </c:pivotFmt>
      <c:pivotFmt>
        <c:idx val="9"/>
        <c:spPr>
          <a:solidFill>
            <a:schemeClr val="accent1">
              <a:lumMod val="75000"/>
            </a:schemeClr>
          </a:solidFill>
          <a:ln w="19050">
            <a:noFill/>
          </a:ln>
          <a:effectLst/>
        </c:spPr>
      </c:pivotFmt>
      <c:pivotFmt>
        <c:idx val="10"/>
        <c:spPr>
          <a:solidFill>
            <a:schemeClr val="accent1">
              <a:lumMod val="60000"/>
              <a:lumOff val="40000"/>
            </a:schemeClr>
          </a:solidFill>
          <a:ln w="19050">
            <a:noFill/>
          </a:ln>
          <a:effectLst/>
        </c:spPr>
      </c:pivotFmt>
      <c:pivotFmt>
        <c:idx val="11"/>
        <c:spPr>
          <a:solidFill>
            <a:schemeClr val="accent1">
              <a:lumMod val="40000"/>
              <a:lumOff val="60000"/>
            </a:schemeClr>
          </a:solidFill>
          <a:ln w="19050">
            <a:noFill/>
          </a:ln>
          <a:effectLst/>
        </c:spPr>
      </c:pivotFmt>
      <c:pivotFmt>
        <c:idx val="12"/>
        <c:spPr>
          <a:solidFill>
            <a:schemeClr val="accent1">
              <a:lumMod val="20000"/>
              <a:lumOff val="80000"/>
            </a:schemeClr>
          </a:solidFill>
          <a:ln w="19050">
            <a:noFill/>
          </a:ln>
          <a:effectLst/>
        </c:spPr>
      </c:pivotFmt>
      <c:pivotFmt>
        <c:idx val="1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w="19050">
            <a:noFill/>
          </a:ln>
          <a:effectLst/>
        </c:spPr>
      </c:pivotFmt>
      <c:pivotFmt>
        <c:idx val="15"/>
        <c:spPr>
          <a:solidFill>
            <a:schemeClr val="accent1">
              <a:lumMod val="50000"/>
            </a:schemeClr>
          </a:solidFill>
          <a:ln w="19050">
            <a:noFill/>
          </a:ln>
          <a:effectLst/>
        </c:spPr>
      </c:pivotFmt>
      <c:pivotFmt>
        <c:idx val="16"/>
        <c:spPr>
          <a:solidFill>
            <a:schemeClr val="accent1">
              <a:lumMod val="75000"/>
            </a:schemeClr>
          </a:solidFill>
          <a:ln w="19050">
            <a:noFill/>
          </a:ln>
          <a:effectLst/>
        </c:spPr>
      </c:pivotFmt>
      <c:pivotFmt>
        <c:idx val="17"/>
        <c:spPr>
          <a:solidFill>
            <a:schemeClr val="accent1">
              <a:lumMod val="75000"/>
            </a:schemeClr>
          </a:solidFill>
          <a:ln w="19050">
            <a:noFill/>
          </a:ln>
          <a:effectLst/>
        </c:spPr>
      </c:pivotFmt>
      <c:pivotFmt>
        <c:idx val="18"/>
        <c:spPr>
          <a:solidFill>
            <a:schemeClr val="accent1">
              <a:lumMod val="60000"/>
              <a:lumOff val="40000"/>
            </a:schemeClr>
          </a:solidFill>
          <a:ln w="19050">
            <a:noFill/>
          </a:ln>
          <a:effectLst/>
        </c:spPr>
      </c:pivotFmt>
      <c:pivotFmt>
        <c:idx val="19"/>
        <c:spPr>
          <a:solidFill>
            <a:schemeClr val="accent1">
              <a:lumMod val="40000"/>
              <a:lumOff val="60000"/>
            </a:schemeClr>
          </a:solidFill>
          <a:ln w="19050">
            <a:noFill/>
          </a:ln>
          <a:effectLst/>
        </c:spPr>
      </c:pivotFmt>
      <c:pivotFmt>
        <c:idx val="20"/>
        <c:spPr>
          <a:solidFill>
            <a:schemeClr val="accent1">
              <a:lumMod val="20000"/>
              <a:lumOff val="80000"/>
            </a:schemeClr>
          </a:solidFill>
          <a:ln w="19050">
            <a:no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20000"/>
              <a:lumOff val="80000"/>
            </a:schemeClr>
          </a:solidFill>
          <a:ln w="19050">
            <a:solidFill>
              <a:schemeClr val="lt1"/>
            </a:solidFill>
          </a:ln>
          <a:effectLst/>
        </c:spPr>
        <c:dLbl>
          <c:idx val="0"/>
          <c:layout>
            <c:manualLayout>
              <c:x val="7.4088367412571453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60000"/>
              <a:lumOff val="40000"/>
            </a:schemeClr>
          </a:solidFill>
          <a:ln w="19050">
            <a:solidFill>
              <a:schemeClr val="lt1"/>
            </a:solidFill>
          </a:ln>
          <a:effectLst/>
        </c:spPr>
      </c:pivotFmt>
      <c:pivotFmt>
        <c:idx val="26"/>
        <c:spPr>
          <a:solidFill>
            <a:schemeClr val="accent1">
              <a:lumMod val="50000"/>
            </a:schemeClr>
          </a:solidFill>
          <a:ln w="19050">
            <a:solidFill>
              <a:schemeClr val="lt1"/>
            </a:solidFill>
          </a:ln>
          <a:effectLst/>
        </c:spPr>
      </c:pivotFmt>
      <c:pivotFmt>
        <c:idx val="27"/>
        <c:spPr>
          <a:solidFill>
            <a:schemeClr val="accent1">
              <a:lumMod val="60000"/>
              <a:lumOff val="40000"/>
            </a:schemeClr>
          </a:solidFill>
          <a:ln w="19050">
            <a:solidFill>
              <a:schemeClr val="lt1"/>
            </a:solidFill>
          </a:ln>
          <a:effectLst/>
        </c:spPr>
      </c:pivotFmt>
      <c:pivotFmt>
        <c:idx val="28"/>
        <c:spPr>
          <a:solidFill>
            <a:schemeClr val="accent1">
              <a:lumMod val="75000"/>
            </a:schemeClr>
          </a:solidFill>
          <a:ln w="19050">
            <a:solidFill>
              <a:schemeClr val="lt1"/>
            </a:solidFill>
          </a:ln>
          <a:effectLst/>
        </c:spPr>
      </c:pivotFmt>
      <c:pivotFmt>
        <c:idx val="29"/>
        <c:spPr>
          <a:solidFill>
            <a:schemeClr val="accent1">
              <a:lumMod val="40000"/>
              <a:lumOff val="60000"/>
            </a:schemeClr>
          </a:solidFill>
          <a:ln w="19050">
            <a:solidFill>
              <a:schemeClr val="lt1"/>
            </a:solidFill>
          </a:ln>
          <a:effectLst/>
        </c:spPr>
      </c:pivotFmt>
      <c:pivotFmt>
        <c:idx val="30"/>
        <c:spPr>
          <a:solidFill>
            <a:schemeClr val="accent1">
              <a:lumMod val="75000"/>
            </a:schemeClr>
          </a:solidFill>
          <a:ln w="19050">
            <a:solidFill>
              <a:schemeClr val="lt1"/>
            </a:solidFill>
          </a:ln>
          <a:effectLst/>
        </c:spPr>
      </c:pivotFmt>
      <c:pivotFmt>
        <c:idx val="31"/>
        <c:spPr>
          <a:solidFill>
            <a:schemeClr val="accent1">
              <a:lumMod val="50000"/>
            </a:schemeClr>
          </a:solidFill>
          <a:ln w="19050">
            <a:solidFill>
              <a:schemeClr val="lt1"/>
            </a:solidFill>
          </a:ln>
          <a:effectLst/>
        </c:spPr>
      </c:pivotFmt>
      <c:pivotFmt>
        <c:idx val="32"/>
        <c:spPr>
          <a:solidFill>
            <a:schemeClr val="accent1">
              <a:lumMod val="20000"/>
              <a:lumOff val="80000"/>
            </a:schemeClr>
          </a:solidFill>
          <a:ln w="19050">
            <a:solidFill>
              <a:schemeClr val="lt1"/>
            </a:solidFill>
          </a:ln>
          <a:effectLst/>
        </c:spPr>
      </c:pivotFmt>
      <c:pivotFmt>
        <c:idx val="33"/>
        <c:spPr>
          <a:solidFill>
            <a:schemeClr val="accent1">
              <a:lumMod val="40000"/>
              <a:lumOff val="60000"/>
            </a:schemeClr>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50000"/>
            </a:schemeClr>
          </a:solidFill>
          <a:ln w="19050">
            <a:solidFill>
              <a:schemeClr val="lt1"/>
            </a:solidFill>
          </a:ln>
          <a:effectLst/>
        </c:spPr>
      </c:pivotFmt>
      <c:pivotFmt>
        <c:idx val="37"/>
        <c:spPr>
          <a:solidFill>
            <a:schemeClr val="accent1">
              <a:lumMod val="50000"/>
            </a:schemeClr>
          </a:solidFill>
          <a:ln w="19050">
            <a:solidFill>
              <a:schemeClr val="lt1"/>
            </a:solidFill>
          </a:ln>
          <a:effectLst/>
        </c:spPr>
      </c:pivotFmt>
      <c:pivotFmt>
        <c:idx val="38"/>
        <c:spPr>
          <a:solidFill>
            <a:schemeClr val="accent1">
              <a:lumMod val="75000"/>
            </a:schemeClr>
          </a:solidFill>
          <a:ln w="19050">
            <a:solidFill>
              <a:schemeClr val="lt1"/>
            </a:solidFill>
          </a:ln>
          <a:effectLst/>
        </c:spPr>
      </c:pivotFmt>
      <c:pivotFmt>
        <c:idx val="39"/>
        <c:spPr>
          <a:solidFill>
            <a:schemeClr val="accent1">
              <a:lumMod val="75000"/>
            </a:schemeClr>
          </a:solidFill>
          <a:ln w="19050">
            <a:solidFill>
              <a:schemeClr val="lt1"/>
            </a:solidFill>
          </a:ln>
          <a:effectLst/>
        </c:spPr>
      </c:pivotFmt>
      <c:pivotFmt>
        <c:idx val="40"/>
        <c:spPr>
          <a:solidFill>
            <a:schemeClr val="accent1">
              <a:lumMod val="60000"/>
              <a:lumOff val="40000"/>
            </a:schemeClr>
          </a:solidFill>
          <a:ln w="19050">
            <a:solidFill>
              <a:schemeClr val="lt1"/>
            </a:solidFill>
          </a:ln>
          <a:effectLst/>
        </c:spPr>
      </c:pivotFmt>
      <c:pivotFmt>
        <c:idx val="41"/>
        <c:spPr>
          <a:solidFill>
            <a:schemeClr val="accent1">
              <a:lumMod val="60000"/>
              <a:lumOff val="40000"/>
            </a:schemeClr>
          </a:solidFill>
          <a:ln w="19050">
            <a:solidFill>
              <a:schemeClr val="lt1"/>
            </a:solidFill>
          </a:ln>
          <a:effectLst/>
        </c:spPr>
      </c:pivotFmt>
      <c:pivotFmt>
        <c:idx val="42"/>
        <c:spPr>
          <a:solidFill>
            <a:schemeClr val="accent1">
              <a:lumMod val="40000"/>
              <a:lumOff val="60000"/>
            </a:schemeClr>
          </a:solidFill>
          <a:ln w="19050">
            <a:solidFill>
              <a:schemeClr val="lt1"/>
            </a:solidFill>
          </a:ln>
          <a:effectLst/>
        </c:spPr>
      </c:pivotFmt>
      <c:pivotFmt>
        <c:idx val="43"/>
        <c:spPr>
          <a:solidFill>
            <a:schemeClr val="accent1">
              <a:lumMod val="40000"/>
              <a:lumOff val="60000"/>
            </a:schemeClr>
          </a:solidFill>
          <a:ln w="19050">
            <a:solidFill>
              <a:schemeClr val="lt1"/>
            </a:solidFill>
          </a:ln>
          <a:effectLst/>
        </c:spPr>
      </c:pivotFmt>
      <c:pivotFmt>
        <c:idx val="44"/>
        <c:spPr>
          <a:solidFill>
            <a:schemeClr val="accent1">
              <a:lumMod val="20000"/>
              <a:lumOff val="80000"/>
            </a:schemeClr>
          </a:solidFill>
          <a:ln w="19050">
            <a:solidFill>
              <a:schemeClr val="lt1"/>
            </a:solidFill>
          </a:ln>
          <a:effectLst/>
        </c:spPr>
      </c:pivotFmt>
      <c:pivotFmt>
        <c:idx val="45"/>
        <c:spPr>
          <a:solidFill>
            <a:schemeClr val="accent1">
              <a:lumMod val="20000"/>
              <a:lumOff val="80000"/>
            </a:schemeClr>
          </a:solidFill>
          <a:ln w="19050">
            <a:solidFill>
              <a:schemeClr val="lt1"/>
            </a:solidFill>
          </a:ln>
          <a:effectLst/>
        </c:spPr>
        <c:dLbl>
          <c:idx val="0"/>
          <c:layout>
            <c:manualLayout>
              <c:x val="7.4088367412571453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lumMod val="5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Georgia" panose="02040502050405020303" pitchFamily="18" charset="0"/>
                    <a:ea typeface="+mn-ea"/>
                    <a:cs typeface="+mn-cs"/>
                  </a:defRPr>
                </a:pPr>
                <a:fld id="{7D7276E7-E974-4E67-8919-FEA5BB95B6B8}" type="VALUE">
                  <a:rPr lang="en-US" sz="1200" b="0">
                    <a:solidFill>
                      <a:schemeClr val="bg1"/>
                    </a:solidFill>
                    <a:latin typeface="Georgia" panose="02040502050405020303" pitchFamily="18" charset="0"/>
                  </a:rPr>
                  <a:pPr>
                    <a:defRPr sz="1200">
                      <a:solidFill>
                        <a:schemeClr val="bg1"/>
                      </a:solidFill>
                      <a:latin typeface="Georgia" panose="02040502050405020303" pitchFamily="18" charset="0"/>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0.33270186113099504"/>
                  <c:h val="6.7888569790257841E-2"/>
                </c:manualLayout>
              </c15:layout>
              <c15:dlblFieldTable/>
              <c15:showDataLabelsRange val="0"/>
            </c:ext>
          </c:extLst>
        </c:dLbl>
      </c:pivotFmt>
      <c:pivotFmt>
        <c:idx val="48"/>
        <c:spPr>
          <a:solidFill>
            <a:schemeClr val="accent1">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33148675733715099"/>
                  <c:h val="6.7888569790257841E-2"/>
                </c:manualLayout>
              </c15:layout>
            </c:ext>
          </c:extLst>
        </c:dLbl>
      </c:pivotFmt>
      <c:pivotFmt>
        <c:idx val="49"/>
        <c:spPr>
          <a:solidFill>
            <a:schemeClr val="accent1">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3815622763063708"/>
                  <c:h val="6.7888569790257841E-2"/>
                </c:manualLayout>
              </c15:layout>
            </c:ext>
          </c:extLst>
        </c:dLbl>
      </c:pivotFmt>
      <c:pivotFmt>
        <c:idx val="50"/>
        <c:spPr>
          <a:solidFill>
            <a:schemeClr val="accent1">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39825411596277738"/>
                  <c:h val="6.7888569790257841E-2"/>
                </c:manualLayout>
              </c15:layout>
            </c:ext>
          </c:extLst>
        </c:dLbl>
      </c:pivotFmt>
      <c:pivotFmt>
        <c:idx val="51"/>
        <c:spPr>
          <a:solidFill>
            <a:schemeClr val="accent1">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38618324982104502"/>
                  <c:h val="6.7888569790257841E-2"/>
                </c:manualLayout>
              </c15:layout>
            </c:ext>
          </c:extLst>
        </c:dLbl>
      </c:pivotFmt>
      <c:pivotFmt>
        <c:idx val="52"/>
        <c:spPr>
          <a:solidFill>
            <a:schemeClr val="accent1">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36725662133142445"/>
                  <c:h val="6.7888569790257841E-2"/>
                </c:manualLayout>
              </c15:layout>
            </c:ext>
          </c:extLst>
        </c:dLbl>
      </c:pivotFmt>
      <c:pivotFmt>
        <c:idx val="53"/>
        <c:spPr>
          <a:solidFill>
            <a:schemeClr val="accent1">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3407287043664996"/>
                  <c:h val="6.7888569790257841E-2"/>
                </c:manualLayout>
              </c15:layout>
            </c:ext>
          </c:extLst>
        </c:dLbl>
      </c:pivotFmt>
      <c:pivotFmt>
        <c:idx val="54"/>
        <c:spPr>
          <a:solidFill>
            <a:schemeClr val="accent1">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32432068718682894"/>
                  <c:h val="5.9789977875853842E-2"/>
                </c:manualLayout>
              </c15:layout>
            </c:ext>
          </c:extLst>
        </c:dLbl>
      </c:pivotFmt>
      <c:pivotFmt>
        <c:idx val="55"/>
        <c:spPr>
          <a:solidFill>
            <a:schemeClr val="accent1">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31777523264137436"/>
                  <c:h val="5.9789977875853842E-2"/>
                </c:manualLayout>
              </c15:layout>
            </c:ext>
          </c:extLst>
        </c:dLbl>
      </c:pivotFmt>
      <c:pivotFmt>
        <c:idx val="56"/>
        <c:spPr>
          <a:solidFill>
            <a:schemeClr val="accent1">
              <a:lumMod val="20000"/>
              <a:lumOff val="80000"/>
            </a:schemeClr>
          </a:solidFill>
          <a:ln w="19050">
            <a:solidFill>
              <a:schemeClr val="lt1"/>
            </a:solidFill>
          </a:ln>
          <a:effectLst/>
        </c:spPr>
        <c:dLbl>
          <c:idx val="0"/>
          <c:layout>
            <c:manualLayout>
              <c:x val="5.9727582122346641E-2"/>
              <c:y val="-3.1069262853428148E-8"/>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9404831782390839"/>
                  <c:h val="5.9789977875853842E-2"/>
                </c:manualLayout>
              </c15:layout>
            </c:ext>
          </c:extLst>
        </c:dLbl>
      </c:pivotFmt>
    </c:pivotFmts>
    <c:plotArea>
      <c:layout>
        <c:manualLayout>
          <c:layoutTarget val="inner"/>
          <c:xMode val="edge"/>
          <c:yMode val="edge"/>
          <c:x val="0.36719398711524698"/>
          <c:y val="6.5439664371812714E-2"/>
          <c:w val="0.62429527559055109"/>
          <c:h val="0.9105657920251895"/>
        </c:manualLayout>
      </c:layout>
      <c:barChart>
        <c:barDir val="bar"/>
        <c:grouping val="clustered"/>
        <c:varyColors val="0"/>
        <c:ser>
          <c:idx val="0"/>
          <c:order val="0"/>
          <c:tx>
            <c:strRef>
              <c:f>'Profession by annual Income'!$B$3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B889-46C3-9494-E78B1CB99437}"/>
              </c:ext>
            </c:extLst>
          </c:dPt>
          <c:dPt>
            <c:idx val="1"/>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B889-46C3-9494-E78B1CB99437}"/>
              </c:ext>
            </c:extLst>
          </c:dPt>
          <c:dPt>
            <c:idx val="2"/>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B889-46C3-9494-E78B1CB99437}"/>
              </c:ext>
            </c:extLst>
          </c:dPt>
          <c:dPt>
            <c:idx val="3"/>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7-B889-46C3-9494-E78B1CB99437}"/>
              </c:ext>
            </c:extLst>
          </c:dPt>
          <c:dPt>
            <c:idx val="4"/>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9-B889-46C3-9494-E78B1CB99437}"/>
              </c:ext>
            </c:extLst>
          </c:dPt>
          <c:dPt>
            <c:idx val="5"/>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B-B889-46C3-9494-E78B1CB99437}"/>
              </c:ext>
            </c:extLst>
          </c:dPt>
          <c:dPt>
            <c:idx val="6"/>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D-B889-46C3-9494-E78B1CB99437}"/>
              </c:ext>
            </c:extLst>
          </c:dPt>
          <c:dPt>
            <c:idx val="7"/>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F-B889-46C3-9494-E78B1CB99437}"/>
              </c:ext>
            </c:extLst>
          </c:dPt>
          <c:dPt>
            <c:idx val="8"/>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11-B889-46C3-9494-E78B1CB99437}"/>
              </c:ext>
            </c:extLst>
          </c:dPt>
          <c:dPt>
            <c:idx val="9"/>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13-B889-46C3-9494-E78B1CB99437}"/>
              </c:ext>
            </c:extLst>
          </c:dPt>
          <c:dLbls>
            <c:dLbl>
              <c:idx val="0"/>
              <c:tx>
                <c:rich>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Georgia" panose="02040502050405020303" pitchFamily="18" charset="0"/>
                        <a:ea typeface="+mn-ea"/>
                        <a:cs typeface="+mn-cs"/>
                      </a:defRPr>
                    </a:pPr>
                    <a:fld id="{7D7276E7-E974-4E67-8919-FEA5BB95B6B8}" type="VALUE">
                      <a:rPr lang="en-US" sz="1200" b="0">
                        <a:solidFill>
                          <a:schemeClr val="bg1"/>
                        </a:solidFill>
                        <a:latin typeface="Georgia" panose="02040502050405020303" pitchFamily="18" charset="0"/>
                      </a:rPr>
                      <a:pPr>
                        <a:defRPr sz="1200">
                          <a:solidFill>
                            <a:schemeClr val="bg1"/>
                          </a:solidFill>
                          <a:latin typeface="Georgia" panose="02040502050405020303" pitchFamily="18" charset="0"/>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0.33270186113099504"/>
                      <c:h val="6.7888569790257841E-2"/>
                    </c:manualLayout>
                  </c15:layout>
                  <c15:dlblFieldTable/>
                  <c15:showDataLabelsRange val="0"/>
                </c:ext>
                <c:ext xmlns:c16="http://schemas.microsoft.com/office/drawing/2014/chart" uri="{C3380CC4-5D6E-409C-BE32-E72D297353CC}">
                  <c16:uniqueId val="{00000001-B889-46C3-9494-E78B1CB99437}"/>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3148675733715099"/>
                      <c:h val="6.7888569790257841E-2"/>
                    </c:manualLayout>
                  </c15:layout>
                </c:ext>
                <c:ext xmlns:c16="http://schemas.microsoft.com/office/drawing/2014/chart" uri="{C3380CC4-5D6E-409C-BE32-E72D297353CC}">
                  <c16:uniqueId val="{00000003-B889-46C3-9494-E78B1CB99437}"/>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815622763063708"/>
                      <c:h val="6.7888569790257841E-2"/>
                    </c:manualLayout>
                  </c15:layout>
                </c:ext>
                <c:ext xmlns:c16="http://schemas.microsoft.com/office/drawing/2014/chart" uri="{C3380CC4-5D6E-409C-BE32-E72D297353CC}">
                  <c16:uniqueId val="{00000005-B889-46C3-9494-E78B1CB99437}"/>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39825411596277738"/>
                      <c:h val="6.7888569790257841E-2"/>
                    </c:manualLayout>
                  </c15:layout>
                </c:ext>
                <c:ext xmlns:c16="http://schemas.microsoft.com/office/drawing/2014/chart" uri="{C3380CC4-5D6E-409C-BE32-E72D297353CC}">
                  <c16:uniqueId val="{00000007-B889-46C3-9494-E78B1CB99437}"/>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38618324982104502"/>
                      <c:h val="6.7888569790257841E-2"/>
                    </c:manualLayout>
                  </c15:layout>
                </c:ext>
                <c:ext xmlns:c16="http://schemas.microsoft.com/office/drawing/2014/chart" uri="{C3380CC4-5D6E-409C-BE32-E72D297353CC}">
                  <c16:uniqueId val="{00000009-B889-46C3-9494-E78B1CB99437}"/>
                </c:ext>
              </c:extLst>
            </c:dLbl>
            <c:dLbl>
              <c:idx val="5"/>
              <c:dLblPos val="outEnd"/>
              <c:showLegendKey val="0"/>
              <c:showVal val="1"/>
              <c:showCatName val="0"/>
              <c:showSerName val="0"/>
              <c:showPercent val="0"/>
              <c:showBubbleSize val="0"/>
              <c:extLst>
                <c:ext xmlns:c15="http://schemas.microsoft.com/office/drawing/2012/chart" uri="{CE6537A1-D6FC-4f65-9D91-7224C49458BB}">
                  <c15:layout>
                    <c:manualLayout>
                      <c:w val="0.36725662133142445"/>
                      <c:h val="6.7888569790257841E-2"/>
                    </c:manualLayout>
                  </c15:layout>
                </c:ext>
                <c:ext xmlns:c16="http://schemas.microsoft.com/office/drawing/2014/chart" uri="{C3380CC4-5D6E-409C-BE32-E72D297353CC}">
                  <c16:uniqueId val="{0000000B-B889-46C3-9494-E78B1CB99437}"/>
                </c:ext>
              </c:extLst>
            </c:dLbl>
            <c:dLbl>
              <c:idx val="6"/>
              <c:dLblPos val="outEnd"/>
              <c:showLegendKey val="0"/>
              <c:showVal val="1"/>
              <c:showCatName val="0"/>
              <c:showSerName val="0"/>
              <c:showPercent val="0"/>
              <c:showBubbleSize val="0"/>
              <c:extLst>
                <c:ext xmlns:c15="http://schemas.microsoft.com/office/drawing/2012/chart" uri="{CE6537A1-D6FC-4f65-9D91-7224C49458BB}">
                  <c15:layout>
                    <c:manualLayout>
                      <c:w val="0.3407287043664996"/>
                      <c:h val="6.7888569790257841E-2"/>
                    </c:manualLayout>
                  </c15:layout>
                </c:ext>
                <c:ext xmlns:c16="http://schemas.microsoft.com/office/drawing/2014/chart" uri="{C3380CC4-5D6E-409C-BE32-E72D297353CC}">
                  <c16:uniqueId val="{0000000D-B889-46C3-9494-E78B1CB99437}"/>
                </c:ext>
              </c:extLst>
            </c:dLbl>
            <c:dLbl>
              <c:idx val="7"/>
              <c:dLblPos val="outEnd"/>
              <c:showLegendKey val="0"/>
              <c:showVal val="1"/>
              <c:showCatName val="0"/>
              <c:showSerName val="0"/>
              <c:showPercent val="0"/>
              <c:showBubbleSize val="0"/>
              <c:extLst>
                <c:ext xmlns:c15="http://schemas.microsoft.com/office/drawing/2012/chart" uri="{CE6537A1-D6FC-4f65-9D91-7224C49458BB}">
                  <c15:layout>
                    <c:manualLayout>
                      <c:w val="0.32432068718682894"/>
                      <c:h val="5.9789977875853842E-2"/>
                    </c:manualLayout>
                  </c15:layout>
                </c:ext>
                <c:ext xmlns:c16="http://schemas.microsoft.com/office/drawing/2014/chart" uri="{C3380CC4-5D6E-409C-BE32-E72D297353CC}">
                  <c16:uniqueId val="{0000000F-B889-46C3-9494-E78B1CB99437}"/>
                </c:ext>
              </c:extLst>
            </c:dLbl>
            <c:dLbl>
              <c:idx val="8"/>
              <c:dLblPos val="outEnd"/>
              <c:showLegendKey val="0"/>
              <c:showVal val="1"/>
              <c:showCatName val="0"/>
              <c:showSerName val="0"/>
              <c:showPercent val="0"/>
              <c:showBubbleSize val="0"/>
              <c:extLst>
                <c:ext xmlns:c15="http://schemas.microsoft.com/office/drawing/2012/chart" uri="{CE6537A1-D6FC-4f65-9D91-7224C49458BB}">
                  <c15:layout>
                    <c:manualLayout>
                      <c:w val="0.31777523264137436"/>
                      <c:h val="5.9789977875853842E-2"/>
                    </c:manualLayout>
                  </c15:layout>
                </c:ext>
                <c:ext xmlns:c16="http://schemas.microsoft.com/office/drawing/2014/chart" uri="{C3380CC4-5D6E-409C-BE32-E72D297353CC}">
                  <c16:uniqueId val="{00000011-B889-46C3-9494-E78B1CB99437}"/>
                </c:ext>
              </c:extLst>
            </c:dLbl>
            <c:dLbl>
              <c:idx val="9"/>
              <c:layout>
                <c:manualLayout>
                  <c:x val="5.9727582122346641E-2"/>
                  <c:y val="-3.1069262853428148E-8"/>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9404831782390839"/>
                      <c:h val="5.9789977875853842E-2"/>
                    </c:manualLayout>
                  </c15:layout>
                </c:ext>
                <c:ext xmlns:c16="http://schemas.microsoft.com/office/drawing/2014/chart" uri="{C3380CC4-5D6E-409C-BE32-E72D297353CC}">
                  <c16:uniqueId val="{00000013-B889-46C3-9494-E78B1CB9943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'Profession by annual Income'!$A$4:$A$14</c:f>
              <c:strCache>
                <c:ptCount val="10"/>
                <c:pt idx="0">
                  <c:v>Artist</c:v>
                </c:pt>
                <c:pt idx="1">
                  <c:v>Healthcare</c:v>
                </c:pt>
                <c:pt idx="2">
                  <c:v>Entertainment</c:v>
                </c:pt>
                <c:pt idx="3">
                  <c:v>Engineer</c:v>
                </c:pt>
                <c:pt idx="4">
                  <c:v>Doctor</c:v>
                </c:pt>
                <c:pt idx="5">
                  <c:v>Executive</c:v>
                </c:pt>
                <c:pt idx="6">
                  <c:v>Lawyer</c:v>
                </c:pt>
                <c:pt idx="7">
                  <c:v>Marketing</c:v>
                </c:pt>
                <c:pt idx="8">
                  <c:v>Homemaker</c:v>
                </c:pt>
                <c:pt idx="9">
                  <c:v>UNKNOWN</c:v>
                </c:pt>
              </c:strCache>
            </c:strRef>
          </c:cat>
          <c:val>
            <c:numRef>
              <c:f>'Profession by annual Income'!$B$4:$B$14</c:f>
              <c:numCache>
                <c:formatCode>[$$-409]#,##0</c:formatCode>
                <c:ptCount val="10"/>
                <c:pt idx="0">
                  <c:v>66571267</c:v>
                </c:pt>
                <c:pt idx="1">
                  <c:v>38162600</c:v>
                </c:pt>
                <c:pt idx="2">
                  <c:v>25892178</c:v>
                </c:pt>
                <c:pt idx="3">
                  <c:v>19897862</c:v>
                </c:pt>
                <c:pt idx="4">
                  <c:v>17963288</c:v>
                </c:pt>
                <c:pt idx="5">
                  <c:v>17406830</c:v>
                </c:pt>
                <c:pt idx="6">
                  <c:v>15761409</c:v>
                </c:pt>
                <c:pt idx="7">
                  <c:v>9179508</c:v>
                </c:pt>
                <c:pt idx="8">
                  <c:v>6525517</c:v>
                </c:pt>
                <c:pt idx="9">
                  <c:v>4103184</c:v>
                </c:pt>
              </c:numCache>
            </c:numRef>
          </c:val>
          <c:extLst>
            <c:ext xmlns:c16="http://schemas.microsoft.com/office/drawing/2014/chart" uri="{C3380CC4-5D6E-409C-BE32-E72D297353CC}">
              <c16:uniqueId val="{00000014-B889-46C3-9494-E78B1CB99437}"/>
            </c:ext>
          </c:extLst>
        </c:ser>
        <c:dLbls>
          <c:dLblPos val="outEnd"/>
          <c:showLegendKey val="0"/>
          <c:showVal val="1"/>
          <c:showCatName val="0"/>
          <c:showSerName val="0"/>
          <c:showPercent val="0"/>
          <c:showBubbleSize val="0"/>
        </c:dLbls>
        <c:gapWidth val="20"/>
        <c:axId val="645434463"/>
        <c:axId val="645434943"/>
      </c:barChart>
      <c:catAx>
        <c:axId val="64543446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1">
                    <a:lumMod val="50000"/>
                  </a:schemeClr>
                </a:solidFill>
                <a:latin typeface="Georgia" panose="02040502050405020303" pitchFamily="18" charset="0"/>
                <a:ea typeface="+mn-ea"/>
                <a:cs typeface="+mn-cs"/>
              </a:defRPr>
            </a:pPr>
            <a:endParaRPr lang="en-NG"/>
          </a:p>
        </c:txPr>
        <c:crossAx val="645434943"/>
        <c:crosses val="autoZero"/>
        <c:auto val="1"/>
        <c:lblAlgn val="ctr"/>
        <c:lblOffset val="100"/>
        <c:noMultiLvlLbl val="0"/>
      </c:catAx>
      <c:valAx>
        <c:axId val="645434943"/>
        <c:scaling>
          <c:orientation val="minMax"/>
        </c:scaling>
        <c:delete val="1"/>
        <c:axPos val="t"/>
        <c:numFmt formatCode="[$$-409]#,##0" sourceLinked="1"/>
        <c:majorTickMark val="out"/>
        <c:minorTickMark val="none"/>
        <c:tickLblPos val="nextTo"/>
        <c:crossAx val="64543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[CustomersTask24A.xlsx]Age group by annual Income!PivotTable1</c:name>
    <c:fmtId val="11"/>
  </c:pivotSource>
  <c:chart>
    <c:autoTitleDeleted val="1"/>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noFill/>
          </a:ln>
          <a:effectLst/>
        </c:spPr>
      </c:pivotFmt>
      <c:pivotFmt>
        <c:idx val="2"/>
        <c:spPr>
          <a:solidFill>
            <a:schemeClr val="accent1">
              <a:lumMod val="75000"/>
            </a:schemeClr>
          </a:solidFill>
          <a:ln w="19050">
            <a:noFill/>
          </a:ln>
          <a:effectLst/>
        </c:spPr>
      </c:pivotFmt>
      <c:pivotFmt>
        <c:idx val="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19050">
            <a:noFill/>
          </a:ln>
          <a:effectLst/>
        </c:spPr>
      </c:pivotFmt>
      <c:pivotFmt>
        <c:idx val="5"/>
        <c:spPr>
          <a:solidFill>
            <a:schemeClr val="accent1">
              <a:lumMod val="75000"/>
            </a:schemeClr>
          </a:solidFill>
          <a:ln w="19050">
            <a:noFill/>
          </a:ln>
          <a:effectLst/>
        </c:spPr>
      </c:pivotFmt>
      <c:pivotFmt>
        <c:idx val="6"/>
        <c:spPr>
          <a:solidFill>
            <a:schemeClr val="accent1">
              <a:lumMod val="50000"/>
            </a:schemeClr>
          </a:solidFill>
          <a:ln w="19050">
            <a:noFill/>
          </a:ln>
          <a:effectLst/>
        </c:spPr>
      </c:pivotFmt>
      <c:pivotFmt>
        <c:idx val="7"/>
        <c:spPr>
          <a:solidFill>
            <a:schemeClr val="accent1">
              <a:lumMod val="50000"/>
            </a:schemeClr>
          </a:solidFill>
          <a:ln w="19050">
            <a:noFill/>
          </a:ln>
          <a:effectLst/>
        </c:spPr>
      </c:pivotFmt>
      <c:pivotFmt>
        <c:idx val="8"/>
        <c:spPr>
          <a:solidFill>
            <a:schemeClr val="accent1">
              <a:lumMod val="75000"/>
            </a:schemeClr>
          </a:solidFill>
          <a:ln w="19050">
            <a:noFill/>
          </a:ln>
          <a:effectLst/>
        </c:spPr>
      </c:pivotFmt>
      <c:pivotFmt>
        <c:idx val="9"/>
        <c:spPr>
          <a:solidFill>
            <a:schemeClr val="accent1">
              <a:lumMod val="75000"/>
            </a:schemeClr>
          </a:solidFill>
          <a:ln w="19050">
            <a:noFill/>
          </a:ln>
          <a:effectLst/>
        </c:spPr>
      </c:pivotFmt>
      <c:pivotFmt>
        <c:idx val="10"/>
        <c:spPr>
          <a:solidFill>
            <a:schemeClr val="accent1">
              <a:lumMod val="60000"/>
              <a:lumOff val="40000"/>
            </a:schemeClr>
          </a:solidFill>
          <a:ln w="19050">
            <a:noFill/>
          </a:ln>
          <a:effectLst/>
        </c:spPr>
      </c:pivotFmt>
      <c:pivotFmt>
        <c:idx val="11"/>
        <c:spPr>
          <a:solidFill>
            <a:schemeClr val="accent1">
              <a:lumMod val="40000"/>
              <a:lumOff val="60000"/>
            </a:schemeClr>
          </a:solidFill>
          <a:ln w="19050">
            <a:noFill/>
          </a:ln>
          <a:effectLst/>
        </c:spPr>
      </c:pivotFmt>
      <c:pivotFmt>
        <c:idx val="12"/>
        <c:spPr>
          <a:solidFill>
            <a:schemeClr val="accent1">
              <a:lumMod val="20000"/>
              <a:lumOff val="80000"/>
            </a:schemeClr>
          </a:solidFill>
          <a:ln w="19050">
            <a:no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w="19050">
            <a:noFill/>
          </a:ln>
          <a:effectLst/>
        </c:spPr>
      </c:pivotFmt>
      <c:pivotFmt>
        <c:idx val="16"/>
        <c:spPr>
          <a:solidFill>
            <a:schemeClr val="accent1">
              <a:lumMod val="50000"/>
            </a:schemeClr>
          </a:solidFill>
          <a:ln w="19050">
            <a:noFill/>
          </a:ln>
          <a:effectLst/>
        </c:spPr>
      </c:pivotFmt>
      <c:pivotFmt>
        <c:idx val="17"/>
        <c:spPr>
          <a:solidFill>
            <a:schemeClr val="accent1">
              <a:lumMod val="75000"/>
            </a:schemeClr>
          </a:solidFill>
          <a:ln w="19050">
            <a:noFill/>
          </a:ln>
          <a:effectLst/>
        </c:spPr>
      </c:pivotFmt>
      <c:pivotFmt>
        <c:idx val="18"/>
        <c:spPr>
          <a:solidFill>
            <a:schemeClr val="accent1">
              <a:lumMod val="75000"/>
            </a:schemeClr>
          </a:solidFill>
          <a:ln w="19050">
            <a:noFill/>
          </a:ln>
          <a:effectLst/>
        </c:spPr>
      </c:pivotFmt>
      <c:pivotFmt>
        <c:idx val="19"/>
        <c:spPr>
          <a:solidFill>
            <a:schemeClr val="accent1">
              <a:lumMod val="60000"/>
              <a:lumOff val="40000"/>
            </a:schemeClr>
          </a:solidFill>
          <a:ln w="19050">
            <a:noFill/>
          </a:ln>
          <a:effectLst/>
        </c:spPr>
      </c:pivotFmt>
      <c:pivotFmt>
        <c:idx val="20"/>
        <c:spPr>
          <a:solidFill>
            <a:schemeClr val="accent1">
              <a:lumMod val="40000"/>
              <a:lumOff val="60000"/>
            </a:schemeClr>
          </a:solidFill>
          <a:ln w="19050">
            <a:noFill/>
          </a:ln>
          <a:effectLst/>
        </c:spPr>
      </c:pivotFmt>
      <c:pivotFmt>
        <c:idx val="21"/>
        <c:spPr>
          <a:solidFill>
            <a:schemeClr val="accent1">
              <a:lumMod val="20000"/>
              <a:lumOff val="80000"/>
            </a:schemeClr>
          </a:solidFill>
          <a:ln w="19050">
            <a:noFill/>
          </a:ln>
          <a:effectLst/>
        </c:spPr>
      </c:pivotFmt>
      <c:pivotFmt>
        <c:idx val="22"/>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1"/>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50000"/>
            </a:schemeClr>
          </a:solidFill>
          <a:ln w="19050">
            <a:noFill/>
          </a:ln>
          <a:effectLst/>
        </c:spPr>
      </c:pivotFmt>
      <c:pivotFmt>
        <c:idx val="24"/>
        <c:spPr>
          <a:solidFill>
            <a:schemeClr val="accent1">
              <a:lumMod val="50000"/>
            </a:schemeClr>
          </a:solidFill>
          <a:ln w="19050">
            <a:noFill/>
          </a:ln>
          <a:effectLst/>
        </c:spPr>
      </c:pivotFmt>
      <c:pivotFmt>
        <c:idx val="25"/>
        <c:spPr>
          <a:solidFill>
            <a:schemeClr val="accent1">
              <a:lumMod val="75000"/>
            </a:schemeClr>
          </a:solidFill>
          <a:ln w="19050">
            <a:noFill/>
          </a:ln>
          <a:effectLst/>
        </c:spPr>
      </c:pivotFmt>
      <c:pivotFmt>
        <c:idx val="26"/>
        <c:spPr>
          <a:solidFill>
            <a:schemeClr val="accent1">
              <a:lumMod val="75000"/>
            </a:schemeClr>
          </a:solidFill>
          <a:ln w="19050">
            <a:noFill/>
          </a:ln>
          <a:effectLst/>
        </c:spPr>
      </c:pivotFmt>
      <c:pivotFmt>
        <c:idx val="27"/>
        <c:spPr>
          <a:solidFill>
            <a:schemeClr val="accent1">
              <a:lumMod val="60000"/>
              <a:lumOff val="40000"/>
            </a:schemeClr>
          </a:solidFill>
          <a:ln w="19050">
            <a:noFill/>
          </a:ln>
          <a:effectLst/>
        </c:spPr>
        <c:dLbl>
          <c:idx val="0"/>
          <c:tx>
            <c:rich>
              <a:bodyPr rot="0" spcFirstLastPara="1" vertOverflow="ellipsis" vert="horz" wrap="square" lIns="38100" tIns="19050" rIns="38100" bIns="19050" anchor="ctr" anchorCtr="0">
                <a:spAutoFit/>
              </a:bodyPr>
              <a:lstStyle/>
              <a:p>
                <a:pPr algn="ctr">
                  <a:defRPr lang="en-US" sz="1200" b="0" i="0" u="none" strike="noStrike" kern="1200" baseline="0">
                    <a:solidFill>
                      <a:schemeClr val="bg1"/>
                    </a:solidFill>
                    <a:latin typeface="Georgia" panose="02040502050405020303" pitchFamily="18" charset="0"/>
                    <a:ea typeface="+mn-ea"/>
                    <a:cs typeface="+mn-cs"/>
                  </a:defRPr>
                </a:pPr>
                <a:fld id="{439A8847-0E34-44DD-850B-A2930C9D6B15}" type="VALUE">
                  <a:rPr lang="en-US" sz="1050"/>
                  <a:pPr algn="ctr">
                    <a:defRPr lang="en-US" sz="1200">
                      <a:solidFill>
                        <a:schemeClr val="bg1"/>
                      </a:solidFill>
                      <a:latin typeface="Georgia" panose="02040502050405020303" pitchFamily="18" charset="0"/>
                    </a:defRPr>
                  </a:pPr>
                  <a:t>[VALUE]</a:t>
                </a:fld>
                <a:endParaRPr lang="en-NG"/>
              </a:p>
            </c:rich>
          </c:tx>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1"/>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solidFill>
            <a:schemeClr val="accent1">
              <a:lumMod val="40000"/>
              <a:lumOff val="60000"/>
            </a:schemeClr>
          </a:solidFill>
          <a:ln w="19050">
            <a:noFill/>
          </a:ln>
          <a:effectLst/>
        </c:spPr>
        <c:dLbl>
          <c:idx val="0"/>
          <c:tx>
            <c:rich>
              <a:bodyPr rot="0" spcFirstLastPara="1" vertOverflow="ellipsis" vert="horz" wrap="square" lIns="38100" tIns="19050" rIns="38100" bIns="19050" anchor="ctr" anchorCtr="0">
                <a:spAutoFit/>
              </a:bodyPr>
              <a:lstStyle/>
              <a:p>
                <a:pPr algn="ctr">
                  <a:defRPr lang="en-US" sz="1200" b="0" i="0" u="none" strike="noStrike" kern="1200" baseline="0">
                    <a:solidFill>
                      <a:schemeClr val="bg1"/>
                    </a:solidFill>
                    <a:latin typeface="Georgia" panose="02040502050405020303" pitchFamily="18" charset="0"/>
                    <a:ea typeface="+mn-ea"/>
                    <a:cs typeface="+mn-cs"/>
                  </a:defRPr>
                </a:pPr>
                <a:fld id="{29D9A731-7DB4-4AED-BD63-E9DDE9234681}" type="VALUE">
                  <a:rPr lang="en-US" sz="1050">
                    <a:solidFill>
                      <a:schemeClr val="accent1">
                        <a:lumMod val="50000"/>
                      </a:schemeClr>
                    </a:solidFill>
                  </a:rPr>
                  <a:pPr algn="ctr">
                    <a:defRPr lang="en-US" sz="1200">
                      <a:solidFill>
                        <a:schemeClr val="bg1"/>
                      </a:solidFill>
                      <a:latin typeface="Georgia" panose="02040502050405020303" pitchFamily="18" charset="0"/>
                    </a:defRPr>
                  </a:pPr>
                  <a:t>[VALUE]</a:t>
                </a:fld>
                <a:endParaRPr lang="en-NG"/>
              </a:p>
            </c:rich>
          </c:tx>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1"/>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spPr>
          <a:solidFill>
            <a:schemeClr val="accent1">
              <a:lumMod val="20000"/>
              <a:lumOff val="80000"/>
            </a:schemeClr>
          </a:solidFill>
          <a:ln w="19050">
            <a:noFill/>
          </a:ln>
          <a:effectLst/>
        </c:spPr>
        <c:dLbl>
          <c:idx val="0"/>
          <c:tx>
            <c:rich>
              <a:bodyPr rot="0" spcFirstLastPara="1" vertOverflow="ellipsis" vert="horz" wrap="square" lIns="38100" tIns="19050" rIns="38100" bIns="19050" anchor="ctr" anchorCtr="0">
                <a:spAutoFit/>
              </a:bodyPr>
              <a:lstStyle/>
              <a:p>
                <a:pPr algn="ctr">
                  <a:defRPr lang="en-US" sz="1200" b="0" i="0" u="none" strike="noStrike" kern="1200" baseline="0">
                    <a:solidFill>
                      <a:schemeClr val="bg1"/>
                    </a:solidFill>
                    <a:latin typeface="Georgia" panose="02040502050405020303" pitchFamily="18" charset="0"/>
                    <a:ea typeface="+mn-ea"/>
                    <a:cs typeface="+mn-cs"/>
                  </a:defRPr>
                </a:pPr>
                <a:fld id="{89547F30-E5EB-4C97-BD96-4C2520BD7EB4}" type="VALUE">
                  <a:rPr lang="en-US" sz="1050">
                    <a:solidFill>
                      <a:schemeClr val="accent1">
                        <a:lumMod val="50000"/>
                      </a:schemeClr>
                    </a:solidFill>
                  </a:rPr>
                  <a:pPr algn="ctr">
                    <a:defRPr lang="en-US" sz="1200">
                      <a:solidFill>
                        <a:schemeClr val="bg1"/>
                      </a:solidFill>
                      <a:latin typeface="Georgia" panose="02040502050405020303" pitchFamily="18" charset="0"/>
                    </a:defRPr>
                  </a:pPr>
                  <a:t>[VALUE]</a:t>
                </a:fld>
                <a:endParaRPr lang="en-NG"/>
              </a:p>
            </c:rich>
          </c:tx>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1"/>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0369267389884277"/>
          <c:y val="0.16231891467256176"/>
          <c:w val="0.79408972417397383"/>
          <c:h val="0.80289846075474647"/>
        </c:manualLayout>
      </c:layout>
      <c:barChart>
        <c:barDir val="bar"/>
        <c:grouping val="clustered"/>
        <c:varyColors val="0"/>
        <c:ser>
          <c:idx val="0"/>
          <c:order val="0"/>
          <c:tx>
            <c:strRef>
              <c:f>'Age group by annual Income'!$B$3</c:f>
              <c:strCache>
                <c:ptCount val="1"/>
                <c:pt idx="0">
                  <c:v>Total</c:v>
                </c:pt>
              </c:strCache>
            </c:strRef>
          </c:tx>
          <c:spPr>
            <a:solidFill>
              <a:schemeClr val="accent6">
                <a:lumMod val="50000"/>
              </a:schemeClr>
            </a:solidFill>
            <a:ln w="19050">
              <a:noFill/>
            </a:ln>
            <a:effectLst/>
          </c:spPr>
          <c:invertIfNegative val="0"/>
          <c:dPt>
            <c:idx val="0"/>
            <c:invertIfNegative val="0"/>
            <c:bubble3D val="0"/>
            <c:explosion val="6"/>
            <c:spPr>
              <a:solidFill>
                <a:schemeClr val="accent1">
                  <a:lumMod val="50000"/>
                </a:schemeClr>
              </a:solidFill>
              <a:ln w="19050">
                <a:noFill/>
              </a:ln>
              <a:effectLst/>
            </c:spPr>
            <c:extLst>
              <c:ext xmlns:c16="http://schemas.microsoft.com/office/drawing/2014/chart" uri="{C3380CC4-5D6E-409C-BE32-E72D297353CC}">
                <c16:uniqueId val="{00000001-4485-4CDB-A9DC-5A8EF822FD67}"/>
              </c:ext>
            </c:extLst>
          </c:dPt>
          <c:dPt>
            <c:idx val="1"/>
            <c:invertIfNegative val="0"/>
            <c:bubble3D val="0"/>
            <c:spPr>
              <a:solidFill>
                <a:schemeClr val="accent1">
                  <a:lumMod val="50000"/>
                </a:schemeClr>
              </a:solidFill>
              <a:ln w="19050">
                <a:noFill/>
              </a:ln>
              <a:effectLst/>
            </c:spPr>
            <c:extLst>
              <c:ext xmlns:c16="http://schemas.microsoft.com/office/drawing/2014/chart" uri="{C3380CC4-5D6E-409C-BE32-E72D297353CC}">
                <c16:uniqueId val="{00000003-4485-4CDB-A9DC-5A8EF822FD67}"/>
              </c:ext>
            </c:extLst>
          </c:dPt>
          <c:dPt>
            <c:idx val="2"/>
            <c:invertIfNegative val="0"/>
            <c:bubble3D val="0"/>
            <c:spPr>
              <a:solidFill>
                <a:schemeClr val="accent1">
                  <a:lumMod val="75000"/>
                </a:schemeClr>
              </a:solidFill>
              <a:ln w="19050">
                <a:noFill/>
              </a:ln>
              <a:effectLst/>
            </c:spPr>
            <c:extLst>
              <c:ext xmlns:c16="http://schemas.microsoft.com/office/drawing/2014/chart" uri="{C3380CC4-5D6E-409C-BE32-E72D297353CC}">
                <c16:uniqueId val="{00000005-4485-4CDB-A9DC-5A8EF822FD67}"/>
              </c:ext>
            </c:extLst>
          </c:dPt>
          <c:dPt>
            <c:idx val="3"/>
            <c:invertIfNegative val="0"/>
            <c:bubble3D val="0"/>
            <c:spPr>
              <a:solidFill>
                <a:schemeClr val="accent1">
                  <a:lumMod val="75000"/>
                </a:schemeClr>
              </a:solidFill>
              <a:ln w="19050">
                <a:noFill/>
              </a:ln>
              <a:effectLst/>
            </c:spPr>
            <c:extLst>
              <c:ext xmlns:c16="http://schemas.microsoft.com/office/drawing/2014/chart" uri="{C3380CC4-5D6E-409C-BE32-E72D297353CC}">
                <c16:uniqueId val="{00000007-4485-4CDB-A9DC-5A8EF822FD67}"/>
              </c:ext>
            </c:extLst>
          </c:dPt>
          <c:dPt>
            <c:idx val="4"/>
            <c:invertIfNegative val="0"/>
            <c:bubble3D val="0"/>
            <c:spPr>
              <a:solidFill>
                <a:schemeClr val="accent1">
                  <a:lumMod val="60000"/>
                  <a:lumOff val="40000"/>
                </a:schemeClr>
              </a:solidFill>
              <a:ln w="19050">
                <a:noFill/>
              </a:ln>
              <a:effectLst/>
            </c:spPr>
            <c:extLst>
              <c:ext xmlns:c16="http://schemas.microsoft.com/office/drawing/2014/chart" uri="{C3380CC4-5D6E-409C-BE32-E72D297353CC}">
                <c16:uniqueId val="{00000009-4485-4CDB-A9DC-5A8EF822FD67}"/>
              </c:ext>
            </c:extLst>
          </c:dPt>
          <c:dPt>
            <c:idx val="5"/>
            <c:invertIfNegative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B-4485-4CDB-A9DC-5A8EF822FD67}"/>
              </c:ext>
            </c:extLst>
          </c:dPt>
          <c:dPt>
            <c:idx val="6"/>
            <c:invertIfNegative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D-4485-4CDB-A9DC-5A8EF822FD67}"/>
              </c:ext>
            </c:extLst>
          </c:dPt>
          <c:dLbls>
            <c:dLbl>
              <c:idx val="4"/>
              <c:tx>
                <c:rich>
                  <a:bodyPr/>
                  <a:lstStyle/>
                  <a:p>
                    <a:fld id="{439A8847-0E34-44DD-850B-A2930C9D6B15}" type="VALUE">
                      <a:rPr lang="en-US" sz="1050"/>
                      <a:pPr/>
                      <a:t>[VALUE]</a:t>
                    </a:fld>
                    <a:endParaRPr lang="en-NG"/>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4485-4CDB-A9DC-5A8EF822FD67}"/>
                </c:ext>
              </c:extLst>
            </c:dLbl>
            <c:dLbl>
              <c:idx val="5"/>
              <c:tx>
                <c:rich>
                  <a:bodyPr/>
                  <a:lstStyle/>
                  <a:p>
                    <a:fld id="{29D9A731-7DB4-4AED-BD63-E9DDE9234681}" type="VALUE">
                      <a:rPr lang="en-US" sz="1050">
                        <a:solidFill>
                          <a:schemeClr val="accent1">
                            <a:lumMod val="50000"/>
                          </a:schemeClr>
                        </a:solidFill>
                      </a:rPr>
                      <a:pPr/>
                      <a:t>[VALUE]</a:t>
                    </a:fld>
                    <a:endParaRPr lang="en-NG"/>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4485-4CDB-A9DC-5A8EF822FD67}"/>
                </c:ext>
              </c:extLst>
            </c:dLbl>
            <c:dLbl>
              <c:idx val="6"/>
              <c:tx>
                <c:rich>
                  <a:bodyPr/>
                  <a:lstStyle/>
                  <a:p>
                    <a:fld id="{89547F30-E5EB-4C97-BD96-4C2520BD7EB4}" type="VALUE">
                      <a:rPr lang="en-US" sz="1050">
                        <a:solidFill>
                          <a:schemeClr val="accent1">
                            <a:lumMod val="50000"/>
                          </a:schemeClr>
                        </a:solidFill>
                      </a:rPr>
                      <a:pPr/>
                      <a:t>[VALUE]</a:t>
                    </a:fld>
                    <a:endParaRPr lang="en-NG"/>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4485-4CDB-A9DC-5A8EF822FD67}"/>
                </c:ext>
              </c:extLst>
            </c:dLbl>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1"/>
                    </a:solidFill>
                    <a:latin typeface="Georgia" panose="02040502050405020303" pitchFamily="18" charset="0"/>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by annual Income'!$A$4:$A$11</c:f>
              <c:strCache>
                <c:ptCount val="7"/>
                <c:pt idx="0">
                  <c:v>Silent</c:v>
                </c:pt>
                <c:pt idx="1">
                  <c:v>Baby Boomers</c:v>
                </c:pt>
                <c:pt idx="2">
                  <c:v>Millenials</c:v>
                </c:pt>
                <c:pt idx="3">
                  <c:v>Gen Z</c:v>
                </c:pt>
                <c:pt idx="4">
                  <c:v>Gen X</c:v>
                </c:pt>
                <c:pt idx="5">
                  <c:v>Gen A</c:v>
                </c:pt>
                <c:pt idx="6">
                  <c:v>Greatest</c:v>
                </c:pt>
              </c:strCache>
            </c:strRef>
          </c:cat>
          <c:val>
            <c:numRef>
              <c:f>'Age group by annual Income'!$B$4:$B$11</c:f>
              <c:numCache>
                <c:formatCode>[$$-409]#,##0</c:formatCode>
                <c:ptCount val="7"/>
                <c:pt idx="0">
                  <c:v>41760252</c:v>
                </c:pt>
                <c:pt idx="1">
                  <c:v>40514275</c:v>
                </c:pt>
                <c:pt idx="2">
                  <c:v>37394830</c:v>
                </c:pt>
                <c:pt idx="3">
                  <c:v>36952078</c:v>
                </c:pt>
                <c:pt idx="4">
                  <c:v>33504512</c:v>
                </c:pt>
                <c:pt idx="5">
                  <c:v>25361080</c:v>
                </c:pt>
                <c:pt idx="6">
                  <c:v>5976616</c:v>
                </c:pt>
              </c:numCache>
            </c:numRef>
          </c:val>
          <c:extLst>
            <c:ext xmlns:c16="http://schemas.microsoft.com/office/drawing/2014/chart" uri="{C3380CC4-5D6E-409C-BE32-E72D297353CC}">
              <c16:uniqueId val="{0000000E-4485-4CDB-A9DC-5A8EF822FD67}"/>
            </c:ext>
          </c:extLst>
        </c:ser>
        <c:dLbls>
          <c:dLblPos val="outEnd"/>
          <c:showLegendKey val="0"/>
          <c:showVal val="1"/>
          <c:showCatName val="0"/>
          <c:showSerName val="0"/>
          <c:showPercent val="0"/>
          <c:showBubbleSize val="0"/>
        </c:dLbls>
        <c:gapWidth val="20"/>
        <c:axId val="645434463"/>
        <c:axId val="645434943"/>
      </c:barChart>
      <c:catAx>
        <c:axId val="64543446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chemeClr val="accent1">
                    <a:lumMod val="50000"/>
                  </a:schemeClr>
                </a:solidFill>
                <a:latin typeface="Georgia" panose="02040502050405020303" pitchFamily="18" charset="0"/>
                <a:ea typeface="Georgia" panose="02040502050405020303" pitchFamily="18" charset="0"/>
                <a:cs typeface="Georgia" panose="02040502050405020303" pitchFamily="18" charset="0"/>
              </a:defRPr>
            </a:pPr>
            <a:endParaRPr lang="en-NG"/>
          </a:p>
        </c:txPr>
        <c:crossAx val="645434943"/>
        <c:crosses val="autoZero"/>
        <c:auto val="1"/>
        <c:lblAlgn val="ctr"/>
        <c:lblOffset val="100"/>
        <c:noMultiLvlLbl val="0"/>
      </c:catAx>
      <c:valAx>
        <c:axId val="645434943"/>
        <c:scaling>
          <c:orientation val="minMax"/>
        </c:scaling>
        <c:delete val="1"/>
        <c:axPos val="t"/>
        <c:numFmt formatCode="[$$-409]#,##0" sourceLinked="1"/>
        <c:majorTickMark val="out"/>
        <c:minorTickMark val="none"/>
        <c:tickLblPos val="nextTo"/>
        <c:crossAx val="64543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[CustomersTask24A.xlsx]Top 5 years by income!PivotTable1</c:name>
    <c:fmtId val="23"/>
  </c:pivotSource>
  <c:chart>
    <c:autoTitleDeleted val="1"/>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noFill/>
          </a:ln>
          <a:effectLst/>
        </c:spPr>
      </c:pivotFmt>
      <c:pivotFmt>
        <c:idx val="2"/>
        <c:spPr>
          <a:solidFill>
            <a:schemeClr val="accent1">
              <a:lumMod val="75000"/>
            </a:schemeClr>
          </a:solidFill>
          <a:ln w="19050">
            <a:noFill/>
          </a:ln>
          <a:effectLst/>
        </c:spPr>
      </c:pivotFmt>
      <c:pivotFmt>
        <c:idx val="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19050">
            <a:noFill/>
          </a:ln>
          <a:effectLst/>
        </c:spPr>
      </c:pivotFmt>
      <c:pivotFmt>
        <c:idx val="5"/>
        <c:spPr>
          <a:solidFill>
            <a:schemeClr val="accent1">
              <a:lumMod val="75000"/>
            </a:schemeClr>
          </a:solidFill>
          <a:ln w="19050">
            <a:noFill/>
          </a:ln>
          <a:effectLst/>
        </c:spPr>
      </c:pivotFmt>
      <c:pivotFmt>
        <c:idx val="6"/>
        <c:spPr>
          <a:solidFill>
            <a:schemeClr val="accent1">
              <a:lumMod val="50000"/>
            </a:schemeClr>
          </a:solidFill>
          <a:ln w="19050">
            <a:noFill/>
          </a:ln>
          <a:effectLst/>
        </c:spPr>
      </c:pivotFmt>
      <c:pivotFmt>
        <c:idx val="7"/>
        <c:spPr>
          <a:solidFill>
            <a:schemeClr val="accent1">
              <a:lumMod val="50000"/>
            </a:schemeClr>
          </a:solidFill>
          <a:ln w="19050">
            <a:noFill/>
          </a:ln>
          <a:effectLst/>
        </c:spPr>
      </c:pivotFmt>
      <c:pivotFmt>
        <c:idx val="8"/>
        <c:spPr>
          <a:solidFill>
            <a:schemeClr val="accent1">
              <a:lumMod val="75000"/>
            </a:schemeClr>
          </a:solidFill>
          <a:ln w="19050">
            <a:noFill/>
          </a:ln>
          <a:effectLst/>
        </c:spPr>
      </c:pivotFmt>
      <c:pivotFmt>
        <c:idx val="9"/>
        <c:spPr>
          <a:solidFill>
            <a:schemeClr val="accent1">
              <a:lumMod val="75000"/>
            </a:schemeClr>
          </a:solidFill>
          <a:ln w="19050">
            <a:noFill/>
          </a:ln>
          <a:effectLst/>
        </c:spPr>
      </c:pivotFmt>
      <c:pivotFmt>
        <c:idx val="10"/>
        <c:spPr>
          <a:solidFill>
            <a:schemeClr val="accent1">
              <a:lumMod val="60000"/>
              <a:lumOff val="40000"/>
            </a:schemeClr>
          </a:solidFill>
          <a:ln w="19050">
            <a:noFill/>
          </a:ln>
          <a:effectLst/>
        </c:spPr>
      </c:pivotFmt>
      <c:pivotFmt>
        <c:idx val="11"/>
        <c:spPr>
          <a:solidFill>
            <a:schemeClr val="accent1">
              <a:lumMod val="40000"/>
              <a:lumOff val="60000"/>
            </a:schemeClr>
          </a:solidFill>
          <a:ln w="19050">
            <a:noFill/>
          </a:ln>
          <a:effectLst/>
        </c:spPr>
      </c:pivotFmt>
      <c:pivotFmt>
        <c:idx val="12"/>
        <c:spPr>
          <a:solidFill>
            <a:schemeClr val="accent1">
              <a:lumMod val="20000"/>
              <a:lumOff val="80000"/>
            </a:schemeClr>
          </a:solidFill>
          <a:ln w="19050">
            <a:noFill/>
          </a:ln>
          <a:effectLst/>
        </c:spPr>
      </c:pivotFmt>
      <c:pivotFmt>
        <c:idx val="1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w="19050">
            <a:noFill/>
          </a:ln>
          <a:effectLst/>
        </c:spPr>
      </c:pivotFmt>
      <c:pivotFmt>
        <c:idx val="15"/>
        <c:spPr>
          <a:solidFill>
            <a:schemeClr val="accent1">
              <a:lumMod val="50000"/>
            </a:schemeClr>
          </a:solidFill>
          <a:ln w="19050">
            <a:noFill/>
          </a:ln>
          <a:effectLst/>
        </c:spPr>
      </c:pivotFmt>
      <c:pivotFmt>
        <c:idx val="16"/>
        <c:spPr>
          <a:solidFill>
            <a:schemeClr val="accent1">
              <a:lumMod val="75000"/>
            </a:schemeClr>
          </a:solidFill>
          <a:ln w="19050">
            <a:noFill/>
          </a:ln>
          <a:effectLst/>
        </c:spPr>
      </c:pivotFmt>
      <c:pivotFmt>
        <c:idx val="17"/>
        <c:spPr>
          <a:solidFill>
            <a:schemeClr val="accent1">
              <a:lumMod val="75000"/>
            </a:schemeClr>
          </a:solidFill>
          <a:ln w="19050">
            <a:noFill/>
          </a:ln>
          <a:effectLst/>
        </c:spPr>
      </c:pivotFmt>
      <c:pivotFmt>
        <c:idx val="18"/>
        <c:spPr>
          <a:solidFill>
            <a:schemeClr val="accent1">
              <a:lumMod val="60000"/>
              <a:lumOff val="40000"/>
            </a:schemeClr>
          </a:solidFill>
          <a:ln w="19050">
            <a:noFill/>
          </a:ln>
          <a:effectLst/>
        </c:spPr>
      </c:pivotFmt>
      <c:pivotFmt>
        <c:idx val="19"/>
        <c:spPr>
          <a:solidFill>
            <a:schemeClr val="accent1">
              <a:lumMod val="40000"/>
              <a:lumOff val="60000"/>
            </a:schemeClr>
          </a:solidFill>
          <a:ln w="19050">
            <a:noFill/>
          </a:ln>
          <a:effectLst/>
        </c:spPr>
      </c:pivotFmt>
      <c:pivotFmt>
        <c:idx val="20"/>
        <c:spPr>
          <a:solidFill>
            <a:schemeClr val="accent1">
              <a:lumMod val="20000"/>
              <a:lumOff val="80000"/>
            </a:schemeClr>
          </a:solidFill>
          <a:ln w="19050">
            <a:no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50000"/>
            </a:schemeClr>
          </a:solidFill>
          <a:ln w="19050">
            <a:solidFill>
              <a:schemeClr val="lt1"/>
            </a:solidFill>
          </a:ln>
          <a:effectLst/>
        </c:spPr>
      </c:pivotFmt>
      <c:pivotFmt>
        <c:idx val="26"/>
        <c:spPr>
          <a:solidFill>
            <a:schemeClr val="accent1">
              <a:lumMod val="75000"/>
            </a:schemeClr>
          </a:solidFill>
          <a:ln w="19050">
            <a:solidFill>
              <a:schemeClr val="lt1"/>
            </a:solidFill>
          </a:ln>
          <a:effectLst/>
        </c:spPr>
      </c:pivotFmt>
      <c:pivotFmt>
        <c:idx val="27"/>
        <c:spPr>
          <a:solidFill>
            <a:schemeClr val="accent1">
              <a:lumMod val="75000"/>
            </a:schemeClr>
          </a:solidFill>
          <a:ln w="19050">
            <a:solidFill>
              <a:schemeClr val="lt1"/>
            </a:solidFill>
          </a:ln>
          <a:effectLst/>
        </c:spPr>
      </c:pivotFmt>
      <c:pivotFmt>
        <c:idx val="28"/>
        <c:spPr>
          <a:solidFill>
            <a:schemeClr val="accent1">
              <a:lumMod val="60000"/>
              <a:lumOff val="40000"/>
            </a:schemeClr>
          </a:solidFill>
          <a:ln w="19050">
            <a:solidFill>
              <a:schemeClr val="lt1"/>
            </a:solidFill>
          </a:ln>
          <a:effectLst/>
        </c:spPr>
      </c:pivotFmt>
      <c:pivotFmt>
        <c:idx val="29"/>
        <c:spPr>
          <a:solidFill>
            <a:schemeClr val="accent1">
              <a:lumMod val="60000"/>
              <a:lumOff val="40000"/>
            </a:schemeClr>
          </a:solidFill>
          <a:ln w="19050">
            <a:solidFill>
              <a:schemeClr val="lt1"/>
            </a:solidFill>
          </a:ln>
          <a:effectLst/>
        </c:spPr>
      </c:pivotFmt>
      <c:pivotFmt>
        <c:idx val="30"/>
        <c:spPr>
          <a:solidFill>
            <a:schemeClr val="accent1">
              <a:lumMod val="40000"/>
              <a:lumOff val="60000"/>
            </a:schemeClr>
          </a:solidFill>
          <a:ln w="19050">
            <a:solidFill>
              <a:schemeClr val="lt1"/>
            </a:solidFill>
          </a:ln>
          <a:effectLst/>
        </c:spPr>
      </c:pivotFmt>
      <c:pivotFmt>
        <c:idx val="31"/>
        <c:spPr>
          <a:solidFill>
            <a:schemeClr val="accent1">
              <a:lumMod val="40000"/>
              <a:lumOff val="60000"/>
            </a:schemeClr>
          </a:solidFill>
          <a:ln w="19050">
            <a:solidFill>
              <a:schemeClr val="lt1"/>
            </a:solidFill>
          </a:ln>
          <a:effectLst/>
        </c:spPr>
      </c:pivotFmt>
      <c:pivotFmt>
        <c:idx val="32"/>
        <c:spPr>
          <a:solidFill>
            <a:schemeClr val="accent1">
              <a:lumMod val="20000"/>
              <a:lumOff val="80000"/>
            </a:schemeClr>
          </a:solidFill>
          <a:ln w="19050">
            <a:solidFill>
              <a:schemeClr val="lt1"/>
            </a:solidFill>
          </a:ln>
          <a:effectLst/>
        </c:spPr>
      </c:pivotFmt>
      <c:pivotFmt>
        <c:idx val="33"/>
        <c:spPr>
          <a:solidFill>
            <a:schemeClr val="accent1">
              <a:lumMod val="20000"/>
              <a:lumOff val="80000"/>
            </a:schemeClr>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50000"/>
            </a:schemeClr>
          </a:solidFill>
          <a:ln w="19050">
            <a:solidFill>
              <a:schemeClr val="lt1"/>
            </a:solidFill>
          </a:ln>
          <a:effectLst/>
        </c:spPr>
      </c:pivotFmt>
      <c:pivotFmt>
        <c:idx val="37"/>
        <c:spPr>
          <a:solidFill>
            <a:schemeClr val="accent1">
              <a:lumMod val="75000"/>
            </a:schemeClr>
          </a:solidFill>
          <a:ln w="19050">
            <a:solidFill>
              <a:schemeClr val="lt1"/>
            </a:solidFill>
          </a:ln>
          <a:effectLst/>
        </c:spPr>
      </c:pivotFmt>
      <c:pivotFmt>
        <c:idx val="38"/>
        <c:spPr>
          <a:solidFill>
            <a:schemeClr val="accent1">
              <a:lumMod val="75000"/>
            </a:schemeClr>
          </a:solidFill>
          <a:ln w="19050">
            <a:solidFill>
              <a:schemeClr val="lt1"/>
            </a:solidFill>
          </a:ln>
          <a:effectLst/>
        </c:spPr>
      </c:pivotFmt>
      <c:pivotFmt>
        <c:idx val="39"/>
        <c:spPr>
          <a:solidFill>
            <a:schemeClr val="accent1">
              <a:lumMod val="60000"/>
              <a:lumOff val="40000"/>
            </a:schemeClr>
          </a:solidFill>
          <a:ln w="19050">
            <a:solidFill>
              <a:schemeClr val="lt1"/>
            </a:solidFill>
          </a:ln>
          <a:effectLst/>
        </c:spPr>
      </c:pivotFmt>
      <c:pivotFmt>
        <c:idx val="40"/>
        <c:spPr>
          <a:solidFill>
            <a:schemeClr val="accent1">
              <a:lumMod val="60000"/>
              <a:lumOff val="40000"/>
            </a:schemeClr>
          </a:solidFill>
          <a:ln w="19050">
            <a:solidFill>
              <a:schemeClr val="lt1"/>
            </a:solidFill>
          </a:ln>
          <a:effectLst/>
        </c:spPr>
      </c:pivotFmt>
      <c:pivotFmt>
        <c:idx val="41"/>
        <c:spPr>
          <a:solidFill>
            <a:schemeClr val="accent1">
              <a:lumMod val="40000"/>
              <a:lumOff val="60000"/>
            </a:schemeClr>
          </a:solidFill>
          <a:ln w="19050">
            <a:solidFill>
              <a:schemeClr val="lt1"/>
            </a:solidFill>
          </a:ln>
          <a:effectLst/>
        </c:spPr>
      </c:pivotFmt>
      <c:pivotFmt>
        <c:idx val="42"/>
        <c:spPr>
          <a:solidFill>
            <a:schemeClr val="accent1">
              <a:lumMod val="40000"/>
              <a:lumOff val="60000"/>
            </a:schemeClr>
          </a:solidFill>
          <a:ln w="19050">
            <a:solidFill>
              <a:schemeClr val="lt1"/>
            </a:solidFill>
          </a:ln>
          <a:effectLst/>
        </c:spPr>
      </c:pivotFmt>
      <c:pivotFmt>
        <c:idx val="43"/>
        <c:spPr>
          <a:solidFill>
            <a:schemeClr val="accent1">
              <a:lumMod val="20000"/>
              <a:lumOff val="80000"/>
            </a:schemeClr>
          </a:solidFill>
          <a:ln w="19050">
            <a:solidFill>
              <a:schemeClr val="lt1"/>
            </a:solidFill>
          </a:ln>
          <a:effectLst/>
        </c:spPr>
      </c:pivotFmt>
      <c:pivotFmt>
        <c:idx val="44"/>
        <c:spPr>
          <a:solidFill>
            <a:schemeClr val="accent1">
              <a:lumMod val="20000"/>
              <a:lumOff val="80000"/>
            </a:schemeClr>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lumMod val="50000"/>
            </a:schemeClr>
          </a:solidFill>
          <a:ln w="19050">
            <a:solidFill>
              <a:schemeClr val="lt1"/>
            </a:solidFill>
          </a:ln>
          <a:effectLst/>
        </c:spPr>
      </c:pivotFmt>
      <c:pivotFmt>
        <c:idx val="47"/>
        <c:spPr>
          <a:solidFill>
            <a:schemeClr val="accent1">
              <a:lumMod val="75000"/>
            </a:schemeClr>
          </a:solidFill>
          <a:ln w="19050">
            <a:solidFill>
              <a:schemeClr val="lt1"/>
            </a:solidFill>
          </a:ln>
          <a:effectLst/>
        </c:spPr>
      </c:pivotFmt>
      <c:pivotFmt>
        <c:idx val="48"/>
        <c:spPr>
          <a:solidFill>
            <a:schemeClr val="accent1">
              <a:lumMod val="75000"/>
            </a:schemeClr>
          </a:solidFill>
          <a:ln w="19050">
            <a:solidFill>
              <a:schemeClr val="lt1"/>
            </a:solidFill>
          </a:ln>
          <a:effectLst/>
        </c:spPr>
      </c:pivotFmt>
      <c:pivotFmt>
        <c:idx val="49"/>
        <c:spPr>
          <a:solidFill>
            <a:schemeClr val="accent1">
              <a:lumMod val="60000"/>
              <a:lumOff val="40000"/>
            </a:schemeClr>
          </a:solidFill>
          <a:ln w="19050">
            <a:solidFill>
              <a:schemeClr val="lt1"/>
            </a:solidFill>
          </a:ln>
          <a:effectLst/>
        </c:spPr>
      </c:pivotFmt>
      <c:pivotFmt>
        <c:idx val="50"/>
        <c:spPr>
          <a:solidFill>
            <a:schemeClr val="accent1">
              <a:lumMod val="60000"/>
              <a:lumOff val="40000"/>
            </a:schemeClr>
          </a:solidFill>
          <a:ln w="19050">
            <a:solidFill>
              <a:schemeClr val="lt1"/>
            </a:solidFill>
          </a:ln>
          <a:effectLst/>
        </c:spPr>
      </c:pivotFmt>
      <c:pivotFmt>
        <c:idx val="51"/>
        <c:spPr>
          <a:solidFill>
            <a:schemeClr val="accent1">
              <a:lumMod val="40000"/>
              <a:lumOff val="60000"/>
            </a:schemeClr>
          </a:solidFill>
          <a:ln w="19050">
            <a:solidFill>
              <a:schemeClr val="lt1"/>
            </a:solidFill>
          </a:ln>
          <a:effectLst/>
        </c:spPr>
      </c:pivotFmt>
      <c:pivotFmt>
        <c:idx val="52"/>
        <c:spPr>
          <a:solidFill>
            <a:schemeClr val="accent1">
              <a:lumMod val="40000"/>
              <a:lumOff val="60000"/>
            </a:schemeClr>
          </a:solidFill>
          <a:ln w="19050">
            <a:solidFill>
              <a:schemeClr val="lt1"/>
            </a:solidFill>
          </a:ln>
          <a:effectLst/>
        </c:spPr>
      </c:pivotFmt>
      <c:pivotFmt>
        <c:idx val="53"/>
        <c:spPr>
          <a:solidFill>
            <a:schemeClr val="accent1">
              <a:lumMod val="20000"/>
              <a:lumOff val="80000"/>
            </a:schemeClr>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lumMod val="50000"/>
            </a:schemeClr>
          </a:solidFill>
          <a:ln w="19050">
            <a:solidFill>
              <a:schemeClr val="lt1"/>
            </a:solidFill>
          </a:ln>
          <a:effectLst/>
        </c:spPr>
      </c:pivotFmt>
      <c:pivotFmt>
        <c:idx val="59"/>
        <c:spPr>
          <a:solidFill>
            <a:schemeClr val="accent1">
              <a:lumMod val="75000"/>
            </a:schemeClr>
          </a:solidFill>
          <a:ln w="19050">
            <a:solidFill>
              <a:schemeClr val="lt1"/>
            </a:solidFill>
          </a:ln>
          <a:effectLst/>
        </c:spPr>
      </c:pivotFmt>
      <c:pivotFmt>
        <c:idx val="60"/>
        <c:spPr>
          <a:solidFill>
            <a:schemeClr val="accent1">
              <a:lumMod val="75000"/>
            </a:schemeClr>
          </a:solidFill>
          <a:ln w="19050">
            <a:solidFill>
              <a:schemeClr val="lt1"/>
            </a:solidFill>
          </a:ln>
          <a:effectLst/>
        </c:spPr>
      </c:pivotFmt>
      <c:pivotFmt>
        <c:idx val="61"/>
        <c:spPr>
          <a:solidFill>
            <a:schemeClr val="accent1">
              <a:lumMod val="60000"/>
              <a:lumOff val="40000"/>
            </a:schemeClr>
          </a:solidFill>
          <a:ln w="19050">
            <a:solidFill>
              <a:schemeClr val="lt1"/>
            </a:solidFill>
          </a:ln>
          <a:effectLst/>
        </c:spPr>
      </c:pivotFmt>
      <c:pivotFmt>
        <c:idx val="62"/>
        <c:spPr>
          <a:solidFill>
            <a:schemeClr val="accent1">
              <a:lumMod val="60000"/>
              <a:lumOff val="40000"/>
            </a:schemeClr>
          </a:solidFill>
          <a:ln w="19050">
            <a:solidFill>
              <a:schemeClr val="lt1"/>
            </a:solidFill>
          </a:ln>
          <a:effectLst/>
        </c:spPr>
      </c:pivotFmt>
      <c:pivotFmt>
        <c:idx val="63"/>
        <c:spPr>
          <a:solidFill>
            <a:schemeClr val="accent1">
              <a:lumMod val="40000"/>
              <a:lumOff val="60000"/>
            </a:schemeClr>
          </a:solidFill>
          <a:ln w="19050">
            <a:solidFill>
              <a:schemeClr val="lt1"/>
            </a:solidFill>
          </a:ln>
          <a:effectLst/>
        </c:spPr>
      </c:pivotFmt>
      <c:pivotFmt>
        <c:idx val="64"/>
        <c:spPr>
          <a:solidFill>
            <a:schemeClr val="accent1">
              <a:lumMod val="40000"/>
              <a:lumOff val="60000"/>
            </a:schemeClr>
          </a:solidFill>
          <a:ln w="19050">
            <a:solidFill>
              <a:schemeClr val="lt1"/>
            </a:solidFill>
          </a:ln>
          <a:effectLst/>
        </c:spPr>
      </c:pivotFmt>
      <c:pivotFmt>
        <c:idx val="65"/>
        <c:spPr>
          <a:solidFill>
            <a:schemeClr val="accent1">
              <a:lumMod val="20000"/>
              <a:lumOff val="80000"/>
            </a:schemeClr>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lumMod val="50000"/>
            </a:schemeClr>
          </a:solidFill>
          <a:ln w="19050">
            <a:solidFill>
              <a:schemeClr val="lt1"/>
            </a:solidFill>
          </a:ln>
          <a:effectLst/>
        </c:spPr>
      </c:pivotFmt>
      <c:pivotFmt>
        <c:idx val="71"/>
        <c:spPr>
          <a:solidFill>
            <a:schemeClr val="accent1">
              <a:lumMod val="75000"/>
            </a:schemeClr>
          </a:solidFill>
          <a:ln w="19050">
            <a:solidFill>
              <a:schemeClr val="lt1"/>
            </a:solidFill>
          </a:ln>
          <a:effectLst/>
        </c:spPr>
      </c:pivotFmt>
      <c:pivotFmt>
        <c:idx val="72"/>
        <c:spPr>
          <a:solidFill>
            <a:schemeClr val="accent1">
              <a:lumMod val="60000"/>
              <a:lumOff val="40000"/>
            </a:schemeClr>
          </a:solidFill>
          <a:ln w="19050">
            <a:solidFill>
              <a:schemeClr val="lt1"/>
            </a:solidFill>
          </a:ln>
          <a:effectLst/>
        </c:spPr>
      </c:pivotFmt>
      <c:pivotFmt>
        <c:idx val="73"/>
        <c:spPr>
          <a:solidFill>
            <a:schemeClr val="accent1">
              <a:lumMod val="40000"/>
              <a:lumOff val="60000"/>
            </a:schemeClr>
          </a:solidFill>
          <a:ln w="19050">
            <a:solidFill>
              <a:schemeClr val="lt1"/>
            </a:solidFill>
          </a:ln>
          <a:effectLst/>
        </c:spPr>
      </c:pivotFmt>
      <c:pivotFmt>
        <c:idx val="74"/>
        <c:spPr>
          <a:solidFill>
            <a:schemeClr val="accent1">
              <a:lumMod val="20000"/>
              <a:lumOff val="80000"/>
            </a:schemeClr>
          </a:solidFill>
          <a:ln w="19050">
            <a:solidFill>
              <a:schemeClr val="lt1"/>
            </a:solidFill>
          </a:ln>
          <a:effectLst/>
        </c:spPr>
      </c:pivotFmt>
      <c:pivotFmt>
        <c:idx val="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lumMod val="50000"/>
            </a:schemeClr>
          </a:solidFill>
          <a:ln w="19050">
            <a:solidFill>
              <a:schemeClr val="lt1"/>
            </a:solidFill>
          </a:ln>
          <a:effectLst/>
        </c:spPr>
      </c:pivotFmt>
      <c:pivotFmt>
        <c:idx val="77"/>
        <c:spPr>
          <a:solidFill>
            <a:schemeClr val="accent1">
              <a:lumMod val="75000"/>
            </a:schemeClr>
          </a:solidFill>
          <a:ln w="19050">
            <a:solidFill>
              <a:schemeClr val="lt1"/>
            </a:solidFill>
          </a:ln>
          <a:effectLst/>
        </c:spPr>
      </c:pivotFmt>
      <c:pivotFmt>
        <c:idx val="78"/>
        <c:spPr>
          <a:solidFill>
            <a:schemeClr val="accent1">
              <a:lumMod val="60000"/>
              <a:lumOff val="40000"/>
            </a:schemeClr>
          </a:solidFill>
          <a:ln w="19050">
            <a:solidFill>
              <a:schemeClr val="lt1"/>
            </a:solidFill>
          </a:ln>
          <a:effectLst/>
        </c:spPr>
      </c:pivotFmt>
      <c:pivotFmt>
        <c:idx val="79"/>
        <c:spPr>
          <a:solidFill>
            <a:schemeClr val="accent1">
              <a:lumMod val="40000"/>
              <a:lumOff val="60000"/>
            </a:schemeClr>
          </a:solidFill>
          <a:ln w="19050">
            <a:solidFill>
              <a:schemeClr val="lt1"/>
            </a:solidFill>
          </a:ln>
          <a:effectLst/>
        </c:spPr>
      </c:pivotFmt>
      <c:pivotFmt>
        <c:idx val="80"/>
        <c:spPr>
          <a:solidFill>
            <a:schemeClr val="accent1">
              <a:lumMod val="20000"/>
              <a:lumOff val="80000"/>
            </a:schemeClr>
          </a:solidFill>
          <a:ln w="19050">
            <a:solidFill>
              <a:schemeClr val="lt1"/>
            </a:solidFill>
          </a:ln>
          <a:effectLst/>
        </c:spPr>
      </c:pivotFmt>
      <c:pivotFmt>
        <c:idx val="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dirty="0">
                  <a:solidFill>
                    <a:schemeClr val="accent1">
                      <a:lumMod val="50000"/>
                    </a:schemeClr>
                  </a:solidFill>
                  <a:latin typeface="Georgia" panose="02040502050405020303" pitchFamily="18" charset="0"/>
                  <a:ea typeface="Georgia" panose="02040502050405020303" pitchFamily="18" charset="0"/>
                  <a:cs typeface="Georgia" panose="02040502050405020303"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lumMod val="40000"/>
              <a:lumOff val="60000"/>
            </a:schemeClr>
          </a:solidFill>
          <a:ln w="19050">
            <a:solidFill>
              <a:schemeClr val="lt1"/>
            </a:solidFill>
          </a:ln>
          <a:effectLst/>
        </c:spPr>
      </c:pivotFmt>
      <c:pivotFmt>
        <c:idx val="83"/>
        <c:spPr>
          <a:solidFill>
            <a:schemeClr val="accent1">
              <a:lumMod val="20000"/>
              <a:lumOff val="80000"/>
            </a:schemeClr>
          </a:solidFill>
          <a:ln w="19050">
            <a:solidFill>
              <a:schemeClr val="lt1"/>
            </a:solidFill>
          </a:ln>
          <a:effectLst/>
        </c:spPr>
      </c:pivotFmt>
      <c:pivotFmt>
        <c:idx val="84"/>
        <c:spPr>
          <a:solidFill>
            <a:schemeClr val="accent1">
              <a:lumMod val="75000"/>
            </a:schemeClr>
          </a:solidFill>
          <a:ln w="19050">
            <a:solidFill>
              <a:schemeClr val="lt1"/>
            </a:solidFill>
          </a:ln>
          <a:effectLst/>
        </c:spPr>
      </c:pivotFmt>
      <c:pivotFmt>
        <c:idx val="85"/>
        <c:spPr>
          <a:solidFill>
            <a:schemeClr val="accent1">
              <a:lumMod val="60000"/>
              <a:lumOff val="40000"/>
            </a:schemeClr>
          </a:solidFill>
          <a:ln w="19050">
            <a:solidFill>
              <a:schemeClr val="lt1"/>
            </a:solidFill>
          </a:ln>
          <a:effectLst/>
        </c:spPr>
      </c:pivotFmt>
      <c:pivotFmt>
        <c:idx val="86"/>
        <c:spPr>
          <a:solidFill>
            <a:schemeClr val="accent1">
              <a:lumMod val="50000"/>
            </a:schemeClr>
          </a:solidFill>
          <a:ln w="19050">
            <a:solidFill>
              <a:schemeClr val="lt1"/>
            </a:solidFill>
          </a:ln>
          <a:effectLst/>
        </c:spPr>
      </c:pivotFmt>
    </c:pivotFmts>
    <c:plotArea>
      <c:layout>
        <c:manualLayout>
          <c:layoutTarget val="inner"/>
          <c:xMode val="edge"/>
          <c:yMode val="edge"/>
          <c:x val="2.5945969237032494E-2"/>
          <c:y val="0.1938842890953808"/>
          <c:w val="0.94810806152593496"/>
          <c:h val="0.64080639200744205"/>
        </c:manualLayout>
      </c:layout>
      <c:barChart>
        <c:barDir val="col"/>
        <c:grouping val="clustered"/>
        <c:varyColors val="0"/>
        <c:ser>
          <c:idx val="0"/>
          <c:order val="0"/>
          <c:tx>
            <c:strRef>
              <c:f>'Top 5 years by income'!$B$3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057D-4A90-89C1-4EF2F7AB6397}"/>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057D-4A90-89C1-4EF2F7AB6397}"/>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057D-4A90-89C1-4EF2F7AB6397}"/>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057D-4A90-89C1-4EF2F7AB6397}"/>
              </c:ext>
            </c:extLst>
          </c:dPt>
          <c:dPt>
            <c:idx val="4"/>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057D-4A90-89C1-4EF2F7AB6397}"/>
              </c:ext>
            </c:extLst>
          </c:dPt>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dirty="0">
                    <a:solidFill>
                      <a:schemeClr val="accent1">
                        <a:lumMod val="50000"/>
                      </a:schemeClr>
                    </a:solidFill>
                    <a:latin typeface="Georgia" panose="02040502050405020303" pitchFamily="18" charset="0"/>
                    <a:ea typeface="Georgia" panose="02040502050405020303" pitchFamily="18" charset="0"/>
                    <a:cs typeface="Georgia" panose="02040502050405020303"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years by income'!$A$4:$A$9</c:f>
              <c:strCache>
                <c:ptCount val="5"/>
                <c:pt idx="0">
                  <c:v>6years</c:v>
                </c:pt>
                <c:pt idx="1">
                  <c:v>8years</c:v>
                </c:pt>
                <c:pt idx="2">
                  <c:v>9years</c:v>
                </c:pt>
                <c:pt idx="3">
                  <c:v>1years</c:v>
                </c:pt>
                <c:pt idx="4">
                  <c:v>0years</c:v>
                </c:pt>
              </c:strCache>
            </c:strRef>
          </c:cat>
          <c:val>
            <c:numRef>
              <c:f>'Top 5 years by income'!$B$4:$B$9</c:f>
              <c:numCache>
                <c:formatCode>[$$-409]#,##0</c:formatCode>
                <c:ptCount val="5"/>
                <c:pt idx="0">
                  <c:v>117741.19166666667</c:v>
                </c:pt>
                <c:pt idx="1">
                  <c:v>115476.18072289157</c:v>
                </c:pt>
                <c:pt idx="2">
                  <c:v>114422.675</c:v>
                </c:pt>
                <c:pt idx="3">
                  <c:v>107656.92765957447</c:v>
                </c:pt>
                <c:pt idx="4">
                  <c:v>106117.5475638051</c:v>
                </c:pt>
              </c:numCache>
            </c:numRef>
          </c:val>
          <c:extLst>
            <c:ext xmlns:c16="http://schemas.microsoft.com/office/drawing/2014/chart" uri="{C3380CC4-5D6E-409C-BE32-E72D297353CC}">
              <c16:uniqueId val="{0000000A-057D-4A90-89C1-4EF2F7AB6397}"/>
            </c:ext>
          </c:extLst>
        </c:ser>
        <c:dLbls>
          <c:dLblPos val="outEnd"/>
          <c:showLegendKey val="0"/>
          <c:showVal val="1"/>
          <c:showCatName val="0"/>
          <c:showSerName val="0"/>
          <c:showPercent val="0"/>
          <c:showBubbleSize val="0"/>
        </c:dLbls>
        <c:gapWidth val="20"/>
        <c:axId val="645434463"/>
        <c:axId val="645434943"/>
      </c:barChart>
      <c:catAx>
        <c:axId val="645434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accent1">
                    <a:lumMod val="50000"/>
                  </a:schemeClr>
                </a:solidFill>
                <a:latin typeface="Georgia" panose="02040502050405020303" pitchFamily="18" charset="0"/>
                <a:ea typeface="Georgia" panose="02040502050405020303" pitchFamily="18" charset="0"/>
                <a:cs typeface="Georgia" panose="02040502050405020303" pitchFamily="18" charset="0"/>
              </a:defRPr>
            </a:pPr>
            <a:endParaRPr lang="en-NG"/>
          </a:p>
        </c:txPr>
        <c:crossAx val="645434943"/>
        <c:crosses val="autoZero"/>
        <c:auto val="1"/>
        <c:lblAlgn val="ctr"/>
        <c:lblOffset val="100"/>
        <c:noMultiLvlLbl val="0"/>
      </c:catAx>
      <c:valAx>
        <c:axId val="645434943"/>
        <c:scaling>
          <c:orientation val="minMax"/>
        </c:scaling>
        <c:delete val="1"/>
        <c:axPos val="l"/>
        <c:numFmt formatCode="[$$-409]#,##0" sourceLinked="1"/>
        <c:majorTickMark val="out"/>
        <c:minorTickMark val="none"/>
        <c:tickLblPos val="nextTo"/>
        <c:crossAx val="64543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[CustomersTask24A.xlsx]Customers by Age groups!PivotTable1</c:name>
    <c:fmtId val="17"/>
  </c:pivotSource>
  <c:chart>
    <c:autoTitleDeleted val="1"/>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noFill/>
          </a:ln>
          <a:effectLst/>
        </c:spPr>
      </c:pivotFmt>
      <c:pivotFmt>
        <c:idx val="2"/>
        <c:spPr>
          <a:solidFill>
            <a:schemeClr val="accent1">
              <a:lumMod val="75000"/>
            </a:schemeClr>
          </a:solidFill>
          <a:ln w="19050">
            <a:noFill/>
          </a:ln>
          <a:effectLst/>
        </c:spPr>
      </c:pivotFmt>
      <c:pivotFmt>
        <c:idx val="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19050">
            <a:noFill/>
          </a:ln>
          <a:effectLst/>
        </c:spPr>
      </c:pivotFmt>
      <c:pivotFmt>
        <c:idx val="5"/>
        <c:spPr>
          <a:solidFill>
            <a:schemeClr val="accent1">
              <a:lumMod val="75000"/>
            </a:schemeClr>
          </a:solidFill>
          <a:ln w="19050">
            <a:noFill/>
          </a:ln>
          <a:effectLst/>
        </c:spPr>
      </c:pivotFmt>
      <c:pivotFmt>
        <c:idx val="6"/>
        <c:spPr>
          <a:solidFill>
            <a:schemeClr val="accent1">
              <a:lumMod val="50000"/>
            </a:schemeClr>
          </a:solidFill>
          <a:ln w="19050">
            <a:noFill/>
          </a:ln>
          <a:effectLst/>
        </c:spPr>
      </c:pivotFmt>
      <c:pivotFmt>
        <c:idx val="7"/>
        <c:spPr>
          <a:solidFill>
            <a:schemeClr val="accent1">
              <a:lumMod val="50000"/>
            </a:schemeClr>
          </a:solidFill>
          <a:ln w="19050">
            <a:noFill/>
          </a:ln>
          <a:effectLst/>
        </c:spPr>
      </c:pivotFmt>
      <c:pivotFmt>
        <c:idx val="8"/>
        <c:spPr>
          <a:solidFill>
            <a:schemeClr val="accent1">
              <a:lumMod val="75000"/>
            </a:schemeClr>
          </a:solidFill>
          <a:ln w="19050">
            <a:noFill/>
          </a:ln>
          <a:effectLst/>
        </c:spPr>
      </c:pivotFmt>
      <c:pivotFmt>
        <c:idx val="9"/>
        <c:spPr>
          <a:solidFill>
            <a:schemeClr val="accent1">
              <a:lumMod val="75000"/>
            </a:schemeClr>
          </a:solidFill>
          <a:ln w="19050">
            <a:noFill/>
          </a:ln>
          <a:effectLst/>
        </c:spPr>
      </c:pivotFmt>
      <c:pivotFmt>
        <c:idx val="10"/>
        <c:spPr>
          <a:solidFill>
            <a:schemeClr val="accent1">
              <a:lumMod val="60000"/>
              <a:lumOff val="40000"/>
            </a:schemeClr>
          </a:solidFill>
          <a:ln w="19050">
            <a:noFill/>
          </a:ln>
          <a:effectLst/>
        </c:spPr>
      </c:pivotFmt>
      <c:pivotFmt>
        <c:idx val="11"/>
        <c:spPr>
          <a:solidFill>
            <a:schemeClr val="accent1">
              <a:lumMod val="40000"/>
              <a:lumOff val="60000"/>
            </a:schemeClr>
          </a:solidFill>
          <a:ln w="19050">
            <a:noFill/>
          </a:ln>
          <a:effectLst/>
        </c:spPr>
      </c:pivotFmt>
      <c:pivotFmt>
        <c:idx val="12"/>
        <c:spPr>
          <a:solidFill>
            <a:schemeClr val="accent1">
              <a:lumMod val="20000"/>
              <a:lumOff val="80000"/>
            </a:schemeClr>
          </a:solidFill>
          <a:ln w="19050">
            <a:noFill/>
          </a:ln>
          <a:effectLst/>
        </c:spPr>
      </c:pivotFmt>
      <c:pivotFmt>
        <c:idx val="1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w="19050">
            <a:noFill/>
          </a:ln>
          <a:effectLst/>
        </c:spPr>
      </c:pivotFmt>
      <c:pivotFmt>
        <c:idx val="15"/>
        <c:spPr>
          <a:solidFill>
            <a:schemeClr val="accent1">
              <a:lumMod val="50000"/>
            </a:schemeClr>
          </a:solidFill>
          <a:ln w="19050">
            <a:noFill/>
          </a:ln>
          <a:effectLst/>
        </c:spPr>
      </c:pivotFmt>
      <c:pivotFmt>
        <c:idx val="16"/>
        <c:spPr>
          <a:solidFill>
            <a:schemeClr val="accent1">
              <a:lumMod val="75000"/>
            </a:schemeClr>
          </a:solidFill>
          <a:ln w="19050">
            <a:noFill/>
          </a:ln>
          <a:effectLst/>
        </c:spPr>
      </c:pivotFmt>
      <c:pivotFmt>
        <c:idx val="17"/>
        <c:spPr>
          <a:solidFill>
            <a:schemeClr val="accent1">
              <a:lumMod val="75000"/>
            </a:schemeClr>
          </a:solidFill>
          <a:ln w="19050">
            <a:noFill/>
          </a:ln>
          <a:effectLst/>
        </c:spPr>
      </c:pivotFmt>
      <c:pivotFmt>
        <c:idx val="18"/>
        <c:spPr>
          <a:solidFill>
            <a:schemeClr val="accent1">
              <a:lumMod val="60000"/>
              <a:lumOff val="40000"/>
            </a:schemeClr>
          </a:solidFill>
          <a:ln w="19050">
            <a:noFill/>
          </a:ln>
          <a:effectLst/>
        </c:spPr>
      </c:pivotFmt>
      <c:pivotFmt>
        <c:idx val="19"/>
        <c:spPr>
          <a:solidFill>
            <a:schemeClr val="accent1">
              <a:lumMod val="40000"/>
              <a:lumOff val="60000"/>
            </a:schemeClr>
          </a:solidFill>
          <a:ln w="19050">
            <a:noFill/>
          </a:ln>
          <a:effectLst/>
        </c:spPr>
      </c:pivotFmt>
      <c:pivotFmt>
        <c:idx val="20"/>
        <c:spPr>
          <a:solidFill>
            <a:schemeClr val="accent1">
              <a:lumMod val="20000"/>
              <a:lumOff val="80000"/>
            </a:schemeClr>
          </a:solidFill>
          <a:ln w="19050">
            <a:no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50000"/>
            </a:schemeClr>
          </a:solidFill>
          <a:ln w="19050">
            <a:solidFill>
              <a:schemeClr val="lt1"/>
            </a:solidFill>
          </a:ln>
          <a:effectLst/>
        </c:spPr>
      </c:pivotFmt>
      <c:pivotFmt>
        <c:idx val="26"/>
        <c:spPr>
          <a:solidFill>
            <a:schemeClr val="accent1">
              <a:lumMod val="75000"/>
            </a:schemeClr>
          </a:solidFill>
          <a:ln w="19050">
            <a:solidFill>
              <a:schemeClr val="lt1"/>
            </a:solidFill>
          </a:ln>
          <a:effectLst/>
        </c:spPr>
      </c:pivotFmt>
      <c:pivotFmt>
        <c:idx val="27"/>
        <c:spPr>
          <a:solidFill>
            <a:schemeClr val="accent1">
              <a:lumMod val="75000"/>
            </a:schemeClr>
          </a:solidFill>
          <a:ln w="19050">
            <a:solidFill>
              <a:schemeClr val="lt1"/>
            </a:solidFill>
          </a:ln>
          <a:effectLst/>
        </c:spPr>
      </c:pivotFmt>
      <c:pivotFmt>
        <c:idx val="28"/>
        <c:spPr>
          <a:solidFill>
            <a:schemeClr val="accent1">
              <a:lumMod val="60000"/>
              <a:lumOff val="40000"/>
            </a:schemeClr>
          </a:solidFill>
          <a:ln w="19050">
            <a:solidFill>
              <a:schemeClr val="lt1"/>
            </a:solidFill>
          </a:ln>
          <a:effectLst/>
        </c:spPr>
      </c:pivotFmt>
      <c:pivotFmt>
        <c:idx val="29"/>
        <c:spPr>
          <a:solidFill>
            <a:schemeClr val="accent1">
              <a:lumMod val="60000"/>
              <a:lumOff val="40000"/>
            </a:schemeClr>
          </a:solidFill>
          <a:ln w="19050">
            <a:solidFill>
              <a:schemeClr val="lt1"/>
            </a:solidFill>
          </a:ln>
          <a:effectLst/>
        </c:spPr>
      </c:pivotFmt>
      <c:pivotFmt>
        <c:idx val="30"/>
        <c:spPr>
          <a:solidFill>
            <a:schemeClr val="accent1">
              <a:lumMod val="40000"/>
              <a:lumOff val="60000"/>
            </a:schemeClr>
          </a:solidFill>
          <a:ln w="19050">
            <a:solidFill>
              <a:schemeClr val="lt1"/>
            </a:solidFill>
          </a:ln>
          <a:effectLst/>
        </c:spPr>
      </c:pivotFmt>
      <c:pivotFmt>
        <c:idx val="31"/>
        <c:spPr>
          <a:solidFill>
            <a:schemeClr val="accent1">
              <a:lumMod val="40000"/>
              <a:lumOff val="60000"/>
            </a:schemeClr>
          </a:solidFill>
          <a:ln w="19050">
            <a:solidFill>
              <a:schemeClr val="lt1"/>
            </a:solidFill>
          </a:ln>
          <a:effectLst/>
        </c:spPr>
      </c:pivotFmt>
      <c:pivotFmt>
        <c:idx val="32"/>
        <c:spPr>
          <a:solidFill>
            <a:schemeClr val="accent1">
              <a:lumMod val="20000"/>
              <a:lumOff val="80000"/>
            </a:schemeClr>
          </a:solidFill>
          <a:ln w="19050">
            <a:solidFill>
              <a:schemeClr val="lt1"/>
            </a:solidFill>
          </a:ln>
          <a:effectLst/>
        </c:spPr>
      </c:pivotFmt>
      <c:pivotFmt>
        <c:idx val="33"/>
        <c:spPr>
          <a:solidFill>
            <a:schemeClr val="accent1">
              <a:lumMod val="20000"/>
              <a:lumOff val="80000"/>
            </a:schemeClr>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50000"/>
            </a:schemeClr>
          </a:solidFill>
          <a:ln w="19050">
            <a:solidFill>
              <a:schemeClr val="lt1"/>
            </a:solidFill>
          </a:ln>
          <a:effectLst/>
        </c:spPr>
      </c:pivotFmt>
      <c:pivotFmt>
        <c:idx val="37"/>
        <c:spPr>
          <a:solidFill>
            <a:schemeClr val="accent1">
              <a:lumMod val="75000"/>
            </a:schemeClr>
          </a:solidFill>
          <a:ln w="19050">
            <a:solidFill>
              <a:schemeClr val="lt1"/>
            </a:solidFill>
          </a:ln>
          <a:effectLst/>
        </c:spPr>
      </c:pivotFmt>
      <c:pivotFmt>
        <c:idx val="38"/>
        <c:spPr>
          <a:solidFill>
            <a:schemeClr val="accent1">
              <a:lumMod val="75000"/>
            </a:schemeClr>
          </a:solidFill>
          <a:ln w="19050">
            <a:solidFill>
              <a:schemeClr val="lt1"/>
            </a:solidFill>
          </a:ln>
          <a:effectLst/>
        </c:spPr>
      </c:pivotFmt>
      <c:pivotFmt>
        <c:idx val="39"/>
        <c:spPr>
          <a:solidFill>
            <a:schemeClr val="accent1">
              <a:lumMod val="60000"/>
              <a:lumOff val="40000"/>
            </a:schemeClr>
          </a:solidFill>
          <a:ln w="19050">
            <a:solidFill>
              <a:schemeClr val="lt1"/>
            </a:solidFill>
          </a:ln>
          <a:effectLst/>
        </c:spPr>
      </c:pivotFmt>
      <c:pivotFmt>
        <c:idx val="40"/>
        <c:spPr>
          <a:solidFill>
            <a:schemeClr val="accent1">
              <a:lumMod val="60000"/>
              <a:lumOff val="40000"/>
            </a:schemeClr>
          </a:solidFill>
          <a:ln w="19050">
            <a:solidFill>
              <a:schemeClr val="lt1"/>
            </a:solidFill>
          </a:ln>
          <a:effectLst/>
        </c:spPr>
      </c:pivotFmt>
      <c:pivotFmt>
        <c:idx val="41"/>
        <c:spPr>
          <a:solidFill>
            <a:schemeClr val="accent1">
              <a:lumMod val="40000"/>
              <a:lumOff val="60000"/>
            </a:schemeClr>
          </a:solidFill>
          <a:ln w="19050">
            <a:solidFill>
              <a:schemeClr val="lt1"/>
            </a:solidFill>
          </a:ln>
          <a:effectLst/>
        </c:spPr>
      </c:pivotFmt>
      <c:pivotFmt>
        <c:idx val="42"/>
        <c:spPr>
          <a:solidFill>
            <a:schemeClr val="accent1">
              <a:lumMod val="40000"/>
              <a:lumOff val="60000"/>
            </a:schemeClr>
          </a:solidFill>
          <a:ln w="19050">
            <a:solidFill>
              <a:schemeClr val="lt1"/>
            </a:solidFill>
          </a:ln>
          <a:effectLst/>
        </c:spPr>
      </c:pivotFmt>
      <c:pivotFmt>
        <c:idx val="43"/>
        <c:spPr>
          <a:solidFill>
            <a:schemeClr val="accent1">
              <a:lumMod val="20000"/>
              <a:lumOff val="80000"/>
            </a:schemeClr>
          </a:solidFill>
          <a:ln w="19050">
            <a:solidFill>
              <a:schemeClr val="lt1"/>
            </a:solidFill>
          </a:ln>
          <a:effectLst/>
        </c:spPr>
      </c:pivotFmt>
      <c:pivotFmt>
        <c:idx val="44"/>
        <c:spPr>
          <a:solidFill>
            <a:schemeClr val="accent1">
              <a:lumMod val="20000"/>
              <a:lumOff val="80000"/>
            </a:schemeClr>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lumMod val="50000"/>
            </a:schemeClr>
          </a:solidFill>
          <a:ln w="19050">
            <a:solidFill>
              <a:schemeClr val="lt1"/>
            </a:solidFill>
          </a:ln>
          <a:effectLst/>
        </c:spPr>
      </c:pivotFmt>
      <c:pivotFmt>
        <c:idx val="47"/>
        <c:spPr>
          <a:solidFill>
            <a:schemeClr val="accent1">
              <a:lumMod val="75000"/>
            </a:schemeClr>
          </a:solidFill>
          <a:ln w="19050">
            <a:solidFill>
              <a:schemeClr val="lt1"/>
            </a:solidFill>
          </a:ln>
          <a:effectLst/>
        </c:spPr>
      </c:pivotFmt>
      <c:pivotFmt>
        <c:idx val="48"/>
        <c:spPr>
          <a:solidFill>
            <a:schemeClr val="accent1">
              <a:lumMod val="75000"/>
            </a:schemeClr>
          </a:solidFill>
          <a:ln w="19050">
            <a:solidFill>
              <a:schemeClr val="lt1"/>
            </a:solidFill>
          </a:ln>
          <a:effectLst/>
        </c:spPr>
      </c:pivotFmt>
      <c:pivotFmt>
        <c:idx val="49"/>
        <c:spPr>
          <a:solidFill>
            <a:schemeClr val="accent1">
              <a:lumMod val="60000"/>
              <a:lumOff val="40000"/>
            </a:schemeClr>
          </a:solidFill>
          <a:ln w="19050">
            <a:solidFill>
              <a:schemeClr val="lt1"/>
            </a:solidFill>
          </a:ln>
          <a:effectLst/>
        </c:spPr>
      </c:pivotFmt>
      <c:pivotFmt>
        <c:idx val="50"/>
        <c:spPr>
          <a:solidFill>
            <a:schemeClr val="accent1">
              <a:lumMod val="60000"/>
              <a:lumOff val="40000"/>
            </a:schemeClr>
          </a:solidFill>
          <a:ln w="19050">
            <a:solidFill>
              <a:schemeClr val="lt1"/>
            </a:solidFill>
          </a:ln>
          <a:effectLst/>
        </c:spPr>
      </c:pivotFmt>
      <c:pivotFmt>
        <c:idx val="51"/>
        <c:spPr>
          <a:solidFill>
            <a:schemeClr val="accent1">
              <a:lumMod val="40000"/>
              <a:lumOff val="60000"/>
            </a:schemeClr>
          </a:solidFill>
          <a:ln w="19050">
            <a:solidFill>
              <a:schemeClr val="lt1"/>
            </a:solidFill>
          </a:ln>
          <a:effectLst/>
        </c:spPr>
      </c:pivotFmt>
      <c:pivotFmt>
        <c:idx val="52"/>
        <c:spPr>
          <a:solidFill>
            <a:schemeClr val="accent1">
              <a:lumMod val="40000"/>
              <a:lumOff val="60000"/>
            </a:schemeClr>
          </a:solidFill>
          <a:ln w="19050">
            <a:solidFill>
              <a:schemeClr val="lt1"/>
            </a:solidFill>
          </a:ln>
          <a:effectLst/>
        </c:spPr>
      </c:pivotFmt>
      <c:pivotFmt>
        <c:idx val="53"/>
        <c:spPr>
          <a:solidFill>
            <a:schemeClr val="accent1">
              <a:lumMod val="20000"/>
              <a:lumOff val="80000"/>
            </a:schemeClr>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lumMod val="50000"/>
            </a:schemeClr>
          </a:solidFill>
          <a:ln w="19050">
            <a:solidFill>
              <a:schemeClr val="lt1"/>
            </a:solidFill>
          </a:ln>
          <a:effectLst/>
        </c:spPr>
      </c:pivotFmt>
      <c:pivotFmt>
        <c:idx val="56"/>
        <c:spPr>
          <a:solidFill>
            <a:schemeClr val="accent1">
              <a:lumMod val="75000"/>
            </a:schemeClr>
          </a:solidFill>
          <a:ln w="19050">
            <a:solidFill>
              <a:schemeClr val="lt1"/>
            </a:solidFill>
          </a:ln>
          <a:effectLst/>
        </c:spPr>
      </c:pivotFmt>
      <c:pivotFmt>
        <c:idx val="57"/>
        <c:spPr>
          <a:solidFill>
            <a:schemeClr val="accent1">
              <a:lumMod val="75000"/>
            </a:schemeClr>
          </a:solidFill>
          <a:ln w="19050">
            <a:solidFill>
              <a:schemeClr val="lt1"/>
            </a:solidFill>
          </a:ln>
          <a:effectLst/>
        </c:spPr>
      </c:pivotFmt>
      <c:pivotFmt>
        <c:idx val="58"/>
        <c:spPr>
          <a:solidFill>
            <a:schemeClr val="accent1">
              <a:lumMod val="60000"/>
              <a:lumOff val="40000"/>
            </a:schemeClr>
          </a:solidFill>
          <a:ln w="19050">
            <a:solidFill>
              <a:schemeClr val="lt1"/>
            </a:solidFill>
          </a:ln>
          <a:effectLst/>
        </c:spPr>
      </c:pivotFmt>
      <c:pivotFmt>
        <c:idx val="59"/>
        <c:spPr>
          <a:solidFill>
            <a:schemeClr val="accent1">
              <a:lumMod val="60000"/>
              <a:lumOff val="40000"/>
            </a:schemeClr>
          </a:solidFill>
          <a:ln w="19050">
            <a:solidFill>
              <a:schemeClr val="lt1"/>
            </a:solidFill>
          </a:ln>
          <a:effectLst/>
        </c:spPr>
      </c:pivotFmt>
      <c:pivotFmt>
        <c:idx val="60"/>
        <c:spPr>
          <a:solidFill>
            <a:schemeClr val="accent1">
              <a:lumMod val="40000"/>
              <a:lumOff val="60000"/>
            </a:schemeClr>
          </a:solidFill>
          <a:ln w="19050">
            <a:solidFill>
              <a:schemeClr val="lt1"/>
            </a:solidFill>
          </a:ln>
          <a:effectLst/>
        </c:spPr>
      </c:pivotFmt>
      <c:pivotFmt>
        <c:idx val="61"/>
        <c:spPr>
          <a:solidFill>
            <a:schemeClr val="accent1">
              <a:lumMod val="40000"/>
              <a:lumOff val="60000"/>
            </a:schemeClr>
          </a:solidFill>
          <a:ln w="19050">
            <a:solidFill>
              <a:schemeClr val="lt1"/>
            </a:solidFill>
          </a:ln>
          <a:effectLst/>
        </c:spPr>
      </c:pivotFmt>
      <c:pivotFmt>
        <c:idx val="62"/>
        <c:spPr>
          <a:solidFill>
            <a:schemeClr val="accent1">
              <a:lumMod val="20000"/>
              <a:lumOff val="80000"/>
            </a:schemeClr>
          </a:solidFill>
          <a:ln w="19050">
            <a:solidFill>
              <a:schemeClr val="lt1"/>
            </a:solidFill>
          </a:ln>
          <a:effectLst/>
        </c:spPr>
      </c:pivotFmt>
      <c:pivotFmt>
        <c:idx val="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lumMod val="50000"/>
            </a:schemeClr>
          </a:solidFill>
          <a:ln w="19050">
            <a:solidFill>
              <a:schemeClr val="lt1"/>
            </a:solidFill>
          </a:ln>
          <a:effectLst/>
        </c:spPr>
      </c:pivotFmt>
      <c:pivotFmt>
        <c:idx val="65"/>
        <c:spPr>
          <a:solidFill>
            <a:schemeClr val="accent1">
              <a:lumMod val="50000"/>
            </a:schemeClr>
          </a:solidFill>
          <a:ln w="19050">
            <a:solidFill>
              <a:schemeClr val="lt1"/>
            </a:solidFill>
          </a:ln>
          <a:effectLst/>
        </c:spPr>
      </c:pivotFmt>
      <c:pivotFmt>
        <c:idx val="66"/>
        <c:spPr>
          <a:solidFill>
            <a:schemeClr val="accent1">
              <a:lumMod val="75000"/>
            </a:schemeClr>
          </a:solidFill>
          <a:ln w="19050">
            <a:solidFill>
              <a:schemeClr val="accent1">
                <a:lumMod val="75000"/>
              </a:schemeClr>
            </a:solidFill>
          </a:ln>
          <a:effectLst/>
        </c:spPr>
      </c:pivotFmt>
      <c:pivotFmt>
        <c:idx val="67"/>
        <c:spPr>
          <a:solidFill>
            <a:schemeClr val="accent1">
              <a:lumMod val="60000"/>
              <a:lumOff val="40000"/>
            </a:schemeClr>
          </a:solidFill>
          <a:ln w="19050">
            <a:solidFill>
              <a:schemeClr val="lt1"/>
            </a:solidFill>
          </a:ln>
          <a:effectLst/>
        </c:spPr>
      </c:pivotFmt>
      <c:pivotFmt>
        <c:idx val="68"/>
        <c:spPr>
          <a:solidFill>
            <a:schemeClr val="accent1">
              <a:lumMod val="60000"/>
              <a:lumOff val="40000"/>
            </a:schemeClr>
          </a:solidFill>
          <a:ln w="19050">
            <a:solidFill>
              <a:schemeClr val="lt1"/>
            </a:solidFill>
          </a:ln>
          <a:effectLst/>
        </c:spPr>
      </c:pivotFmt>
      <c:pivotFmt>
        <c:idx val="69"/>
        <c:spPr>
          <a:solidFill>
            <a:schemeClr val="accent1">
              <a:lumMod val="40000"/>
              <a:lumOff val="60000"/>
            </a:schemeClr>
          </a:solidFill>
          <a:ln w="19050">
            <a:solidFill>
              <a:schemeClr val="lt1"/>
            </a:solidFill>
          </a:ln>
          <a:effectLst/>
        </c:spPr>
      </c:pivotFmt>
      <c:pivotFmt>
        <c:idx val="70"/>
        <c:spPr>
          <a:solidFill>
            <a:schemeClr val="accent1">
              <a:lumMod val="20000"/>
              <a:lumOff val="80000"/>
            </a:schemeClr>
          </a:solidFill>
          <a:ln w="19050">
            <a:solidFill>
              <a:schemeClr val="lt1"/>
            </a:solidFill>
          </a:ln>
          <a:effectLst/>
        </c:spPr>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lumMod val="50000"/>
            </a:schemeClr>
          </a:solidFill>
          <a:ln w="19050">
            <a:solidFill>
              <a:schemeClr val="lt1"/>
            </a:solidFill>
          </a:ln>
          <a:effectLst/>
        </c:spPr>
      </c:pivotFmt>
      <c:pivotFmt>
        <c:idx val="73"/>
        <c:spPr>
          <a:solidFill>
            <a:schemeClr val="accent1">
              <a:lumMod val="50000"/>
            </a:schemeClr>
          </a:solidFill>
          <a:ln w="19050">
            <a:solidFill>
              <a:schemeClr val="lt1"/>
            </a:solidFill>
          </a:ln>
          <a:effectLst/>
        </c:spPr>
      </c:pivotFmt>
      <c:pivotFmt>
        <c:idx val="74"/>
        <c:spPr>
          <a:solidFill>
            <a:schemeClr val="accent1">
              <a:lumMod val="75000"/>
            </a:schemeClr>
          </a:solidFill>
          <a:ln w="19050">
            <a:solidFill>
              <a:schemeClr val="accent1">
                <a:lumMod val="75000"/>
              </a:schemeClr>
            </a:solidFill>
          </a:ln>
          <a:effectLst/>
        </c:spPr>
      </c:pivotFmt>
      <c:pivotFmt>
        <c:idx val="75"/>
        <c:spPr>
          <a:solidFill>
            <a:schemeClr val="accent1">
              <a:lumMod val="60000"/>
              <a:lumOff val="40000"/>
            </a:schemeClr>
          </a:solidFill>
          <a:ln w="19050">
            <a:solidFill>
              <a:schemeClr val="lt1"/>
            </a:solidFill>
          </a:ln>
          <a:effectLst/>
        </c:spPr>
      </c:pivotFmt>
      <c:pivotFmt>
        <c:idx val="76"/>
        <c:spPr>
          <a:solidFill>
            <a:schemeClr val="accent1">
              <a:lumMod val="60000"/>
              <a:lumOff val="40000"/>
            </a:schemeClr>
          </a:solidFill>
          <a:ln w="19050">
            <a:solidFill>
              <a:schemeClr val="lt1"/>
            </a:solidFill>
          </a:ln>
          <a:effectLst/>
        </c:spPr>
      </c:pivotFmt>
      <c:pivotFmt>
        <c:idx val="77"/>
        <c:spPr>
          <a:solidFill>
            <a:schemeClr val="accent1">
              <a:lumMod val="40000"/>
              <a:lumOff val="60000"/>
            </a:schemeClr>
          </a:solidFill>
          <a:ln w="19050">
            <a:solidFill>
              <a:schemeClr val="lt1"/>
            </a:solidFill>
          </a:ln>
          <a:effectLst/>
        </c:spPr>
      </c:pivotFmt>
      <c:pivotFmt>
        <c:idx val="78"/>
        <c:spPr>
          <a:solidFill>
            <a:schemeClr val="accent1">
              <a:lumMod val="20000"/>
              <a:lumOff val="80000"/>
            </a:schemeClr>
          </a:solidFill>
          <a:ln w="19050">
            <a:solidFill>
              <a:schemeClr val="lt1"/>
            </a:solidFill>
          </a:ln>
          <a:effectLst/>
        </c:spPr>
      </c:pivotFmt>
      <c:pivotFmt>
        <c:idx val="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accent1">
                      <a:lumMod val="50000"/>
                    </a:schemeClr>
                  </a:solidFill>
                  <a:latin typeface="Georgia" panose="02040502050405020303" pitchFamily="18" charset="0"/>
                  <a:ea typeface="Georgia" panose="02040502050405020303" pitchFamily="18" charset="0"/>
                  <a:cs typeface="Georgia" panose="02040502050405020303"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lumMod val="50000"/>
            </a:schemeClr>
          </a:solidFill>
          <a:ln w="19050">
            <a:solidFill>
              <a:schemeClr val="lt1"/>
            </a:solidFill>
          </a:ln>
          <a:effectLst/>
        </c:spPr>
      </c:pivotFmt>
      <c:pivotFmt>
        <c:idx val="81"/>
        <c:spPr>
          <a:solidFill>
            <a:schemeClr val="accent1">
              <a:lumMod val="50000"/>
            </a:schemeClr>
          </a:solidFill>
          <a:ln w="19050">
            <a:solidFill>
              <a:schemeClr val="lt1"/>
            </a:solidFill>
          </a:ln>
          <a:effectLst/>
        </c:spPr>
      </c:pivotFmt>
      <c:pivotFmt>
        <c:idx val="82"/>
        <c:spPr>
          <a:solidFill>
            <a:schemeClr val="accent1">
              <a:lumMod val="75000"/>
            </a:schemeClr>
          </a:solidFill>
          <a:ln w="19050">
            <a:solidFill>
              <a:schemeClr val="accent1">
                <a:lumMod val="75000"/>
              </a:schemeClr>
            </a:solidFill>
          </a:ln>
          <a:effectLst/>
        </c:spPr>
      </c:pivotFmt>
      <c:pivotFmt>
        <c:idx val="83"/>
        <c:spPr>
          <a:solidFill>
            <a:schemeClr val="accent1">
              <a:lumMod val="60000"/>
              <a:lumOff val="40000"/>
            </a:schemeClr>
          </a:solidFill>
          <a:ln w="19050">
            <a:solidFill>
              <a:schemeClr val="lt1"/>
            </a:solidFill>
          </a:ln>
          <a:effectLst/>
        </c:spPr>
      </c:pivotFmt>
      <c:pivotFmt>
        <c:idx val="84"/>
        <c:spPr>
          <a:solidFill>
            <a:schemeClr val="accent1">
              <a:lumMod val="60000"/>
              <a:lumOff val="40000"/>
            </a:schemeClr>
          </a:solidFill>
          <a:ln w="19050">
            <a:solidFill>
              <a:schemeClr val="lt1"/>
            </a:solidFill>
          </a:ln>
          <a:effectLst/>
        </c:spPr>
      </c:pivotFmt>
      <c:pivotFmt>
        <c:idx val="85"/>
        <c:spPr>
          <a:solidFill>
            <a:schemeClr val="accent1">
              <a:lumMod val="40000"/>
              <a:lumOff val="60000"/>
            </a:schemeClr>
          </a:solidFill>
          <a:ln w="19050">
            <a:solidFill>
              <a:schemeClr val="lt1"/>
            </a:solidFill>
          </a:ln>
          <a:effectLst/>
        </c:spPr>
      </c:pivotFmt>
      <c:pivotFmt>
        <c:idx val="86"/>
        <c:spPr>
          <a:solidFill>
            <a:schemeClr val="accent1">
              <a:lumMod val="20000"/>
              <a:lumOff val="80000"/>
            </a:schemeClr>
          </a:solidFill>
          <a:ln w="19050">
            <a:solidFill>
              <a:schemeClr val="lt1"/>
            </a:solidFill>
          </a:ln>
          <a:effectLst/>
        </c:spPr>
      </c:pivotFmt>
    </c:pivotFmts>
    <c:plotArea>
      <c:layout>
        <c:manualLayout>
          <c:layoutTarget val="inner"/>
          <c:xMode val="edge"/>
          <c:yMode val="edge"/>
          <c:x val="3.1272210376687988E-2"/>
          <c:y val="0.23503937007874015"/>
          <c:w val="0.93745557924662404"/>
          <c:h val="0.56887372411781856"/>
        </c:manualLayout>
      </c:layout>
      <c:barChart>
        <c:barDir val="col"/>
        <c:grouping val="clustered"/>
        <c:varyColors val="0"/>
        <c:ser>
          <c:idx val="0"/>
          <c:order val="0"/>
          <c:tx>
            <c:strRef>
              <c:f>'Customers by Age groups'!$B$3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B6C6-444C-9976-A44DDFDCF1C4}"/>
              </c:ext>
            </c:extLst>
          </c:dPt>
          <c:dPt>
            <c:idx val="1"/>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B6C6-444C-9976-A44DDFDCF1C4}"/>
              </c:ext>
            </c:extLst>
          </c:dPt>
          <c:dPt>
            <c:idx val="2"/>
            <c:invertIfNegative val="0"/>
            <c:bubble3D val="0"/>
            <c:spPr>
              <a:solidFill>
                <a:schemeClr val="accent1">
                  <a:lumMod val="75000"/>
                </a:schemeClr>
              </a:solidFill>
              <a:ln w="19050">
                <a:solidFill>
                  <a:schemeClr val="accent1">
                    <a:lumMod val="75000"/>
                  </a:schemeClr>
                </a:solidFill>
              </a:ln>
              <a:effectLst/>
            </c:spPr>
            <c:extLst>
              <c:ext xmlns:c16="http://schemas.microsoft.com/office/drawing/2014/chart" uri="{C3380CC4-5D6E-409C-BE32-E72D297353CC}">
                <c16:uniqueId val="{00000005-B6C6-444C-9976-A44DDFDCF1C4}"/>
              </c:ext>
            </c:extLst>
          </c:dPt>
          <c:dPt>
            <c:idx val="3"/>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7-B6C6-444C-9976-A44DDFDCF1C4}"/>
              </c:ext>
            </c:extLst>
          </c:dPt>
          <c:dPt>
            <c:idx val="4"/>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9-B6C6-444C-9976-A44DDFDCF1C4}"/>
              </c:ext>
            </c:extLst>
          </c:dPt>
          <c:dPt>
            <c:idx val="5"/>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B-B6C6-444C-9976-A44DDFDCF1C4}"/>
              </c:ext>
            </c:extLst>
          </c:dPt>
          <c:dPt>
            <c:idx val="6"/>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D-B6C6-444C-9976-A44DDFDCF1C4}"/>
              </c:ext>
            </c:extLst>
          </c:dPt>
          <c:dPt>
            <c:idx val="7"/>
            <c:invertIfNegative val="0"/>
            <c:bubble3D val="0"/>
            <c:extLst>
              <c:ext xmlns:c16="http://schemas.microsoft.com/office/drawing/2014/chart" uri="{C3380CC4-5D6E-409C-BE32-E72D297353CC}">
                <c16:uniqueId val="{0000000E-B6C6-444C-9976-A44DDFDCF1C4}"/>
              </c:ext>
            </c:extLst>
          </c:dPt>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accent1">
                        <a:lumMod val="50000"/>
                      </a:schemeClr>
                    </a:solidFill>
                    <a:latin typeface="Georgia" panose="02040502050405020303" pitchFamily="18" charset="0"/>
                    <a:ea typeface="Georgia" panose="02040502050405020303" pitchFamily="18" charset="0"/>
                    <a:cs typeface="Georgia" panose="02040502050405020303"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by Age groups'!$A$4:$A$11</c:f>
              <c:strCache>
                <c:ptCount val="7"/>
                <c:pt idx="0">
                  <c:v>Silent</c:v>
                </c:pt>
                <c:pt idx="1">
                  <c:v>Millenials</c:v>
                </c:pt>
                <c:pt idx="2">
                  <c:v>Baby Boomers</c:v>
                </c:pt>
                <c:pt idx="3">
                  <c:v>Gen Z</c:v>
                </c:pt>
                <c:pt idx="4">
                  <c:v>Gen X</c:v>
                </c:pt>
                <c:pt idx="5">
                  <c:v>Gen A</c:v>
                </c:pt>
                <c:pt idx="6">
                  <c:v>Greatest</c:v>
                </c:pt>
              </c:strCache>
            </c:strRef>
          </c:cat>
          <c:val>
            <c:numRef>
              <c:f>'Customers by Age groups'!$B$4:$B$11</c:f>
              <c:numCache>
                <c:formatCode>General</c:formatCode>
                <c:ptCount val="7"/>
                <c:pt idx="0">
                  <c:v>363</c:v>
                </c:pt>
                <c:pt idx="1">
                  <c:v>363</c:v>
                </c:pt>
                <c:pt idx="2">
                  <c:v>360</c:v>
                </c:pt>
                <c:pt idx="3">
                  <c:v>341</c:v>
                </c:pt>
                <c:pt idx="4">
                  <c:v>315</c:v>
                </c:pt>
                <c:pt idx="5">
                  <c:v>210</c:v>
                </c:pt>
                <c:pt idx="6">
                  <c:v>48</c:v>
                </c:pt>
              </c:numCache>
            </c:numRef>
          </c:val>
          <c:extLst>
            <c:ext xmlns:c16="http://schemas.microsoft.com/office/drawing/2014/chart" uri="{C3380CC4-5D6E-409C-BE32-E72D297353CC}">
              <c16:uniqueId val="{0000000F-B6C6-444C-9976-A44DDFDCF1C4}"/>
            </c:ext>
          </c:extLst>
        </c:ser>
        <c:dLbls>
          <c:dLblPos val="outEnd"/>
          <c:showLegendKey val="0"/>
          <c:showVal val="1"/>
          <c:showCatName val="0"/>
          <c:showSerName val="0"/>
          <c:showPercent val="0"/>
          <c:showBubbleSize val="0"/>
        </c:dLbls>
        <c:gapWidth val="20"/>
        <c:axId val="645434463"/>
        <c:axId val="645434943"/>
      </c:barChart>
      <c:catAx>
        <c:axId val="645434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chemeClr val="accent1">
                    <a:lumMod val="50000"/>
                  </a:schemeClr>
                </a:solidFill>
                <a:latin typeface="Georgia" panose="02040502050405020303" pitchFamily="18" charset="0"/>
                <a:ea typeface="Georgia" panose="02040502050405020303" pitchFamily="18" charset="0"/>
                <a:cs typeface="Georgia" panose="02040502050405020303" pitchFamily="18" charset="0"/>
              </a:defRPr>
            </a:pPr>
            <a:endParaRPr lang="en-NG"/>
          </a:p>
        </c:txPr>
        <c:crossAx val="645434943"/>
        <c:crosses val="autoZero"/>
        <c:auto val="1"/>
        <c:lblAlgn val="ctr"/>
        <c:lblOffset val="100"/>
        <c:noMultiLvlLbl val="0"/>
      </c:catAx>
      <c:valAx>
        <c:axId val="645434943"/>
        <c:scaling>
          <c:orientation val="minMax"/>
        </c:scaling>
        <c:delete val="1"/>
        <c:axPos val="l"/>
        <c:numFmt formatCode="General" sourceLinked="1"/>
        <c:majorTickMark val="out"/>
        <c:minorTickMark val="none"/>
        <c:tickLblPos val="nextTo"/>
        <c:crossAx val="64543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[CustomersTask24A.xlsx]Family Size by Spending score!PivotTable1</c:name>
    <c:fmtId val="21"/>
  </c:pivotSource>
  <c:chart>
    <c:autoTitleDeleted val="1"/>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noFill/>
          </a:ln>
          <a:effectLst/>
        </c:spPr>
      </c:pivotFmt>
      <c:pivotFmt>
        <c:idx val="2"/>
        <c:spPr>
          <a:solidFill>
            <a:schemeClr val="accent1">
              <a:lumMod val="75000"/>
            </a:schemeClr>
          </a:solidFill>
          <a:ln w="19050">
            <a:noFill/>
          </a:ln>
          <a:effectLst/>
        </c:spPr>
      </c:pivotFmt>
      <c:pivotFmt>
        <c:idx val="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19050">
            <a:noFill/>
          </a:ln>
          <a:effectLst/>
        </c:spPr>
      </c:pivotFmt>
      <c:pivotFmt>
        <c:idx val="5"/>
        <c:spPr>
          <a:solidFill>
            <a:schemeClr val="accent1">
              <a:lumMod val="75000"/>
            </a:schemeClr>
          </a:solidFill>
          <a:ln w="19050">
            <a:noFill/>
          </a:ln>
          <a:effectLst/>
        </c:spPr>
      </c:pivotFmt>
      <c:pivotFmt>
        <c:idx val="6"/>
        <c:spPr>
          <a:solidFill>
            <a:schemeClr val="accent1">
              <a:lumMod val="50000"/>
            </a:schemeClr>
          </a:solidFill>
          <a:ln w="19050">
            <a:noFill/>
          </a:ln>
          <a:effectLst/>
        </c:spPr>
      </c:pivotFmt>
      <c:pivotFmt>
        <c:idx val="7"/>
        <c:spPr>
          <a:solidFill>
            <a:schemeClr val="accent1">
              <a:lumMod val="50000"/>
            </a:schemeClr>
          </a:solidFill>
          <a:ln w="19050">
            <a:noFill/>
          </a:ln>
          <a:effectLst/>
        </c:spPr>
      </c:pivotFmt>
      <c:pivotFmt>
        <c:idx val="8"/>
        <c:spPr>
          <a:solidFill>
            <a:schemeClr val="accent1">
              <a:lumMod val="75000"/>
            </a:schemeClr>
          </a:solidFill>
          <a:ln w="19050">
            <a:noFill/>
          </a:ln>
          <a:effectLst/>
        </c:spPr>
      </c:pivotFmt>
      <c:pivotFmt>
        <c:idx val="9"/>
        <c:spPr>
          <a:solidFill>
            <a:schemeClr val="accent1">
              <a:lumMod val="75000"/>
            </a:schemeClr>
          </a:solidFill>
          <a:ln w="19050">
            <a:noFill/>
          </a:ln>
          <a:effectLst/>
        </c:spPr>
      </c:pivotFmt>
      <c:pivotFmt>
        <c:idx val="10"/>
        <c:spPr>
          <a:solidFill>
            <a:schemeClr val="accent1">
              <a:lumMod val="60000"/>
              <a:lumOff val="40000"/>
            </a:schemeClr>
          </a:solidFill>
          <a:ln w="19050">
            <a:noFill/>
          </a:ln>
          <a:effectLst/>
        </c:spPr>
      </c:pivotFmt>
      <c:pivotFmt>
        <c:idx val="11"/>
        <c:spPr>
          <a:solidFill>
            <a:schemeClr val="accent1">
              <a:lumMod val="40000"/>
              <a:lumOff val="60000"/>
            </a:schemeClr>
          </a:solidFill>
          <a:ln w="19050">
            <a:noFill/>
          </a:ln>
          <a:effectLst/>
        </c:spPr>
      </c:pivotFmt>
      <c:pivotFmt>
        <c:idx val="12"/>
        <c:spPr>
          <a:solidFill>
            <a:schemeClr val="accent1">
              <a:lumMod val="20000"/>
              <a:lumOff val="80000"/>
            </a:schemeClr>
          </a:solidFill>
          <a:ln w="19050">
            <a:noFill/>
          </a:ln>
          <a:effectLst/>
        </c:spPr>
      </c:pivotFmt>
      <c:pivotFmt>
        <c:idx val="1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w="19050">
            <a:noFill/>
          </a:ln>
          <a:effectLst/>
        </c:spPr>
      </c:pivotFmt>
      <c:pivotFmt>
        <c:idx val="15"/>
        <c:spPr>
          <a:solidFill>
            <a:schemeClr val="accent1">
              <a:lumMod val="50000"/>
            </a:schemeClr>
          </a:solidFill>
          <a:ln w="19050">
            <a:noFill/>
          </a:ln>
          <a:effectLst/>
        </c:spPr>
      </c:pivotFmt>
      <c:pivotFmt>
        <c:idx val="16"/>
        <c:spPr>
          <a:solidFill>
            <a:schemeClr val="accent1">
              <a:lumMod val="75000"/>
            </a:schemeClr>
          </a:solidFill>
          <a:ln w="19050">
            <a:noFill/>
          </a:ln>
          <a:effectLst/>
        </c:spPr>
      </c:pivotFmt>
      <c:pivotFmt>
        <c:idx val="17"/>
        <c:spPr>
          <a:solidFill>
            <a:schemeClr val="accent1">
              <a:lumMod val="75000"/>
            </a:schemeClr>
          </a:solidFill>
          <a:ln w="19050">
            <a:noFill/>
          </a:ln>
          <a:effectLst/>
        </c:spPr>
      </c:pivotFmt>
      <c:pivotFmt>
        <c:idx val="18"/>
        <c:spPr>
          <a:solidFill>
            <a:schemeClr val="accent1">
              <a:lumMod val="60000"/>
              <a:lumOff val="40000"/>
            </a:schemeClr>
          </a:solidFill>
          <a:ln w="19050">
            <a:noFill/>
          </a:ln>
          <a:effectLst/>
        </c:spPr>
      </c:pivotFmt>
      <c:pivotFmt>
        <c:idx val="19"/>
        <c:spPr>
          <a:solidFill>
            <a:schemeClr val="accent1">
              <a:lumMod val="40000"/>
              <a:lumOff val="60000"/>
            </a:schemeClr>
          </a:solidFill>
          <a:ln w="19050">
            <a:noFill/>
          </a:ln>
          <a:effectLst/>
        </c:spPr>
      </c:pivotFmt>
      <c:pivotFmt>
        <c:idx val="20"/>
        <c:spPr>
          <a:solidFill>
            <a:schemeClr val="accent1">
              <a:lumMod val="20000"/>
              <a:lumOff val="80000"/>
            </a:schemeClr>
          </a:solidFill>
          <a:ln w="19050">
            <a:no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50000"/>
            </a:schemeClr>
          </a:solidFill>
          <a:ln w="19050">
            <a:solidFill>
              <a:schemeClr val="lt1"/>
            </a:solidFill>
          </a:ln>
          <a:effectLst/>
        </c:spPr>
      </c:pivotFmt>
      <c:pivotFmt>
        <c:idx val="26"/>
        <c:spPr>
          <a:solidFill>
            <a:schemeClr val="accent1">
              <a:lumMod val="75000"/>
            </a:schemeClr>
          </a:solidFill>
          <a:ln w="19050">
            <a:solidFill>
              <a:schemeClr val="lt1"/>
            </a:solidFill>
          </a:ln>
          <a:effectLst/>
        </c:spPr>
      </c:pivotFmt>
      <c:pivotFmt>
        <c:idx val="27"/>
        <c:spPr>
          <a:solidFill>
            <a:schemeClr val="accent1">
              <a:lumMod val="75000"/>
            </a:schemeClr>
          </a:solidFill>
          <a:ln w="19050">
            <a:solidFill>
              <a:schemeClr val="lt1"/>
            </a:solidFill>
          </a:ln>
          <a:effectLst/>
        </c:spPr>
      </c:pivotFmt>
      <c:pivotFmt>
        <c:idx val="28"/>
        <c:spPr>
          <a:solidFill>
            <a:schemeClr val="accent1">
              <a:lumMod val="60000"/>
              <a:lumOff val="40000"/>
            </a:schemeClr>
          </a:solidFill>
          <a:ln w="19050">
            <a:solidFill>
              <a:schemeClr val="lt1"/>
            </a:solidFill>
          </a:ln>
          <a:effectLst/>
        </c:spPr>
      </c:pivotFmt>
      <c:pivotFmt>
        <c:idx val="29"/>
        <c:spPr>
          <a:solidFill>
            <a:schemeClr val="accent1">
              <a:lumMod val="60000"/>
              <a:lumOff val="40000"/>
            </a:schemeClr>
          </a:solidFill>
          <a:ln w="19050">
            <a:solidFill>
              <a:schemeClr val="lt1"/>
            </a:solidFill>
          </a:ln>
          <a:effectLst/>
        </c:spPr>
      </c:pivotFmt>
      <c:pivotFmt>
        <c:idx val="30"/>
        <c:spPr>
          <a:solidFill>
            <a:schemeClr val="accent1">
              <a:lumMod val="40000"/>
              <a:lumOff val="60000"/>
            </a:schemeClr>
          </a:solidFill>
          <a:ln w="19050">
            <a:solidFill>
              <a:schemeClr val="lt1"/>
            </a:solidFill>
          </a:ln>
          <a:effectLst/>
        </c:spPr>
      </c:pivotFmt>
      <c:pivotFmt>
        <c:idx val="31"/>
        <c:spPr>
          <a:solidFill>
            <a:schemeClr val="accent1">
              <a:lumMod val="40000"/>
              <a:lumOff val="60000"/>
            </a:schemeClr>
          </a:solidFill>
          <a:ln w="19050">
            <a:solidFill>
              <a:schemeClr val="lt1"/>
            </a:solidFill>
          </a:ln>
          <a:effectLst/>
        </c:spPr>
      </c:pivotFmt>
      <c:pivotFmt>
        <c:idx val="32"/>
        <c:spPr>
          <a:solidFill>
            <a:schemeClr val="accent1">
              <a:lumMod val="20000"/>
              <a:lumOff val="80000"/>
            </a:schemeClr>
          </a:solidFill>
          <a:ln w="19050">
            <a:solidFill>
              <a:schemeClr val="lt1"/>
            </a:solidFill>
          </a:ln>
          <a:effectLst/>
        </c:spPr>
      </c:pivotFmt>
      <c:pivotFmt>
        <c:idx val="33"/>
        <c:spPr>
          <a:solidFill>
            <a:schemeClr val="accent1">
              <a:lumMod val="20000"/>
              <a:lumOff val="80000"/>
            </a:schemeClr>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50000"/>
            </a:schemeClr>
          </a:solidFill>
          <a:ln w="19050">
            <a:solidFill>
              <a:schemeClr val="lt1"/>
            </a:solidFill>
          </a:ln>
          <a:effectLst/>
        </c:spPr>
      </c:pivotFmt>
      <c:pivotFmt>
        <c:idx val="37"/>
        <c:spPr>
          <a:solidFill>
            <a:schemeClr val="accent1">
              <a:lumMod val="75000"/>
            </a:schemeClr>
          </a:solidFill>
          <a:ln w="19050">
            <a:solidFill>
              <a:schemeClr val="lt1"/>
            </a:solidFill>
          </a:ln>
          <a:effectLst/>
        </c:spPr>
      </c:pivotFmt>
      <c:pivotFmt>
        <c:idx val="38"/>
        <c:spPr>
          <a:solidFill>
            <a:schemeClr val="accent1">
              <a:lumMod val="75000"/>
            </a:schemeClr>
          </a:solidFill>
          <a:ln w="19050">
            <a:solidFill>
              <a:schemeClr val="lt1"/>
            </a:solidFill>
          </a:ln>
          <a:effectLst/>
        </c:spPr>
      </c:pivotFmt>
      <c:pivotFmt>
        <c:idx val="39"/>
        <c:spPr>
          <a:solidFill>
            <a:schemeClr val="accent1">
              <a:lumMod val="60000"/>
              <a:lumOff val="40000"/>
            </a:schemeClr>
          </a:solidFill>
          <a:ln w="19050">
            <a:solidFill>
              <a:schemeClr val="lt1"/>
            </a:solidFill>
          </a:ln>
          <a:effectLst/>
        </c:spPr>
      </c:pivotFmt>
      <c:pivotFmt>
        <c:idx val="40"/>
        <c:spPr>
          <a:solidFill>
            <a:schemeClr val="accent1">
              <a:lumMod val="60000"/>
              <a:lumOff val="40000"/>
            </a:schemeClr>
          </a:solidFill>
          <a:ln w="19050">
            <a:solidFill>
              <a:schemeClr val="lt1"/>
            </a:solidFill>
          </a:ln>
          <a:effectLst/>
        </c:spPr>
      </c:pivotFmt>
      <c:pivotFmt>
        <c:idx val="41"/>
        <c:spPr>
          <a:solidFill>
            <a:schemeClr val="accent1">
              <a:lumMod val="40000"/>
              <a:lumOff val="60000"/>
            </a:schemeClr>
          </a:solidFill>
          <a:ln w="19050">
            <a:solidFill>
              <a:schemeClr val="lt1"/>
            </a:solidFill>
          </a:ln>
          <a:effectLst/>
        </c:spPr>
      </c:pivotFmt>
      <c:pivotFmt>
        <c:idx val="42"/>
        <c:spPr>
          <a:solidFill>
            <a:schemeClr val="accent1">
              <a:lumMod val="40000"/>
              <a:lumOff val="60000"/>
            </a:schemeClr>
          </a:solidFill>
          <a:ln w="19050">
            <a:solidFill>
              <a:schemeClr val="lt1"/>
            </a:solidFill>
          </a:ln>
          <a:effectLst/>
        </c:spPr>
      </c:pivotFmt>
      <c:pivotFmt>
        <c:idx val="43"/>
        <c:spPr>
          <a:solidFill>
            <a:schemeClr val="accent1">
              <a:lumMod val="20000"/>
              <a:lumOff val="80000"/>
            </a:schemeClr>
          </a:solidFill>
          <a:ln w="19050">
            <a:solidFill>
              <a:schemeClr val="lt1"/>
            </a:solidFill>
          </a:ln>
          <a:effectLst/>
        </c:spPr>
      </c:pivotFmt>
      <c:pivotFmt>
        <c:idx val="44"/>
        <c:spPr>
          <a:solidFill>
            <a:schemeClr val="accent1">
              <a:lumMod val="20000"/>
              <a:lumOff val="80000"/>
            </a:schemeClr>
          </a:solidFill>
          <a:ln w="19050">
            <a:solidFill>
              <a:schemeClr val="lt1"/>
            </a:solidFill>
          </a:ln>
          <a:effectLst/>
        </c:spPr>
      </c:pivotFmt>
      <c:pivotFmt>
        <c:idx val="45"/>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lumMod val="50000"/>
            </a:schemeClr>
          </a:solidFill>
          <a:ln w="19050">
            <a:solidFill>
              <a:schemeClr val="lt1"/>
            </a:solidFill>
          </a:ln>
          <a:effectLst/>
        </c:spPr>
      </c:pivotFmt>
      <c:pivotFmt>
        <c:idx val="47"/>
        <c:spPr>
          <a:solidFill>
            <a:schemeClr val="accent1">
              <a:lumMod val="75000"/>
            </a:schemeClr>
          </a:solidFill>
          <a:ln w="19050">
            <a:solidFill>
              <a:schemeClr val="lt1"/>
            </a:solidFill>
          </a:ln>
          <a:effectLst/>
        </c:spPr>
      </c:pivotFmt>
      <c:pivotFmt>
        <c:idx val="48"/>
        <c:spPr>
          <a:solidFill>
            <a:schemeClr val="accent1">
              <a:lumMod val="75000"/>
            </a:schemeClr>
          </a:solidFill>
          <a:ln w="19050">
            <a:solidFill>
              <a:schemeClr val="lt1"/>
            </a:solidFill>
          </a:ln>
          <a:effectLst/>
        </c:spPr>
      </c:pivotFmt>
      <c:pivotFmt>
        <c:idx val="49"/>
        <c:spPr>
          <a:solidFill>
            <a:schemeClr val="accent1">
              <a:lumMod val="60000"/>
              <a:lumOff val="40000"/>
            </a:schemeClr>
          </a:solidFill>
          <a:ln w="19050">
            <a:solidFill>
              <a:schemeClr val="lt1"/>
            </a:solidFill>
          </a:ln>
          <a:effectLst/>
        </c:spPr>
      </c:pivotFmt>
      <c:pivotFmt>
        <c:idx val="50"/>
        <c:spPr>
          <a:solidFill>
            <a:schemeClr val="accent1">
              <a:lumMod val="60000"/>
              <a:lumOff val="40000"/>
            </a:schemeClr>
          </a:solidFill>
          <a:ln w="19050">
            <a:solidFill>
              <a:schemeClr val="lt1"/>
            </a:solidFill>
          </a:ln>
          <a:effectLst/>
        </c:spPr>
      </c:pivotFmt>
      <c:pivotFmt>
        <c:idx val="51"/>
        <c:spPr>
          <a:solidFill>
            <a:schemeClr val="accent1">
              <a:lumMod val="40000"/>
              <a:lumOff val="60000"/>
            </a:schemeClr>
          </a:solidFill>
          <a:ln w="19050">
            <a:solidFill>
              <a:schemeClr val="lt1"/>
            </a:solidFill>
          </a:ln>
          <a:effectLst/>
        </c:spPr>
      </c:pivotFmt>
      <c:pivotFmt>
        <c:idx val="52"/>
        <c:spPr>
          <a:solidFill>
            <a:schemeClr val="accent1">
              <a:lumMod val="40000"/>
              <a:lumOff val="60000"/>
            </a:schemeClr>
          </a:solidFill>
          <a:ln w="19050">
            <a:solidFill>
              <a:schemeClr val="lt1"/>
            </a:solidFill>
          </a:ln>
          <a:effectLst/>
        </c:spPr>
      </c:pivotFmt>
      <c:pivotFmt>
        <c:idx val="53"/>
        <c:spPr>
          <a:solidFill>
            <a:schemeClr val="accent1">
              <a:lumMod val="20000"/>
              <a:lumOff val="80000"/>
            </a:schemeClr>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lumMod val="50000"/>
            </a:schemeClr>
          </a:solidFill>
          <a:ln w="19050">
            <a:solidFill>
              <a:schemeClr val="lt1"/>
            </a:solidFill>
          </a:ln>
          <a:effectLst/>
        </c:spPr>
      </c:pivotFmt>
      <c:pivotFmt>
        <c:idx val="58"/>
        <c:spPr>
          <a:solidFill>
            <a:schemeClr val="accent1">
              <a:lumMod val="50000"/>
            </a:schemeClr>
          </a:solidFill>
          <a:ln w="19050">
            <a:solidFill>
              <a:schemeClr val="lt1"/>
            </a:solidFill>
          </a:ln>
          <a:effectLst/>
        </c:spPr>
      </c:pivotFmt>
      <c:pivotFmt>
        <c:idx val="59"/>
        <c:spPr>
          <a:solidFill>
            <a:schemeClr val="accent1">
              <a:lumMod val="50000"/>
            </a:schemeClr>
          </a:solidFill>
          <a:ln w="19050">
            <a:solidFill>
              <a:schemeClr val="lt1"/>
            </a:solidFill>
          </a:ln>
          <a:effectLst/>
        </c:spPr>
      </c:pivotFmt>
      <c:pivotFmt>
        <c:idx val="60"/>
        <c:spPr>
          <a:solidFill>
            <a:schemeClr val="accent1">
              <a:lumMod val="50000"/>
            </a:schemeClr>
          </a:solidFill>
          <a:ln w="19050">
            <a:solidFill>
              <a:schemeClr val="lt1"/>
            </a:solidFill>
          </a:ln>
          <a:effectLst/>
        </c:spPr>
      </c:pivotFmt>
      <c:pivotFmt>
        <c:idx val="61"/>
        <c:spPr>
          <a:solidFill>
            <a:schemeClr val="accent1">
              <a:lumMod val="50000"/>
            </a:schemeClr>
          </a:solidFill>
          <a:ln w="19050">
            <a:solidFill>
              <a:schemeClr val="lt1"/>
            </a:solidFill>
          </a:ln>
          <a:effectLst/>
        </c:spPr>
      </c:pivotFmt>
      <c:pivotFmt>
        <c:idx val="62"/>
        <c:spPr>
          <a:solidFill>
            <a:schemeClr val="accent1">
              <a:lumMod val="50000"/>
            </a:schemeClr>
          </a:solidFill>
          <a:ln w="19050">
            <a:solidFill>
              <a:schemeClr val="lt1"/>
            </a:solidFill>
          </a:ln>
          <a:effectLst/>
        </c:spPr>
      </c:pivotFmt>
      <c:pivotFmt>
        <c:idx val="63"/>
        <c:spPr>
          <a:solidFill>
            <a:schemeClr val="accent1">
              <a:lumMod val="50000"/>
            </a:schemeClr>
          </a:solidFill>
          <a:ln w="19050">
            <a:solidFill>
              <a:schemeClr val="lt1"/>
            </a:solidFill>
          </a:ln>
          <a:effectLst/>
        </c:spPr>
      </c:pivotFmt>
      <c:pivotFmt>
        <c:idx val="64"/>
        <c:spPr>
          <a:solidFill>
            <a:schemeClr val="accent1">
              <a:lumMod val="50000"/>
            </a:schemeClr>
          </a:solidFill>
          <a:ln w="19050">
            <a:solidFill>
              <a:schemeClr val="lt1"/>
            </a:solidFill>
          </a:ln>
          <a:effectLst/>
        </c:spPr>
      </c:pivotFmt>
      <c:pivotFmt>
        <c:idx val="65"/>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lumMod val="50000"/>
            </a:schemeClr>
          </a:solidFill>
          <a:ln w="19050">
            <a:solidFill>
              <a:schemeClr val="lt1"/>
            </a:solidFill>
          </a:ln>
          <a:effectLst/>
        </c:spPr>
      </c:pivotFmt>
      <c:pivotFmt>
        <c:idx val="68"/>
        <c:spPr>
          <a:solidFill>
            <a:schemeClr val="accent1">
              <a:lumMod val="50000"/>
            </a:schemeClr>
          </a:solidFill>
          <a:ln w="19050">
            <a:solidFill>
              <a:schemeClr val="lt1"/>
            </a:solidFill>
          </a:ln>
          <a:effectLst/>
        </c:spPr>
      </c:pivotFmt>
      <c:pivotFmt>
        <c:idx val="69"/>
        <c:spPr>
          <a:solidFill>
            <a:schemeClr val="accent1">
              <a:lumMod val="50000"/>
            </a:schemeClr>
          </a:solidFill>
          <a:ln w="19050">
            <a:solidFill>
              <a:schemeClr val="lt1"/>
            </a:solidFill>
          </a:ln>
          <a:effectLst/>
        </c:spPr>
      </c:pivotFmt>
      <c:pivotFmt>
        <c:idx val="70"/>
        <c:spPr>
          <a:solidFill>
            <a:schemeClr val="accent1">
              <a:lumMod val="50000"/>
            </a:schemeClr>
          </a:solidFill>
          <a:ln w="19050">
            <a:solidFill>
              <a:schemeClr val="lt1"/>
            </a:solidFill>
          </a:ln>
          <a:effectLst/>
        </c:spPr>
      </c:pivotFmt>
      <c:pivotFmt>
        <c:idx val="71"/>
        <c:spPr>
          <a:solidFill>
            <a:schemeClr val="accent1">
              <a:lumMod val="50000"/>
            </a:schemeClr>
          </a:solidFill>
          <a:ln w="19050">
            <a:solidFill>
              <a:schemeClr val="lt1"/>
            </a:solidFill>
          </a:ln>
          <a:effectLst/>
        </c:spPr>
      </c:pivotFmt>
      <c:pivotFmt>
        <c:idx val="72"/>
        <c:spPr>
          <a:solidFill>
            <a:schemeClr val="accent1">
              <a:lumMod val="50000"/>
            </a:schemeClr>
          </a:solidFill>
          <a:ln w="19050">
            <a:solidFill>
              <a:schemeClr val="lt1"/>
            </a:solidFill>
          </a:ln>
          <a:effectLst/>
        </c:spPr>
      </c:pivotFmt>
      <c:pivotFmt>
        <c:idx val="73"/>
        <c:spPr>
          <a:solidFill>
            <a:schemeClr val="accent1">
              <a:lumMod val="50000"/>
            </a:schemeClr>
          </a:solidFill>
          <a:ln w="19050">
            <a:solidFill>
              <a:schemeClr val="lt1"/>
            </a:solidFill>
          </a:ln>
          <a:effectLst/>
        </c:spPr>
      </c:pivotFmt>
      <c:pivotFmt>
        <c:idx val="74"/>
        <c:spPr>
          <a:solidFill>
            <a:schemeClr val="accent1">
              <a:lumMod val="50000"/>
            </a:schemeClr>
          </a:solidFill>
          <a:ln w="19050">
            <a:solidFill>
              <a:schemeClr val="lt1"/>
            </a:solidFill>
          </a:ln>
          <a:effectLst/>
        </c:spPr>
      </c:pivotFmt>
      <c:pivotFmt>
        <c:idx val="75"/>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lumMod val="75000"/>
            </a:schemeClr>
          </a:solidFill>
          <a:ln w="19050">
            <a:solidFill>
              <a:schemeClr val="lt1"/>
            </a:solidFill>
          </a:ln>
          <a:effectLst/>
        </c:spPr>
      </c:pivotFmt>
      <c:pivotFmt>
        <c:idx val="78"/>
        <c:spPr>
          <a:solidFill>
            <a:schemeClr val="accent1">
              <a:lumMod val="75000"/>
            </a:schemeClr>
          </a:solidFill>
          <a:ln w="19050">
            <a:solidFill>
              <a:schemeClr val="lt1"/>
            </a:solidFill>
          </a:ln>
          <a:effectLst/>
        </c:spPr>
      </c:pivotFmt>
      <c:pivotFmt>
        <c:idx val="79"/>
        <c:spPr>
          <a:solidFill>
            <a:schemeClr val="accent1">
              <a:lumMod val="75000"/>
            </a:schemeClr>
          </a:solidFill>
          <a:ln w="19050">
            <a:solidFill>
              <a:schemeClr val="lt1"/>
            </a:solidFill>
          </a:ln>
          <a:effectLst/>
        </c:spPr>
      </c:pivotFmt>
      <c:pivotFmt>
        <c:idx val="80"/>
        <c:spPr>
          <a:solidFill>
            <a:schemeClr val="accent1">
              <a:lumMod val="75000"/>
            </a:schemeClr>
          </a:solidFill>
          <a:ln w="19050">
            <a:solidFill>
              <a:schemeClr val="lt1"/>
            </a:solidFill>
          </a:ln>
          <a:effectLst/>
        </c:spPr>
      </c:pivotFmt>
      <c:pivotFmt>
        <c:idx val="81"/>
        <c:spPr>
          <a:solidFill>
            <a:schemeClr val="accent1">
              <a:lumMod val="75000"/>
            </a:schemeClr>
          </a:solidFill>
          <a:ln w="19050">
            <a:solidFill>
              <a:schemeClr val="lt1"/>
            </a:solidFill>
          </a:ln>
          <a:effectLst/>
        </c:spPr>
      </c:pivotFmt>
      <c:pivotFmt>
        <c:idx val="82"/>
        <c:spPr>
          <a:solidFill>
            <a:schemeClr val="accent1">
              <a:lumMod val="75000"/>
            </a:schemeClr>
          </a:solidFill>
          <a:ln w="19050">
            <a:solidFill>
              <a:schemeClr val="lt1"/>
            </a:solidFill>
          </a:ln>
          <a:effectLst/>
        </c:spPr>
      </c:pivotFmt>
      <c:pivotFmt>
        <c:idx val="83"/>
        <c:spPr>
          <a:solidFill>
            <a:schemeClr val="accent1">
              <a:lumMod val="75000"/>
            </a:schemeClr>
          </a:solidFill>
          <a:ln w="19050">
            <a:solidFill>
              <a:schemeClr val="lt1"/>
            </a:solidFill>
          </a:ln>
          <a:effectLst/>
        </c:spPr>
      </c:pivotFmt>
      <c:pivotFmt>
        <c:idx val="84"/>
        <c:spPr>
          <a:solidFill>
            <a:schemeClr val="accent1">
              <a:lumMod val="75000"/>
            </a:schemeClr>
          </a:solidFill>
          <a:ln w="19050">
            <a:solidFill>
              <a:schemeClr val="lt1"/>
            </a:solidFill>
          </a:ln>
          <a:effectLst/>
        </c:spPr>
      </c:pivotFmt>
      <c:pivotFmt>
        <c:idx val="85"/>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lumMod val="50000"/>
            </a:schemeClr>
          </a:solidFill>
          <a:ln w="19050">
            <a:solidFill>
              <a:schemeClr val="lt1"/>
            </a:solidFill>
          </a:ln>
          <a:effectLst/>
        </c:spPr>
      </c:pivotFmt>
    </c:pivotFmts>
    <c:plotArea>
      <c:layout>
        <c:manualLayout>
          <c:layoutTarget val="inner"/>
          <c:xMode val="edge"/>
          <c:yMode val="edge"/>
          <c:x val="0.1846116448780587"/>
          <c:y val="0.19069560081301809"/>
          <c:w val="0.7802164347752869"/>
          <c:h val="0.78343200961384363"/>
        </c:manualLayout>
      </c:layout>
      <c:barChart>
        <c:barDir val="bar"/>
        <c:grouping val="percentStacked"/>
        <c:varyColors val="0"/>
        <c:ser>
          <c:idx val="0"/>
          <c:order val="0"/>
          <c:tx>
            <c:strRef>
              <c:f>'Family Size by Spending score'!$B$3</c:f>
              <c:strCache>
                <c:ptCount val="1"/>
                <c:pt idx="0">
                  <c:v>Count of CustomerID</c:v>
                </c:pt>
              </c:strCache>
            </c:strRef>
          </c:tx>
          <c:spPr>
            <a:solidFill>
              <a:schemeClr val="accent1">
                <a:lumMod val="50000"/>
              </a:schemeClr>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C52E-42F0-ADDF-1E9E917ED76E}"/>
              </c:ext>
            </c:extLst>
          </c:dPt>
          <c:dPt>
            <c:idx val="1"/>
            <c:invertIfNegative val="0"/>
            <c:bubble3D val="0"/>
            <c:extLst>
              <c:ext xmlns:c16="http://schemas.microsoft.com/office/drawing/2014/chart" uri="{C3380CC4-5D6E-409C-BE32-E72D297353CC}">
                <c16:uniqueId val="{00000003-C52E-42F0-ADDF-1E9E917ED76E}"/>
              </c:ext>
            </c:extLst>
          </c:dPt>
          <c:dPt>
            <c:idx val="2"/>
            <c:invertIfNegative val="0"/>
            <c:bubble3D val="0"/>
            <c:extLst>
              <c:ext xmlns:c16="http://schemas.microsoft.com/office/drawing/2014/chart" uri="{C3380CC4-5D6E-409C-BE32-E72D297353CC}">
                <c16:uniqueId val="{00000005-C52E-42F0-ADDF-1E9E917ED76E}"/>
              </c:ext>
            </c:extLst>
          </c:dPt>
          <c:dPt>
            <c:idx val="3"/>
            <c:invertIfNegative val="0"/>
            <c:bubble3D val="0"/>
            <c:extLst>
              <c:ext xmlns:c16="http://schemas.microsoft.com/office/drawing/2014/chart" uri="{C3380CC4-5D6E-409C-BE32-E72D297353CC}">
                <c16:uniqueId val="{00000007-C52E-42F0-ADDF-1E9E917ED76E}"/>
              </c:ext>
            </c:extLst>
          </c:dPt>
          <c:dPt>
            <c:idx val="4"/>
            <c:invertIfNegative val="0"/>
            <c:bubble3D val="0"/>
            <c:extLst>
              <c:ext xmlns:c16="http://schemas.microsoft.com/office/drawing/2014/chart" uri="{C3380CC4-5D6E-409C-BE32-E72D297353CC}">
                <c16:uniqueId val="{00000009-C52E-42F0-ADDF-1E9E917ED76E}"/>
              </c:ext>
            </c:extLst>
          </c:dPt>
          <c:dPt>
            <c:idx val="5"/>
            <c:invertIfNegative val="0"/>
            <c:bubble3D val="0"/>
            <c:extLst>
              <c:ext xmlns:c16="http://schemas.microsoft.com/office/drawing/2014/chart" uri="{C3380CC4-5D6E-409C-BE32-E72D297353CC}">
                <c16:uniqueId val="{0000000B-C52E-42F0-ADDF-1E9E917ED76E}"/>
              </c:ext>
            </c:extLst>
          </c:dPt>
          <c:dPt>
            <c:idx val="6"/>
            <c:invertIfNegative val="0"/>
            <c:bubble3D val="0"/>
            <c:extLst>
              <c:ext xmlns:c16="http://schemas.microsoft.com/office/drawing/2014/chart" uri="{C3380CC4-5D6E-409C-BE32-E72D297353CC}">
                <c16:uniqueId val="{0000000D-C52E-42F0-ADDF-1E9E917ED76E}"/>
              </c:ext>
            </c:extLst>
          </c:dPt>
          <c:dPt>
            <c:idx val="7"/>
            <c:invertIfNegative val="0"/>
            <c:bubble3D val="0"/>
            <c:extLst>
              <c:ext xmlns:c16="http://schemas.microsoft.com/office/drawing/2014/chart" uri="{C3380CC4-5D6E-409C-BE32-E72D297353CC}">
                <c16:uniqueId val="{0000000F-C52E-42F0-ADDF-1E9E917ED76E}"/>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'Family Size by Spending score'!$A$4:$A$13</c:f>
              <c:strCache>
                <c:ptCount val="9"/>
                <c:pt idx="0">
                  <c:v>2members</c:v>
                </c:pt>
                <c:pt idx="1">
                  <c:v>3members</c:v>
                </c:pt>
                <c:pt idx="2">
                  <c:v>1members</c:v>
                </c:pt>
                <c:pt idx="3">
                  <c:v>4members</c:v>
                </c:pt>
                <c:pt idx="4">
                  <c:v>5members</c:v>
                </c:pt>
                <c:pt idx="5">
                  <c:v>6members</c:v>
                </c:pt>
                <c:pt idx="6">
                  <c:v>7members</c:v>
                </c:pt>
                <c:pt idx="7">
                  <c:v>8members</c:v>
                </c:pt>
                <c:pt idx="8">
                  <c:v>9members</c:v>
                </c:pt>
              </c:strCache>
            </c:strRef>
          </c:cat>
          <c:val>
            <c:numRef>
              <c:f>'Family Size by Spending score'!$B$4:$B$13</c:f>
              <c:numCache>
                <c:formatCode>General</c:formatCode>
                <c:ptCount val="9"/>
                <c:pt idx="0">
                  <c:v>361</c:v>
                </c:pt>
                <c:pt idx="1">
                  <c:v>311</c:v>
                </c:pt>
                <c:pt idx="2">
                  <c:v>299</c:v>
                </c:pt>
                <c:pt idx="3">
                  <c:v>289</c:v>
                </c:pt>
                <c:pt idx="4">
                  <c:v>258</c:v>
                </c:pt>
                <c:pt idx="5">
                  <c:v>243</c:v>
                </c:pt>
                <c:pt idx="6">
                  <c:v>234</c:v>
                </c:pt>
                <c:pt idx="7">
                  <c:v>4</c:v>
                </c:pt>
                <c:pt idx="8">
                  <c:v>1</c:v>
                </c:pt>
              </c:numCache>
            </c:numRef>
          </c:val>
          <c:extLst>
            <c:ext xmlns:c16="http://schemas.microsoft.com/office/drawing/2014/chart" uri="{C3380CC4-5D6E-409C-BE32-E72D297353CC}">
              <c16:uniqueId val="{00000010-C52E-42F0-ADDF-1E9E917ED76E}"/>
            </c:ext>
          </c:extLst>
        </c:ser>
        <c:ser>
          <c:idx val="1"/>
          <c:order val="1"/>
          <c:tx>
            <c:strRef>
              <c:f>'Family Size by Spending score'!$C$3</c:f>
              <c:strCache>
                <c:ptCount val="1"/>
                <c:pt idx="0">
                  <c:v>Average of Spending Score (1-100)</c:v>
                </c:pt>
              </c:strCache>
            </c:strRef>
          </c:tx>
          <c:spPr>
            <a:solidFill>
              <a:schemeClr val="accent1">
                <a:lumMod val="75000"/>
              </a:schemeClr>
            </a:solidFill>
            <a:ln w="19050">
              <a:solidFill>
                <a:schemeClr val="lt1"/>
              </a:solidFill>
            </a:ln>
            <a:effectLst/>
          </c:spPr>
          <c:invertIfNegative val="0"/>
          <c:dPt>
            <c:idx val="0"/>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9-645F-47D9-BD20-B38484056309}"/>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B-645F-47D9-BD20-B38484056309}"/>
              </c:ext>
            </c:extLst>
          </c:dPt>
          <c:dPt>
            <c:idx val="2"/>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D-645F-47D9-BD20-B38484056309}"/>
              </c:ext>
            </c:extLst>
          </c:dPt>
          <c:dPt>
            <c:idx val="3"/>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F-645F-47D9-BD20-B38484056309}"/>
              </c:ext>
            </c:extLst>
          </c:dPt>
          <c:dPt>
            <c:idx val="4"/>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11-645F-47D9-BD20-B38484056309}"/>
              </c:ext>
            </c:extLst>
          </c:dPt>
          <c:dPt>
            <c:idx val="5"/>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13-645F-47D9-BD20-B38484056309}"/>
              </c:ext>
            </c:extLst>
          </c:dPt>
          <c:dPt>
            <c:idx val="6"/>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15-645F-47D9-BD20-B38484056309}"/>
              </c:ext>
            </c:extLst>
          </c:dPt>
          <c:dPt>
            <c:idx val="7"/>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17-645F-47D9-BD20-B38484056309}"/>
              </c:ext>
            </c:extLst>
          </c:dPt>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1"/>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'Family Size by Spending score'!$A$4:$A$13</c:f>
              <c:strCache>
                <c:ptCount val="9"/>
                <c:pt idx="0">
                  <c:v>2members</c:v>
                </c:pt>
                <c:pt idx="1">
                  <c:v>3members</c:v>
                </c:pt>
                <c:pt idx="2">
                  <c:v>1members</c:v>
                </c:pt>
                <c:pt idx="3">
                  <c:v>4members</c:v>
                </c:pt>
                <c:pt idx="4">
                  <c:v>5members</c:v>
                </c:pt>
                <c:pt idx="5">
                  <c:v>6members</c:v>
                </c:pt>
                <c:pt idx="6">
                  <c:v>7members</c:v>
                </c:pt>
                <c:pt idx="7">
                  <c:v>8members</c:v>
                </c:pt>
                <c:pt idx="8">
                  <c:v>9members</c:v>
                </c:pt>
              </c:strCache>
            </c:strRef>
          </c:cat>
          <c:val>
            <c:numRef>
              <c:f>'Family Size by Spending score'!$C$4:$C$13</c:f>
              <c:numCache>
                <c:formatCode>0</c:formatCode>
                <c:ptCount val="9"/>
                <c:pt idx="0">
                  <c:v>50.362880886426595</c:v>
                </c:pt>
                <c:pt idx="1">
                  <c:v>51.951768488745984</c:v>
                </c:pt>
                <c:pt idx="2">
                  <c:v>49.645484949832777</c:v>
                </c:pt>
                <c:pt idx="3">
                  <c:v>52.709342560553637</c:v>
                </c:pt>
                <c:pt idx="4">
                  <c:v>52.178294573643413</c:v>
                </c:pt>
                <c:pt idx="5">
                  <c:v>49.942386831275719</c:v>
                </c:pt>
                <c:pt idx="6">
                  <c:v>49.991452991452988</c:v>
                </c:pt>
                <c:pt idx="7">
                  <c:v>49.25</c:v>
                </c:pt>
                <c:pt idx="8">
                  <c:v>17</c:v>
                </c:pt>
              </c:numCache>
            </c:numRef>
          </c:val>
          <c:extLst>
            <c:ext xmlns:c16="http://schemas.microsoft.com/office/drawing/2014/chart" uri="{C3380CC4-5D6E-409C-BE32-E72D297353CC}">
              <c16:uniqueId val="{00000011-C52E-42F0-ADDF-1E9E917ED76E}"/>
            </c:ext>
          </c:extLst>
        </c:ser>
        <c:dLbls>
          <c:showLegendKey val="0"/>
          <c:showVal val="0"/>
          <c:showCatName val="0"/>
          <c:showSerName val="0"/>
          <c:showPercent val="0"/>
          <c:showBubbleSize val="0"/>
        </c:dLbls>
        <c:gapWidth val="0"/>
        <c:overlap val="100"/>
        <c:axId val="645434463"/>
        <c:axId val="645434943"/>
      </c:barChart>
      <c:catAx>
        <c:axId val="64543446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1">
                    <a:lumMod val="50000"/>
                  </a:schemeClr>
                </a:solidFill>
                <a:latin typeface="Georgia" panose="02040502050405020303" pitchFamily="18" charset="0"/>
                <a:ea typeface="+mn-ea"/>
                <a:cs typeface="+mn-cs"/>
              </a:defRPr>
            </a:pPr>
            <a:endParaRPr lang="en-NG"/>
          </a:p>
        </c:txPr>
        <c:crossAx val="645434943"/>
        <c:crosses val="autoZero"/>
        <c:auto val="1"/>
        <c:lblAlgn val="ctr"/>
        <c:lblOffset val="100"/>
        <c:noMultiLvlLbl val="0"/>
      </c:catAx>
      <c:valAx>
        <c:axId val="645434943"/>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645434463"/>
        <c:crosses val="autoZero"/>
        <c:crossBetween val="between"/>
      </c:valAx>
      <c:spPr>
        <a:noFill/>
        <a:ln>
          <a:noFill/>
        </a:ln>
        <a:effectLst/>
      </c:spPr>
    </c:plotArea>
    <c:legend>
      <c:legendPos val="t"/>
      <c:layout>
        <c:manualLayout>
          <c:xMode val="edge"/>
          <c:yMode val="edge"/>
          <c:x val="5.3959971427184283E-2"/>
          <c:y val="0.10378374844562725"/>
          <c:w val="0.94603982372039452"/>
          <c:h val="0.10777211340667205"/>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[CustomersTask24A.xlsx]Gender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distribution by Total annual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noFill/>
          </a:ln>
          <a:effectLst/>
        </c:spPr>
      </c:pivotFmt>
      <c:pivotFmt>
        <c:idx val="2"/>
        <c:spPr>
          <a:solidFill>
            <a:schemeClr val="accent1">
              <a:lumMod val="75000"/>
            </a:schemeClr>
          </a:solidFill>
          <a:ln w="19050">
            <a:noFill/>
          </a:ln>
          <a:effectLst/>
        </c:spPr>
      </c:pivotFmt>
    </c:pivotFmts>
    <c:plotArea>
      <c:layout>
        <c:manualLayout>
          <c:layoutTarget val="inner"/>
          <c:xMode val="edge"/>
          <c:yMode val="edge"/>
          <c:x val="0.23229461942257218"/>
          <c:y val="0.12944152814231555"/>
          <c:w val="0.45880905511811021"/>
          <c:h val="0.76468175853018372"/>
        </c:manualLayout>
      </c:layout>
      <c:pieChart>
        <c:varyColors val="1"/>
        <c:ser>
          <c:idx val="0"/>
          <c:order val="0"/>
          <c:tx>
            <c:strRef>
              <c:f>'Gender Analysis'!$B$3</c:f>
              <c:strCache>
                <c:ptCount val="1"/>
                <c:pt idx="0">
                  <c:v>Total</c:v>
                </c:pt>
              </c:strCache>
            </c:strRef>
          </c:tx>
          <c:spPr>
            <a:solidFill>
              <a:schemeClr val="accent6">
                <a:lumMod val="50000"/>
              </a:schemeClr>
            </a:solidFill>
            <a:ln>
              <a:noFill/>
            </a:ln>
          </c:spPr>
          <c:dPt>
            <c:idx val="0"/>
            <c:bubble3D val="0"/>
            <c:explosion val="6"/>
            <c:spPr>
              <a:solidFill>
                <a:schemeClr val="accent1">
                  <a:lumMod val="50000"/>
                </a:schemeClr>
              </a:solidFill>
              <a:ln w="19050">
                <a:noFill/>
              </a:ln>
              <a:effectLst/>
            </c:spPr>
            <c:extLst>
              <c:ext xmlns:c16="http://schemas.microsoft.com/office/drawing/2014/chart" uri="{C3380CC4-5D6E-409C-BE32-E72D297353CC}">
                <c16:uniqueId val="{00000002-6B68-43CD-A0AE-AA8E3C3DA661}"/>
              </c:ext>
            </c:extLst>
          </c:dPt>
          <c:dPt>
            <c:idx val="1"/>
            <c:bubble3D val="0"/>
            <c:spPr>
              <a:solidFill>
                <a:schemeClr val="accent1">
                  <a:lumMod val="75000"/>
                </a:schemeClr>
              </a:solidFill>
              <a:ln w="19050">
                <a:noFill/>
              </a:ln>
              <a:effectLst/>
            </c:spPr>
            <c:extLst>
              <c:ext xmlns:c16="http://schemas.microsoft.com/office/drawing/2014/chart" uri="{C3380CC4-5D6E-409C-BE32-E72D297353CC}">
                <c16:uniqueId val="{00000003-6B68-43CD-A0AE-AA8E3C3DA6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Analysis'!$A$4:$A$6</c:f>
              <c:strCache>
                <c:ptCount val="2"/>
                <c:pt idx="0">
                  <c:v>Female</c:v>
                </c:pt>
                <c:pt idx="1">
                  <c:v>Male</c:v>
                </c:pt>
              </c:strCache>
            </c:strRef>
          </c:cat>
          <c:val>
            <c:numRef>
              <c:f>'Gender Analysis'!$B$4:$B$6</c:f>
              <c:numCache>
                <c:formatCode>0.00%</c:formatCode>
                <c:ptCount val="2"/>
                <c:pt idx="0">
                  <c:v>0.59204618972153367</c:v>
                </c:pt>
                <c:pt idx="1">
                  <c:v>0.40795381027846633</c:v>
                </c:pt>
              </c:numCache>
            </c:numRef>
          </c:val>
          <c:extLst>
            <c:ext xmlns:c16="http://schemas.microsoft.com/office/drawing/2014/chart" uri="{C3380CC4-5D6E-409C-BE32-E72D297353CC}">
              <c16:uniqueId val="{00000000-6B68-43CD-A0AE-AA8E3C3DA661}"/>
            </c:ext>
          </c:extLst>
        </c:ser>
        <c:dLbls>
          <c:dLblPos val="outEnd"/>
          <c:showLegendKey val="0"/>
          <c:showVal val="1"/>
          <c:showCatName val="0"/>
          <c:showSerName val="0"/>
          <c:showPercent val="0"/>
          <c:showBubbleSize val="0"/>
          <c:showLeaderLines val="1"/>
        </c:dLbls>
        <c:firstSliceAng val="169"/>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[CustomersTask24A.xlsx]Age group by annual Income!PivotTable1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groups by Total Annual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noFill/>
          </a:ln>
          <a:effectLst/>
        </c:spPr>
      </c:pivotFmt>
      <c:pivotFmt>
        <c:idx val="2"/>
        <c:spPr>
          <a:solidFill>
            <a:schemeClr val="accent1">
              <a:lumMod val="75000"/>
            </a:schemeClr>
          </a:solidFill>
          <a:ln w="19050">
            <a:noFill/>
          </a:ln>
          <a:effectLst/>
        </c:spPr>
      </c:pivotFmt>
      <c:pivotFmt>
        <c:idx val="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19050">
            <a:noFill/>
          </a:ln>
          <a:effectLst/>
        </c:spPr>
      </c:pivotFmt>
      <c:pivotFmt>
        <c:idx val="5"/>
        <c:spPr>
          <a:solidFill>
            <a:schemeClr val="accent1">
              <a:lumMod val="75000"/>
            </a:schemeClr>
          </a:solidFill>
          <a:ln w="19050">
            <a:noFill/>
          </a:ln>
          <a:effectLst/>
        </c:spPr>
      </c:pivotFmt>
      <c:pivotFmt>
        <c:idx val="6"/>
        <c:spPr>
          <a:solidFill>
            <a:schemeClr val="accent1">
              <a:lumMod val="50000"/>
            </a:schemeClr>
          </a:solidFill>
          <a:ln w="19050">
            <a:noFill/>
          </a:ln>
          <a:effectLst/>
        </c:spPr>
      </c:pivotFmt>
      <c:pivotFmt>
        <c:idx val="7"/>
        <c:spPr>
          <a:solidFill>
            <a:schemeClr val="accent1">
              <a:lumMod val="50000"/>
            </a:schemeClr>
          </a:solidFill>
          <a:ln w="19050">
            <a:noFill/>
          </a:ln>
          <a:effectLst/>
        </c:spPr>
      </c:pivotFmt>
      <c:pivotFmt>
        <c:idx val="8"/>
        <c:spPr>
          <a:solidFill>
            <a:schemeClr val="accent1">
              <a:lumMod val="75000"/>
            </a:schemeClr>
          </a:solidFill>
          <a:ln w="19050">
            <a:noFill/>
          </a:ln>
          <a:effectLst/>
        </c:spPr>
      </c:pivotFmt>
      <c:pivotFmt>
        <c:idx val="9"/>
        <c:spPr>
          <a:solidFill>
            <a:schemeClr val="accent1">
              <a:lumMod val="75000"/>
            </a:schemeClr>
          </a:solidFill>
          <a:ln w="19050">
            <a:noFill/>
          </a:ln>
          <a:effectLst/>
        </c:spPr>
      </c:pivotFmt>
      <c:pivotFmt>
        <c:idx val="10"/>
        <c:spPr>
          <a:solidFill>
            <a:schemeClr val="accent1">
              <a:lumMod val="60000"/>
              <a:lumOff val="40000"/>
            </a:schemeClr>
          </a:solidFill>
          <a:ln w="19050">
            <a:noFill/>
          </a:ln>
          <a:effectLst/>
        </c:spPr>
      </c:pivotFmt>
      <c:pivotFmt>
        <c:idx val="11"/>
        <c:spPr>
          <a:solidFill>
            <a:schemeClr val="accent1">
              <a:lumMod val="40000"/>
              <a:lumOff val="60000"/>
            </a:schemeClr>
          </a:solidFill>
          <a:ln w="19050">
            <a:noFill/>
          </a:ln>
          <a:effectLst/>
        </c:spPr>
      </c:pivotFmt>
      <c:pivotFmt>
        <c:idx val="12"/>
        <c:spPr>
          <a:solidFill>
            <a:schemeClr val="accent1">
              <a:lumMod val="20000"/>
              <a:lumOff val="80000"/>
            </a:schemeClr>
          </a:solidFill>
          <a:ln w="19050">
            <a:no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 group by annual Income'!$B$3</c:f>
              <c:strCache>
                <c:ptCount val="1"/>
                <c:pt idx="0">
                  <c:v>Total</c:v>
                </c:pt>
              </c:strCache>
            </c:strRef>
          </c:tx>
          <c:spPr>
            <a:solidFill>
              <a:schemeClr val="accent6">
                <a:lumMod val="50000"/>
              </a:schemeClr>
            </a:solidFill>
            <a:ln w="19050">
              <a:noFill/>
            </a:ln>
            <a:effectLst/>
          </c:spPr>
          <c:invertIfNegative val="0"/>
          <c:dPt>
            <c:idx val="0"/>
            <c:invertIfNegative val="0"/>
            <c:bubble3D val="0"/>
            <c:explosion val="6"/>
            <c:spPr>
              <a:solidFill>
                <a:schemeClr val="accent1">
                  <a:lumMod val="50000"/>
                </a:schemeClr>
              </a:solidFill>
              <a:ln w="19050">
                <a:noFill/>
              </a:ln>
              <a:effectLst/>
            </c:spPr>
            <c:extLst>
              <c:ext xmlns:c16="http://schemas.microsoft.com/office/drawing/2014/chart" uri="{C3380CC4-5D6E-409C-BE32-E72D297353CC}">
                <c16:uniqueId val="{00000001-A9E5-45C4-AAD0-5A2CF264EA1C}"/>
              </c:ext>
            </c:extLst>
          </c:dPt>
          <c:dPt>
            <c:idx val="1"/>
            <c:invertIfNegative val="0"/>
            <c:bubble3D val="0"/>
            <c:spPr>
              <a:solidFill>
                <a:schemeClr val="accent1">
                  <a:lumMod val="50000"/>
                </a:schemeClr>
              </a:solidFill>
              <a:ln w="19050">
                <a:noFill/>
              </a:ln>
              <a:effectLst/>
            </c:spPr>
            <c:extLst>
              <c:ext xmlns:c16="http://schemas.microsoft.com/office/drawing/2014/chart" uri="{C3380CC4-5D6E-409C-BE32-E72D297353CC}">
                <c16:uniqueId val="{00000003-A9E5-45C4-AAD0-5A2CF264EA1C}"/>
              </c:ext>
            </c:extLst>
          </c:dPt>
          <c:dPt>
            <c:idx val="2"/>
            <c:invertIfNegative val="0"/>
            <c:bubble3D val="0"/>
            <c:spPr>
              <a:solidFill>
                <a:schemeClr val="accent1">
                  <a:lumMod val="75000"/>
                </a:schemeClr>
              </a:solidFill>
              <a:ln w="19050">
                <a:noFill/>
              </a:ln>
              <a:effectLst/>
            </c:spPr>
            <c:extLst>
              <c:ext xmlns:c16="http://schemas.microsoft.com/office/drawing/2014/chart" uri="{C3380CC4-5D6E-409C-BE32-E72D297353CC}">
                <c16:uniqueId val="{00000005-A9E5-45C4-AAD0-5A2CF264EA1C}"/>
              </c:ext>
            </c:extLst>
          </c:dPt>
          <c:dPt>
            <c:idx val="3"/>
            <c:invertIfNegative val="0"/>
            <c:bubble3D val="0"/>
            <c:spPr>
              <a:solidFill>
                <a:schemeClr val="accent1">
                  <a:lumMod val="75000"/>
                </a:schemeClr>
              </a:solidFill>
              <a:ln w="19050">
                <a:noFill/>
              </a:ln>
              <a:effectLst/>
            </c:spPr>
            <c:extLst>
              <c:ext xmlns:c16="http://schemas.microsoft.com/office/drawing/2014/chart" uri="{C3380CC4-5D6E-409C-BE32-E72D297353CC}">
                <c16:uniqueId val="{00000006-A9E5-45C4-AAD0-5A2CF264EA1C}"/>
              </c:ext>
            </c:extLst>
          </c:dPt>
          <c:dPt>
            <c:idx val="4"/>
            <c:invertIfNegative val="0"/>
            <c:bubble3D val="0"/>
            <c:spPr>
              <a:solidFill>
                <a:schemeClr val="accent1">
                  <a:lumMod val="60000"/>
                  <a:lumOff val="40000"/>
                </a:schemeClr>
              </a:solidFill>
              <a:ln w="19050">
                <a:noFill/>
              </a:ln>
              <a:effectLst/>
            </c:spPr>
            <c:extLst>
              <c:ext xmlns:c16="http://schemas.microsoft.com/office/drawing/2014/chart" uri="{C3380CC4-5D6E-409C-BE32-E72D297353CC}">
                <c16:uniqueId val="{00000007-A9E5-45C4-AAD0-5A2CF264EA1C}"/>
              </c:ext>
            </c:extLst>
          </c:dPt>
          <c:dPt>
            <c:idx val="5"/>
            <c:invertIfNegative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8-A9E5-45C4-AAD0-5A2CF264EA1C}"/>
              </c:ext>
            </c:extLst>
          </c:dPt>
          <c:dPt>
            <c:idx val="6"/>
            <c:invertIfNegative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9-A9E5-45C4-AAD0-5A2CF264EA1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by annual Income'!$A$4:$A$11</c:f>
              <c:strCache>
                <c:ptCount val="7"/>
                <c:pt idx="0">
                  <c:v>Silent</c:v>
                </c:pt>
                <c:pt idx="1">
                  <c:v>Baby Boomers</c:v>
                </c:pt>
                <c:pt idx="2">
                  <c:v>Millenials</c:v>
                </c:pt>
                <c:pt idx="3">
                  <c:v>Gen Z</c:v>
                </c:pt>
                <c:pt idx="4">
                  <c:v>Gen X</c:v>
                </c:pt>
                <c:pt idx="5">
                  <c:v>Gen A</c:v>
                </c:pt>
                <c:pt idx="6">
                  <c:v>Greatest</c:v>
                </c:pt>
              </c:strCache>
            </c:strRef>
          </c:cat>
          <c:val>
            <c:numRef>
              <c:f>'Age group by annual Income'!$B$4:$B$11</c:f>
              <c:numCache>
                <c:formatCode>[$$-409]#,##0</c:formatCode>
                <c:ptCount val="7"/>
                <c:pt idx="0">
                  <c:v>41760252</c:v>
                </c:pt>
                <c:pt idx="1">
                  <c:v>40514275</c:v>
                </c:pt>
                <c:pt idx="2">
                  <c:v>37394830</c:v>
                </c:pt>
                <c:pt idx="3">
                  <c:v>36952078</c:v>
                </c:pt>
                <c:pt idx="4">
                  <c:v>33504512</c:v>
                </c:pt>
                <c:pt idx="5">
                  <c:v>25361080</c:v>
                </c:pt>
                <c:pt idx="6">
                  <c:v>5976616</c:v>
                </c:pt>
              </c:numCache>
            </c:numRef>
          </c:val>
          <c:extLst>
            <c:ext xmlns:c16="http://schemas.microsoft.com/office/drawing/2014/chart" uri="{C3380CC4-5D6E-409C-BE32-E72D297353CC}">
              <c16:uniqueId val="{00000004-A9E5-45C4-AAD0-5A2CF264EA1C}"/>
            </c:ext>
          </c:extLst>
        </c:ser>
        <c:dLbls>
          <c:dLblPos val="outEnd"/>
          <c:showLegendKey val="0"/>
          <c:showVal val="1"/>
          <c:showCatName val="0"/>
          <c:showSerName val="0"/>
          <c:showPercent val="0"/>
          <c:showBubbleSize val="0"/>
        </c:dLbls>
        <c:gapWidth val="20"/>
        <c:axId val="645434463"/>
        <c:axId val="645434943"/>
      </c:barChart>
      <c:catAx>
        <c:axId val="64543446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645434943"/>
        <c:crosses val="autoZero"/>
        <c:auto val="1"/>
        <c:lblAlgn val="ctr"/>
        <c:lblOffset val="100"/>
        <c:noMultiLvlLbl val="0"/>
      </c:catAx>
      <c:valAx>
        <c:axId val="645434943"/>
        <c:scaling>
          <c:orientation val="minMax"/>
        </c:scaling>
        <c:delete val="1"/>
        <c:axPos val="t"/>
        <c:majorGridlines>
          <c:spPr>
            <a:ln w="9525" cap="flat" cmpd="sng" algn="ctr">
              <a:solidFill>
                <a:schemeClr val="tx1">
                  <a:lumMod val="15000"/>
                  <a:lumOff val="85000"/>
                </a:schemeClr>
              </a:solidFill>
              <a:round/>
            </a:ln>
            <a:effectLst/>
          </c:spPr>
        </c:majorGridlines>
        <c:numFmt formatCode="[$$-409]#,##0" sourceLinked="1"/>
        <c:majorTickMark val="out"/>
        <c:minorTickMark val="none"/>
        <c:tickLblPos val="nextTo"/>
        <c:crossAx val="64543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[CustomersTask24A.xlsx]Profession by annual Income!PivotTable1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Profession</a:t>
            </a:r>
            <a:r>
              <a:rPr lang="en-US" baseline="0"/>
              <a:t> By Total Annual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noFill/>
          </a:ln>
          <a:effectLst/>
        </c:spPr>
      </c:pivotFmt>
      <c:pivotFmt>
        <c:idx val="2"/>
        <c:spPr>
          <a:solidFill>
            <a:schemeClr val="accent1">
              <a:lumMod val="75000"/>
            </a:schemeClr>
          </a:solidFill>
          <a:ln w="19050">
            <a:noFill/>
          </a:ln>
          <a:effectLst/>
        </c:spPr>
      </c:pivotFmt>
      <c:pivotFmt>
        <c:idx val="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19050">
            <a:noFill/>
          </a:ln>
          <a:effectLst/>
        </c:spPr>
      </c:pivotFmt>
      <c:pivotFmt>
        <c:idx val="5"/>
        <c:spPr>
          <a:solidFill>
            <a:schemeClr val="accent1">
              <a:lumMod val="75000"/>
            </a:schemeClr>
          </a:solidFill>
          <a:ln w="19050">
            <a:noFill/>
          </a:ln>
          <a:effectLst/>
        </c:spPr>
      </c:pivotFmt>
      <c:pivotFmt>
        <c:idx val="6"/>
        <c:spPr>
          <a:solidFill>
            <a:schemeClr val="accent1">
              <a:lumMod val="50000"/>
            </a:schemeClr>
          </a:solidFill>
          <a:ln w="19050">
            <a:noFill/>
          </a:ln>
          <a:effectLst/>
        </c:spPr>
      </c:pivotFmt>
      <c:pivotFmt>
        <c:idx val="7"/>
        <c:spPr>
          <a:solidFill>
            <a:schemeClr val="accent1">
              <a:lumMod val="50000"/>
            </a:schemeClr>
          </a:solidFill>
          <a:ln w="19050">
            <a:noFill/>
          </a:ln>
          <a:effectLst/>
        </c:spPr>
      </c:pivotFmt>
      <c:pivotFmt>
        <c:idx val="8"/>
        <c:spPr>
          <a:solidFill>
            <a:schemeClr val="accent1">
              <a:lumMod val="75000"/>
            </a:schemeClr>
          </a:solidFill>
          <a:ln w="19050">
            <a:noFill/>
          </a:ln>
          <a:effectLst/>
        </c:spPr>
      </c:pivotFmt>
      <c:pivotFmt>
        <c:idx val="9"/>
        <c:spPr>
          <a:solidFill>
            <a:schemeClr val="accent1">
              <a:lumMod val="75000"/>
            </a:schemeClr>
          </a:solidFill>
          <a:ln w="19050">
            <a:noFill/>
          </a:ln>
          <a:effectLst/>
        </c:spPr>
      </c:pivotFmt>
      <c:pivotFmt>
        <c:idx val="10"/>
        <c:spPr>
          <a:solidFill>
            <a:schemeClr val="accent1">
              <a:lumMod val="60000"/>
              <a:lumOff val="40000"/>
            </a:schemeClr>
          </a:solidFill>
          <a:ln w="19050">
            <a:noFill/>
          </a:ln>
          <a:effectLst/>
        </c:spPr>
      </c:pivotFmt>
      <c:pivotFmt>
        <c:idx val="11"/>
        <c:spPr>
          <a:solidFill>
            <a:schemeClr val="accent1">
              <a:lumMod val="40000"/>
              <a:lumOff val="60000"/>
            </a:schemeClr>
          </a:solidFill>
          <a:ln w="19050">
            <a:noFill/>
          </a:ln>
          <a:effectLst/>
        </c:spPr>
      </c:pivotFmt>
      <c:pivotFmt>
        <c:idx val="12"/>
        <c:spPr>
          <a:solidFill>
            <a:schemeClr val="accent1">
              <a:lumMod val="20000"/>
              <a:lumOff val="80000"/>
            </a:schemeClr>
          </a:solidFill>
          <a:ln w="19050">
            <a:noFill/>
          </a:ln>
          <a:effectLst/>
        </c:spPr>
      </c:pivotFmt>
      <c:pivotFmt>
        <c:idx val="1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w="19050">
            <a:noFill/>
          </a:ln>
          <a:effectLst/>
        </c:spPr>
      </c:pivotFmt>
      <c:pivotFmt>
        <c:idx val="15"/>
        <c:spPr>
          <a:solidFill>
            <a:schemeClr val="accent1">
              <a:lumMod val="50000"/>
            </a:schemeClr>
          </a:solidFill>
          <a:ln w="19050">
            <a:noFill/>
          </a:ln>
          <a:effectLst/>
        </c:spPr>
      </c:pivotFmt>
      <c:pivotFmt>
        <c:idx val="16"/>
        <c:spPr>
          <a:solidFill>
            <a:schemeClr val="accent1">
              <a:lumMod val="75000"/>
            </a:schemeClr>
          </a:solidFill>
          <a:ln w="19050">
            <a:noFill/>
          </a:ln>
          <a:effectLst/>
        </c:spPr>
      </c:pivotFmt>
      <c:pivotFmt>
        <c:idx val="17"/>
        <c:spPr>
          <a:solidFill>
            <a:schemeClr val="accent1">
              <a:lumMod val="75000"/>
            </a:schemeClr>
          </a:solidFill>
          <a:ln w="19050">
            <a:noFill/>
          </a:ln>
          <a:effectLst/>
        </c:spPr>
      </c:pivotFmt>
      <c:pivotFmt>
        <c:idx val="18"/>
        <c:spPr>
          <a:solidFill>
            <a:schemeClr val="accent1">
              <a:lumMod val="60000"/>
              <a:lumOff val="40000"/>
            </a:schemeClr>
          </a:solidFill>
          <a:ln w="19050">
            <a:noFill/>
          </a:ln>
          <a:effectLst/>
        </c:spPr>
      </c:pivotFmt>
      <c:pivotFmt>
        <c:idx val="19"/>
        <c:spPr>
          <a:solidFill>
            <a:schemeClr val="accent1">
              <a:lumMod val="40000"/>
              <a:lumOff val="60000"/>
            </a:schemeClr>
          </a:solidFill>
          <a:ln w="19050">
            <a:noFill/>
          </a:ln>
          <a:effectLst/>
        </c:spPr>
      </c:pivotFmt>
      <c:pivotFmt>
        <c:idx val="20"/>
        <c:spPr>
          <a:solidFill>
            <a:schemeClr val="accent1">
              <a:lumMod val="20000"/>
              <a:lumOff val="80000"/>
            </a:schemeClr>
          </a:solidFill>
          <a:ln w="19050">
            <a:no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20000"/>
              <a:lumOff val="80000"/>
            </a:schemeClr>
          </a:solidFill>
          <a:ln w="19050">
            <a:solidFill>
              <a:schemeClr val="lt1"/>
            </a:solidFill>
          </a:ln>
          <a:effectLst/>
        </c:spPr>
        <c:dLbl>
          <c:idx val="0"/>
          <c:layout>
            <c:manualLayout>
              <c:x val="7.4088367412571453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60000"/>
              <a:lumOff val="40000"/>
            </a:schemeClr>
          </a:solidFill>
          <a:ln w="19050">
            <a:solidFill>
              <a:schemeClr val="lt1"/>
            </a:solidFill>
          </a:ln>
          <a:effectLst/>
        </c:spPr>
      </c:pivotFmt>
      <c:pivotFmt>
        <c:idx val="26"/>
        <c:spPr>
          <a:solidFill>
            <a:schemeClr val="accent1">
              <a:lumMod val="50000"/>
            </a:schemeClr>
          </a:solidFill>
          <a:ln w="19050">
            <a:solidFill>
              <a:schemeClr val="lt1"/>
            </a:solidFill>
          </a:ln>
          <a:effectLst/>
        </c:spPr>
      </c:pivotFmt>
      <c:pivotFmt>
        <c:idx val="27"/>
        <c:spPr>
          <a:solidFill>
            <a:schemeClr val="accent1">
              <a:lumMod val="60000"/>
              <a:lumOff val="40000"/>
            </a:schemeClr>
          </a:solidFill>
          <a:ln w="19050">
            <a:solidFill>
              <a:schemeClr val="lt1"/>
            </a:solidFill>
          </a:ln>
          <a:effectLst/>
        </c:spPr>
      </c:pivotFmt>
      <c:pivotFmt>
        <c:idx val="28"/>
        <c:spPr>
          <a:solidFill>
            <a:schemeClr val="accent1">
              <a:lumMod val="75000"/>
            </a:schemeClr>
          </a:solidFill>
          <a:ln w="19050">
            <a:solidFill>
              <a:schemeClr val="lt1"/>
            </a:solidFill>
          </a:ln>
          <a:effectLst/>
        </c:spPr>
      </c:pivotFmt>
      <c:pivotFmt>
        <c:idx val="29"/>
        <c:spPr>
          <a:solidFill>
            <a:schemeClr val="accent1">
              <a:lumMod val="40000"/>
              <a:lumOff val="60000"/>
            </a:schemeClr>
          </a:solidFill>
          <a:ln w="19050">
            <a:solidFill>
              <a:schemeClr val="lt1"/>
            </a:solidFill>
          </a:ln>
          <a:effectLst/>
        </c:spPr>
      </c:pivotFmt>
      <c:pivotFmt>
        <c:idx val="30"/>
        <c:spPr>
          <a:solidFill>
            <a:schemeClr val="accent1">
              <a:lumMod val="75000"/>
            </a:schemeClr>
          </a:solidFill>
          <a:ln w="19050">
            <a:solidFill>
              <a:schemeClr val="lt1"/>
            </a:solidFill>
          </a:ln>
          <a:effectLst/>
        </c:spPr>
      </c:pivotFmt>
      <c:pivotFmt>
        <c:idx val="31"/>
        <c:spPr>
          <a:solidFill>
            <a:schemeClr val="accent1">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20000"/>
              <a:lumOff val="80000"/>
            </a:schemeClr>
          </a:solidFill>
          <a:ln w="19050">
            <a:solidFill>
              <a:schemeClr val="lt1"/>
            </a:solidFill>
          </a:ln>
          <a:effectLst/>
        </c:spPr>
      </c:pivotFmt>
      <c:pivotFmt>
        <c:idx val="33"/>
        <c:spPr>
          <a:solidFill>
            <a:schemeClr val="accent1">
              <a:lumMod val="40000"/>
              <a:lumOff val="60000"/>
            </a:schemeClr>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'Profession by annual Income'!$B$3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14-15D1-4533-8BF9-14B5CA36CD4B}"/>
              </c:ext>
            </c:extLst>
          </c:dPt>
          <c:dPt>
            <c:idx val="1"/>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15-15D1-4533-8BF9-14B5CA36CD4B}"/>
              </c:ext>
            </c:extLst>
          </c:dPt>
          <c:dPt>
            <c:idx val="2"/>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16-15D1-4533-8BF9-14B5CA36CD4B}"/>
              </c:ext>
            </c:extLst>
          </c:dPt>
          <c:dPt>
            <c:idx val="3"/>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17-15D1-4533-8BF9-14B5CA36CD4B}"/>
              </c:ext>
            </c:extLst>
          </c:dPt>
          <c:dPt>
            <c:idx val="4"/>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18-15D1-4533-8BF9-14B5CA36CD4B}"/>
              </c:ext>
            </c:extLst>
          </c:dPt>
          <c:dPt>
            <c:idx val="5"/>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19-15D1-4533-8BF9-14B5CA36CD4B}"/>
              </c:ext>
            </c:extLst>
          </c:dPt>
          <c:dPt>
            <c:idx val="6"/>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1A-15D1-4533-8BF9-14B5CA36CD4B}"/>
              </c:ext>
            </c:extLst>
          </c:dPt>
          <c:dPt>
            <c:idx val="7"/>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1B-15D1-4533-8BF9-14B5CA36CD4B}"/>
              </c:ext>
            </c:extLst>
          </c:dPt>
          <c:dPt>
            <c:idx val="8"/>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1C-15D1-4533-8BF9-14B5CA36CD4B}"/>
              </c:ext>
            </c:extLst>
          </c:dPt>
          <c:dPt>
            <c:idx val="9"/>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1D-15D1-4533-8BF9-14B5CA36CD4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15D1-4533-8BF9-14B5CA36CD4B}"/>
                </c:ext>
              </c:extLst>
            </c:dLbl>
            <c:dLbl>
              <c:idx val="9"/>
              <c:layout>
                <c:manualLayout>
                  <c:x val="7.4088367412571453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15D1-4533-8BF9-14B5CA36CD4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'Profession by annual Income'!$A$4:$A$14</c:f>
              <c:strCache>
                <c:ptCount val="10"/>
                <c:pt idx="0">
                  <c:v>Artist</c:v>
                </c:pt>
                <c:pt idx="1">
                  <c:v>Healthcare</c:v>
                </c:pt>
                <c:pt idx="2">
                  <c:v>Entertainment</c:v>
                </c:pt>
                <c:pt idx="3">
                  <c:v>Engineer</c:v>
                </c:pt>
                <c:pt idx="4">
                  <c:v>Doctor</c:v>
                </c:pt>
                <c:pt idx="5">
                  <c:v>Executive</c:v>
                </c:pt>
                <c:pt idx="6">
                  <c:v>Lawyer</c:v>
                </c:pt>
                <c:pt idx="7">
                  <c:v>Marketing</c:v>
                </c:pt>
                <c:pt idx="8">
                  <c:v>Homemaker</c:v>
                </c:pt>
                <c:pt idx="9">
                  <c:v>UNKNOWN</c:v>
                </c:pt>
              </c:strCache>
            </c:strRef>
          </c:cat>
          <c:val>
            <c:numRef>
              <c:f>'Profession by annual Income'!$B$4:$B$14</c:f>
              <c:numCache>
                <c:formatCode>[$$-409]#,##0</c:formatCode>
                <c:ptCount val="10"/>
                <c:pt idx="0">
                  <c:v>66571267</c:v>
                </c:pt>
                <c:pt idx="1">
                  <c:v>38162600</c:v>
                </c:pt>
                <c:pt idx="2">
                  <c:v>25892178</c:v>
                </c:pt>
                <c:pt idx="3">
                  <c:v>19897862</c:v>
                </c:pt>
                <c:pt idx="4">
                  <c:v>17963288</c:v>
                </c:pt>
                <c:pt idx="5">
                  <c:v>17406830</c:v>
                </c:pt>
                <c:pt idx="6">
                  <c:v>15761409</c:v>
                </c:pt>
                <c:pt idx="7">
                  <c:v>9179508</c:v>
                </c:pt>
                <c:pt idx="8">
                  <c:v>6525517</c:v>
                </c:pt>
                <c:pt idx="9">
                  <c:v>4103184</c:v>
                </c:pt>
              </c:numCache>
            </c:numRef>
          </c:val>
          <c:extLst>
            <c:ext xmlns:c16="http://schemas.microsoft.com/office/drawing/2014/chart" uri="{C3380CC4-5D6E-409C-BE32-E72D297353CC}">
              <c16:uniqueId val="{00000012-15D1-4533-8BF9-14B5CA36CD4B}"/>
            </c:ext>
          </c:extLst>
        </c:ser>
        <c:dLbls>
          <c:dLblPos val="outEnd"/>
          <c:showLegendKey val="0"/>
          <c:showVal val="1"/>
          <c:showCatName val="0"/>
          <c:showSerName val="0"/>
          <c:showPercent val="0"/>
          <c:showBubbleSize val="0"/>
        </c:dLbls>
        <c:gapWidth val="20"/>
        <c:axId val="645434463"/>
        <c:axId val="645434943"/>
      </c:barChart>
      <c:catAx>
        <c:axId val="64543446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645434943"/>
        <c:crosses val="autoZero"/>
        <c:auto val="1"/>
        <c:lblAlgn val="ctr"/>
        <c:lblOffset val="100"/>
        <c:noMultiLvlLbl val="0"/>
      </c:catAx>
      <c:valAx>
        <c:axId val="645434943"/>
        <c:scaling>
          <c:orientation val="minMax"/>
        </c:scaling>
        <c:delete val="1"/>
        <c:axPos val="t"/>
        <c:majorGridlines>
          <c:spPr>
            <a:ln w="9525" cap="flat" cmpd="sng" algn="ctr">
              <a:solidFill>
                <a:schemeClr val="tx1">
                  <a:lumMod val="15000"/>
                  <a:lumOff val="85000"/>
                </a:schemeClr>
              </a:solidFill>
              <a:round/>
            </a:ln>
            <a:effectLst/>
          </c:spPr>
        </c:majorGridlines>
        <c:numFmt formatCode="[$$-409]#,##0" sourceLinked="1"/>
        <c:majorTickMark val="out"/>
        <c:minorTickMark val="none"/>
        <c:tickLblPos val="nextTo"/>
        <c:crossAx val="64543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[CustomersTask24A.xlsx]Family Size by Spending score!PivotTable1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Family</a:t>
            </a:r>
            <a:r>
              <a:rPr lang="en-US" baseline="0"/>
              <a:t> Size By Average Spending Score and Total Customer</a:t>
            </a:r>
            <a:endParaRPr lang="en-US"/>
          </a:p>
        </c:rich>
      </c:tx>
      <c:layout>
        <c:manualLayout>
          <c:xMode val="edge"/>
          <c:yMode val="edge"/>
          <c:x val="0.18381653401909817"/>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noFill/>
          </a:ln>
          <a:effectLst/>
        </c:spPr>
      </c:pivotFmt>
      <c:pivotFmt>
        <c:idx val="2"/>
        <c:spPr>
          <a:solidFill>
            <a:schemeClr val="accent1">
              <a:lumMod val="75000"/>
            </a:schemeClr>
          </a:solidFill>
          <a:ln w="19050">
            <a:noFill/>
          </a:ln>
          <a:effectLst/>
        </c:spPr>
      </c:pivotFmt>
      <c:pivotFmt>
        <c:idx val="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19050">
            <a:noFill/>
          </a:ln>
          <a:effectLst/>
        </c:spPr>
      </c:pivotFmt>
      <c:pivotFmt>
        <c:idx val="5"/>
        <c:spPr>
          <a:solidFill>
            <a:schemeClr val="accent1">
              <a:lumMod val="75000"/>
            </a:schemeClr>
          </a:solidFill>
          <a:ln w="19050">
            <a:noFill/>
          </a:ln>
          <a:effectLst/>
        </c:spPr>
      </c:pivotFmt>
      <c:pivotFmt>
        <c:idx val="6"/>
        <c:spPr>
          <a:solidFill>
            <a:schemeClr val="accent1">
              <a:lumMod val="50000"/>
            </a:schemeClr>
          </a:solidFill>
          <a:ln w="19050">
            <a:noFill/>
          </a:ln>
          <a:effectLst/>
        </c:spPr>
      </c:pivotFmt>
      <c:pivotFmt>
        <c:idx val="7"/>
        <c:spPr>
          <a:solidFill>
            <a:schemeClr val="accent1">
              <a:lumMod val="50000"/>
            </a:schemeClr>
          </a:solidFill>
          <a:ln w="19050">
            <a:noFill/>
          </a:ln>
          <a:effectLst/>
        </c:spPr>
      </c:pivotFmt>
      <c:pivotFmt>
        <c:idx val="8"/>
        <c:spPr>
          <a:solidFill>
            <a:schemeClr val="accent1">
              <a:lumMod val="75000"/>
            </a:schemeClr>
          </a:solidFill>
          <a:ln w="19050">
            <a:noFill/>
          </a:ln>
          <a:effectLst/>
        </c:spPr>
      </c:pivotFmt>
      <c:pivotFmt>
        <c:idx val="9"/>
        <c:spPr>
          <a:solidFill>
            <a:schemeClr val="accent1">
              <a:lumMod val="75000"/>
            </a:schemeClr>
          </a:solidFill>
          <a:ln w="19050">
            <a:noFill/>
          </a:ln>
          <a:effectLst/>
        </c:spPr>
      </c:pivotFmt>
      <c:pivotFmt>
        <c:idx val="10"/>
        <c:spPr>
          <a:solidFill>
            <a:schemeClr val="accent1">
              <a:lumMod val="60000"/>
              <a:lumOff val="40000"/>
            </a:schemeClr>
          </a:solidFill>
          <a:ln w="19050">
            <a:noFill/>
          </a:ln>
          <a:effectLst/>
        </c:spPr>
      </c:pivotFmt>
      <c:pivotFmt>
        <c:idx val="11"/>
        <c:spPr>
          <a:solidFill>
            <a:schemeClr val="accent1">
              <a:lumMod val="40000"/>
              <a:lumOff val="60000"/>
            </a:schemeClr>
          </a:solidFill>
          <a:ln w="19050">
            <a:noFill/>
          </a:ln>
          <a:effectLst/>
        </c:spPr>
      </c:pivotFmt>
      <c:pivotFmt>
        <c:idx val="12"/>
        <c:spPr>
          <a:solidFill>
            <a:schemeClr val="accent1">
              <a:lumMod val="20000"/>
              <a:lumOff val="80000"/>
            </a:schemeClr>
          </a:solidFill>
          <a:ln w="19050">
            <a:noFill/>
          </a:ln>
          <a:effectLst/>
        </c:spPr>
      </c:pivotFmt>
      <c:pivotFmt>
        <c:idx val="1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w="19050">
            <a:noFill/>
          </a:ln>
          <a:effectLst/>
        </c:spPr>
      </c:pivotFmt>
      <c:pivotFmt>
        <c:idx val="15"/>
        <c:spPr>
          <a:solidFill>
            <a:schemeClr val="accent1">
              <a:lumMod val="50000"/>
            </a:schemeClr>
          </a:solidFill>
          <a:ln w="19050">
            <a:noFill/>
          </a:ln>
          <a:effectLst/>
        </c:spPr>
      </c:pivotFmt>
      <c:pivotFmt>
        <c:idx val="16"/>
        <c:spPr>
          <a:solidFill>
            <a:schemeClr val="accent1">
              <a:lumMod val="75000"/>
            </a:schemeClr>
          </a:solidFill>
          <a:ln w="19050">
            <a:noFill/>
          </a:ln>
          <a:effectLst/>
        </c:spPr>
      </c:pivotFmt>
      <c:pivotFmt>
        <c:idx val="17"/>
        <c:spPr>
          <a:solidFill>
            <a:schemeClr val="accent1">
              <a:lumMod val="75000"/>
            </a:schemeClr>
          </a:solidFill>
          <a:ln w="19050">
            <a:noFill/>
          </a:ln>
          <a:effectLst/>
        </c:spPr>
      </c:pivotFmt>
      <c:pivotFmt>
        <c:idx val="18"/>
        <c:spPr>
          <a:solidFill>
            <a:schemeClr val="accent1">
              <a:lumMod val="60000"/>
              <a:lumOff val="40000"/>
            </a:schemeClr>
          </a:solidFill>
          <a:ln w="19050">
            <a:noFill/>
          </a:ln>
          <a:effectLst/>
        </c:spPr>
      </c:pivotFmt>
      <c:pivotFmt>
        <c:idx val="19"/>
        <c:spPr>
          <a:solidFill>
            <a:schemeClr val="accent1">
              <a:lumMod val="40000"/>
              <a:lumOff val="60000"/>
            </a:schemeClr>
          </a:solidFill>
          <a:ln w="19050">
            <a:noFill/>
          </a:ln>
          <a:effectLst/>
        </c:spPr>
      </c:pivotFmt>
      <c:pivotFmt>
        <c:idx val="20"/>
        <c:spPr>
          <a:solidFill>
            <a:schemeClr val="accent1">
              <a:lumMod val="20000"/>
              <a:lumOff val="80000"/>
            </a:schemeClr>
          </a:solidFill>
          <a:ln w="19050">
            <a:no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50000"/>
            </a:schemeClr>
          </a:solidFill>
          <a:ln w="19050">
            <a:solidFill>
              <a:schemeClr val="lt1"/>
            </a:solidFill>
          </a:ln>
          <a:effectLst/>
        </c:spPr>
      </c:pivotFmt>
      <c:pivotFmt>
        <c:idx val="26"/>
        <c:spPr>
          <a:solidFill>
            <a:schemeClr val="accent1">
              <a:lumMod val="75000"/>
            </a:schemeClr>
          </a:solidFill>
          <a:ln w="19050">
            <a:solidFill>
              <a:schemeClr val="lt1"/>
            </a:solidFill>
          </a:ln>
          <a:effectLst/>
        </c:spPr>
      </c:pivotFmt>
      <c:pivotFmt>
        <c:idx val="27"/>
        <c:spPr>
          <a:solidFill>
            <a:schemeClr val="accent1">
              <a:lumMod val="75000"/>
            </a:schemeClr>
          </a:solidFill>
          <a:ln w="19050">
            <a:solidFill>
              <a:schemeClr val="lt1"/>
            </a:solidFill>
          </a:ln>
          <a:effectLst/>
        </c:spPr>
      </c:pivotFmt>
      <c:pivotFmt>
        <c:idx val="28"/>
        <c:spPr>
          <a:solidFill>
            <a:schemeClr val="accent1">
              <a:lumMod val="60000"/>
              <a:lumOff val="40000"/>
            </a:schemeClr>
          </a:solidFill>
          <a:ln w="19050">
            <a:solidFill>
              <a:schemeClr val="lt1"/>
            </a:solidFill>
          </a:ln>
          <a:effectLst/>
        </c:spPr>
      </c:pivotFmt>
      <c:pivotFmt>
        <c:idx val="29"/>
        <c:spPr>
          <a:solidFill>
            <a:schemeClr val="accent1">
              <a:lumMod val="60000"/>
              <a:lumOff val="40000"/>
            </a:schemeClr>
          </a:solidFill>
          <a:ln w="19050">
            <a:solidFill>
              <a:schemeClr val="lt1"/>
            </a:solidFill>
          </a:ln>
          <a:effectLst/>
        </c:spPr>
      </c:pivotFmt>
      <c:pivotFmt>
        <c:idx val="30"/>
        <c:spPr>
          <a:solidFill>
            <a:schemeClr val="accent1">
              <a:lumMod val="40000"/>
              <a:lumOff val="60000"/>
            </a:schemeClr>
          </a:solidFill>
          <a:ln w="19050">
            <a:solidFill>
              <a:schemeClr val="lt1"/>
            </a:solidFill>
          </a:ln>
          <a:effectLst/>
        </c:spPr>
      </c:pivotFmt>
      <c:pivotFmt>
        <c:idx val="31"/>
        <c:spPr>
          <a:solidFill>
            <a:schemeClr val="accent1">
              <a:lumMod val="40000"/>
              <a:lumOff val="60000"/>
            </a:schemeClr>
          </a:solidFill>
          <a:ln w="19050">
            <a:solidFill>
              <a:schemeClr val="lt1"/>
            </a:solidFill>
          </a:ln>
          <a:effectLst/>
        </c:spPr>
      </c:pivotFmt>
      <c:pivotFmt>
        <c:idx val="32"/>
        <c:spPr>
          <a:solidFill>
            <a:schemeClr val="accent1">
              <a:lumMod val="20000"/>
              <a:lumOff val="80000"/>
            </a:schemeClr>
          </a:solidFill>
          <a:ln w="19050">
            <a:solidFill>
              <a:schemeClr val="lt1"/>
            </a:solidFill>
          </a:ln>
          <a:effectLst/>
        </c:spPr>
      </c:pivotFmt>
      <c:pivotFmt>
        <c:idx val="33"/>
        <c:spPr>
          <a:solidFill>
            <a:schemeClr val="accent1">
              <a:lumMod val="20000"/>
              <a:lumOff val="80000"/>
            </a:schemeClr>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50000"/>
            </a:schemeClr>
          </a:solidFill>
          <a:ln w="19050">
            <a:solidFill>
              <a:schemeClr val="lt1"/>
            </a:solidFill>
          </a:ln>
          <a:effectLst/>
        </c:spPr>
      </c:pivotFmt>
      <c:pivotFmt>
        <c:idx val="37"/>
        <c:spPr>
          <a:solidFill>
            <a:schemeClr val="accent1">
              <a:lumMod val="75000"/>
            </a:schemeClr>
          </a:solidFill>
          <a:ln w="19050">
            <a:solidFill>
              <a:schemeClr val="lt1"/>
            </a:solidFill>
          </a:ln>
          <a:effectLst/>
        </c:spPr>
      </c:pivotFmt>
      <c:pivotFmt>
        <c:idx val="38"/>
        <c:spPr>
          <a:solidFill>
            <a:schemeClr val="accent1">
              <a:lumMod val="75000"/>
            </a:schemeClr>
          </a:solidFill>
          <a:ln w="19050">
            <a:solidFill>
              <a:schemeClr val="lt1"/>
            </a:solidFill>
          </a:ln>
          <a:effectLst/>
        </c:spPr>
      </c:pivotFmt>
      <c:pivotFmt>
        <c:idx val="39"/>
        <c:spPr>
          <a:solidFill>
            <a:schemeClr val="accent1">
              <a:lumMod val="60000"/>
              <a:lumOff val="40000"/>
            </a:schemeClr>
          </a:solidFill>
          <a:ln w="19050">
            <a:solidFill>
              <a:schemeClr val="lt1"/>
            </a:solidFill>
          </a:ln>
          <a:effectLst/>
        </c:spPr>
      </c:pivotFmt>
      <c:pivotFmt>
        <c:idx val="40"/>
        <c:spPr>
          <a:solidFill>
            <a:schemeClr val="accent1">
              <a:lumMod val="60000"/>
              <a:lumOff val="40000"/>
            </a:schemeClr>
          </a:solidFill>
          <a:ln w="19050">
            <a:solidFill>
              <a:schemeClr val="lt1"/>
            </a:solidFill>
          </a:ln>
          <a:effectLst/>
        </c:spPr>
      </c:pivotFmt>
      <c:pivotFmt>
        <c:idx val="41"/>
        <c:spPr>
          <a:solidFill>
            <a:schemeClr val="accent1">
              <a:lumMod val="40000"/>
              <a:lumOff val="60000"/>
            </a:schemeClr>
          </a:solidFill>
          <a:ln w="19050">
            <a:solidFill>
              <a:schemeClr val="lt1"/>
            </a:solidFill>
          </a:ln>
          <a:effectLst/>
        </c:spPr>
      </c:pivotFmt>
      <c:pivotFmt>
        <c:idx val="42"/>
        <c:spPr>
          <a:solidFill>
            <a:schemeClr val="accent1">
              <a:lumMod val="40000"/>
              <a:lumOff val="60000"/>
            </a:schemeClr>
          </a:solidFill>
          <a:ln w="19050">
            <a:solidFill>
              <a:schemeClr val="lt1"/>
            </a:solidFill>
          </a:ln>
          <a:effectLst/>
        </c:spPr>
      </c:pivotFmt>
      <c:pivotFmt>
        <c:idx val="43"/>
        <c:spPr>
          <a:solidFill>
            <a:schemeClr val="accent1">
              <a:lumMod val="20000"/>
              <a:lumOff val="80000"/>
            </a:schemeClr>
          </a:solidFill>
          <a:ln w="19050">
            <a:solidFill>
              <a:schemeClr val="lt1"/>
            </a:solidFill>
          </a:ln>
          <a:effectLst/>
        </c:spPr>
      </c:pivotFmt>
      <c:pivotFmt>
        <c:idx val="44"/>
        <c:spPr>
          <a:solidFill>
            <a:schemeClr val="accent1">
              <a:lumMod val="20000"/>
              <a:lumOff val="80000"/>
            </a:schemeClr>
          </a:solidFill>
          <a:ln w="19050">
            <a:solidFill>
              <a:schemeClr val="lt1"/>
            </a:solidFill>
          </a:ln>
          <a:effectLst/>
        </c:spPr>
      </c:pivotFmt>
      <c:pivotFmt>
        <c:idx val="45"/>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lumMod val="50000"/>
            </a:schemeClr>
          </a:solidFill>
          <a:ln w="19050">
            <a:solidFill>
              <a:schemeClr val="lt1"/>
            </a:solidFill>
          </a:ln>
          <a:effectLst/>
        </c:spPr>
      </c:pivotFmt>
      <c:pivotFmt>
        <c:idx val="47"/>
        <c:spPr>
          <a:solidFill>
            <a:schemeClr val="accent1">
              <a:lumMod val="75000"/>
            </a:schemeClr>
          </a:solidFill>
          <a:ln w="19050">
            <a:solidFill>
              <a:schemeClr val="lt1"/>
            </a:solidFill>
          </a:ln>
          <a:effectLst/>
        </c:spPr>
      </c:pivotFmt>
      <c:pivotFmt>
        <c:idx val="48"/>
        <c:spPr>
          <a:solidFill>
            <a:schemeClr val="accent1">
              <a:lumMod val="75000"/>
            </a:schemeClr>
          </a:solidFill>
          <a:ln w="19050">
            <a:solidFill>
              <a:schemeClr val="lt1"/>
            </a:solidFill>
          </a:ln>
          <a:effectLst/>
        </c:spPr>
      </c:pivotFmt>
      <c:pivotFmt>
        <c:idx val="49"/>
        <c:spPr>
          <a:solidFill>
            <a:schemeClr val="accent1">
              <a:lumMod val="60000"/>
              <a:lumOff val="40000"/>
            </a:schemeClr>
          </a:solidFill>
          <a:ln w="19050">
            <a:solidFill>
              <a:schemeClr val="lt1"/>
            </a:solidFill>
          </a:ln>
          <a:effectLst/>
        </c:spPr>
      </c:pivotFmt>
      <c:pivotFmt>
        <c:idx val="50"/>
        <c:spPr>
          <a:solidFill>
            <a:schemeClr val="accent1">
              <a:lumMod val="60000"/>
              <a:lumOff val="40000"/>
            </a:schemeClr>
          </a:solidFill>
          <a:ln w="19050">
            <a:solidFill>
              <a:schemeClr val="lt1"/>
            </a:solidFill>
          </a:ln>
          <a:effectLst/>
        </c:spPr>
      </c:pivotFmt>
      <c:pivotFmt>
        <c:idx val="51"/>
        <c:spPr>
          <a:solidFill>
            <a:schemeClr val="accent1">
              <a:lumMod val="40000"/>
              <a:lumOff val="60000"/>
            </a:schemeClr>
          </a:solidFill>
          <a:ln w="19050">
            <a:solidFill>
              <a:schemeClr val="lt1"/>
            </a:solidFill>
          </a:ln>
          <a:effectLst/>
        </c:spPr>
      </c:pivotFmt>
      <c:pivotFmt>
        <c:idx val="52"/>
        <c:spPr>
          <a:solidFill>
            <a:schemeClr val="accent1">
              <a:lumMod val="40000"/>
              <a:lumOff val="60000"/>
            </a:schemeClr>
          </a:solidFill>
          <a:ln w="19050">
            <a:solidFill>
              <a:schemeClr val="lt1"/>
            </a:solidFill>
          </a:ln>
          <a:effectLst/>
        </c:spPr>
      </c:pivotFmt>
      <c:pivotFmt>
        <c:idx val="53"/>
        <c:spPr>
          <a:solidFill>
            <a:schemeClr val="accent1">
              <a:lumMod val="20000"/>
              <a:lumOff val="80000"/>
            </a:schemeClr>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lumMod val="50000"/>
            </a:schemeClr>
          </a:solidFill>
          <a:ln w="19050">
            <a:solidFill>
              <a:schemeClr val="lt1"/>
            </a:solidFill>
          </a:ln>
          <a:effectLst/>
        </c:spPr>
      </c:pivotFmt>
      <c:pivotFmt>
        <c:idx val="58"/>
        <c:spPr>
          <a:solidFill>
            <a:schemeClr val="accent1">
              <a:lumMod val="50000"/>
            </a:schemeClr>
          </a:solidFill>
          <a:ln w="19050">
            <a:solidFill>
              <a:schemeClr val="lt1"/>
            </a:solidFill>
          </a:ln>
          <a:effectLst/>
        </c:spPr>
      </c:pivotFmt>
      <c:pivotFmt>
        <c:idx val="59"/>
        <c:spPr>
          <a:solidFill>
            <a:schemeClr val="accent1">
              <a:lumMod val="50000"/>
            </a:schemeClr>
          </a:solidFill>
          <a:ln w="19050">
            <a:solidFill>
              <a:schemeClr val="lt1"/>
            </a:solidFill>
          </a:ln>
          <a:effectLst/>
        </c:spPr>
      </c:pivotFmt>
      <c:pivotFmt>
        <c:idx val="60"/>
        <c:spPr>
          <a:solidFill>
            <a:schemeClr val="accent1">
              <a:lumMod val="50000"/>
            </a:schemeClr>
          </a:solidFill>
          <a:ln w="19050">
            <a:solidFill>
              <a:schemeClr val="lt1"/>
            </a:solidFill>
          </a:ln>
          <a:effectLst/>
        </c:spPr>
      </c:pivotFmt>
      <c:pivotFmt>
        <c:idx val="61"/>
        <c:spPr>
          <a:solidFill>
            <a:schemeClr val="accent1">
              <a:lumMod val="50000"/>
            </a:schemeClr>
          </a:solidFill>
          <a:ln w="19050">
            <a:solidFill>
              <a:schemeClr val="lt1"/>
            </a:solidFill>
          </a:ln>
          <a:effectLst/>
        </c:spPr>
      </c:pivotFmt>
      <c:pivotFmt>
        <c:idx val="62"/>
        <c:spPr>
          <a:solidFill>
            <a:schemeClr val="accent1">
              <a:lumMod val="50000"/>
            </a:schemeClr>
          </a:solidFill>
          <a:ln w="19050">
            <a:solidFill>
              <a:schemeClr val="lt1"/>
            </a:solidFill>
          </a:ln>
          <a:effectLst/>
        </c:spPr>
      </c:pivotFmt>
      <c:pivotFmt>
        <c:idx val="63"/>
        <c:spPr>
          <a:solidFill>
            <a:schemeClr val="accent1">
              <a:lumMod val="50000"/>
            </a:schemeClr>
          </a:solidFill>
          <a:ln w="19050">
            <a:solidFill>
              <a:schemeClr val="lt1"/>
            </a:solidFill>
          </a:ln>
          <a:effectLst/>
        </c:spPr>
      </c:pivotFmt>
      <c:pivotFmt>
        <c:idx val="64"/>
        <c:spPr>
          <a:solidFill>
            <a:schemeClr val="accent1">
              <a:lumMod val="50000"/>
            </a:schemeClr>
          </a:solidFill>
          <a:ln w="19050">
            <a:solidFill>
              <a:schemeClr val="lt1"/>
            </a:solidFill>
          </a:ln>
          <a:effectLst/>
        </c:spPr>
      </c:pivotFmt>
      <c:pivotFmt>
        <c:idx val="65"/>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08044097164549"/>
          <c:y val="0.19444444444444445"/>
          <c:w val="0.76274784396401718"/>
          <c:h val="0.73659521726450861"/>
        </c:manualLayout>
      </c:layout>
      <c:barChart>
        <c:barDir val="bar"/>
        <c:grouping val="percentStacked"/>
        <c:varyColors val="0"/>
        <c:ser>
          <c:idx val="0"/>
          <c:order val="0"/>
          <c:tx>
            <c:strRef>
              <c:f>'Family Size by Spending score'!$B$3</c:f>
              <c:strCache>
                <c:ptCount val="1"/>
                <c:pt idx="0">
                  <c:v>Count of CustomerID</c:v>
                </c:pt>
              </c:strCache>
            </c:strRef>
          </c:tx>
          <c:spPr>
            <a:solidFill>
              <a:schemeClr val="accent1">
                <a:lumMod val="75000"/>
              </a:schemeClr>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17-78F7-43E7-B678-5CD7D9EE5E1A}"/>
              </c:ext>
            </c:extLst>
          </c:dPt>
          <c:dPt>
            <c:idx val="1"/>
            <c:invertIfNegative val="0"/>
            <c:bubble3D val="0"/>
            <c:extLst>
              <c:ext xmlns:c16="http://schemas.microsoft.com/office/drawing/2014/chart" uri="{C3380CC4-5D6E-409C-BE32-E72D297353CC}">
                <c16:uniqueId val="{00000018-78F7-43E7-B678-5CD7D9EE5E1A}"/>
              </c:ext>
            </c:extLst>
          </c:dPt>
          <c:dPt>
            <c:idx val="2"/>
            <c:invertIfNegative val="0"/>
            <c:bubble3D val="0"/>
            <c:extLst>
              <c:ext xmlns:c16="http://schemas.microsoft.com/office/drawing/2014/chart" uri="{C3380CC4-5D6E-409C-BE32-E72D297353CC}">
                <c16:uniqueId val="{00000019-78F7-43E7-B678-5CD7D9EE5E1A}"/>
              </c:ext>
            </c:extLst>
          </c:dPt>
          <c:dPt>
            <c:idx val="3"/>
            <c:invertIfNegative val="0"/>
            <c:bubble3D val="0"/>
            <c:extLst>
              <c:ext xmlns:c16="http://schemas.microsoft.com/office/drawing/2014/chart" uri="{C3380CC4-5D6E-409C-BE32-E72D297353CC}">
                <c16:uniqueId val="{0000001A-78F7-43E7-B678-5CD7D9EE5E1A}"/>
              </c:ext>
            </c:extLst>
          </c:dPt>
          <c:dPt>
            <c:idx val="4"/>
            <c:invertIfNegative val="0"/>
            <c:bubble3D val="0"/>
            <c:extLst>
              <c:ext xmlns:c16="http://schemas.microsoft.com/office/drawing/2014/chart" uri="{C3380CC4-5D6E-409C-BE32-E72D297353CC}">
                <c16:uniqueId val="{0000001B-78F7-43E7-B678-5CD7D9EE5E1A}"/>
              </c:ext>
            </c:extLst>
          </c:dPt>
          <c:dPt>
            <c:idx val="5"/>
            <c:invertIfNegative val="0"/>
            <c:bubble3D val="0"/>
            <c:extLst>
              <c:ext xmlns:c16="http://schemas.microsoft.com/office/drawing/2014/chart" uri="{C3380CC4-5D6E-409C-BE32-E72D297353CC}">
                <c16:uniqueId val="{0000001C-78F7-43E7-B678-5CD7D9EE5E1A}"/>
              </c:ext>
            </c:extLst>
          </c:dPt>
          <c:dPt>
            <c:idx val="6"/>
            <c:invertIfNegative val="0"/>
            <c:bubble3D val="0"/>
            <c:extLst>
              <c:ext xmlns:c16="http://schemas.microsoft.com/office/drawing/2014/chart" uri="{C3380CC4-5D6E-409C-BE32-E72D297353CC}">
                <c16:uniqueId val="{0000001D-78F7-43E7-B678-5CD7D9EE5E1A}"/>
              </c:ext>
            </c:extLst>
          </c:dPt>
          <c:dPt>
            <c:idx val="7"/>
            <c:invertIfNegative val="0"/>
            <c:bubble3D val="0"/>
            <c:extLst>
              <c:ext xmlns:c16="http://schemas.microsoft.com/office/drawing/2014/chart" uri="{C3380CC4-5D6E-409C-BE32-E72D297353CC}">
                <c16:uniqueId val="{0000001E-78F7-43E7-B678-5CD7D9EE5E1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'Family Size by Spending score'!$A$4:$A$13</c:f>
              <c:strCache>
                <c:ptCount val="9"/>
                <c:pt idx="0">
                  <c:v>2members</c:v>
                </c:pt>
                <c:pt idx="1">
                  <c:v>3members</c:v>
                </c:pt>
                <c:pt idx="2">
                  <c:v>1members</c:v>
                </c:pt>
                <c:pt idx="3">
                  <c:v>4members</c:v>
                </c:pt>
                <c:pt idx="4">
                  <c:v>5members</c:v>
                </c:pt>
                <c:pt idx="5">
                  <c:v>6members</c:v>
                </c:pt>
                <c:pt idx="6">
                  <c:v>7members</c:v>
                </c:pt>
                <c:pt idx="7">
                  <c:v>8members</c:v>
                </c:pt>
                <c:pt idx="8">
                  <c:v>9members</c:v>
                </c:pt>
              </c:strCache>
            </c:strRef>
          </c:cat>
          <c:val>
            <c:numRef>
              <c:f>'Family Size by Spending score'!$B$4:$B$13</c:f>
              <c:numCache>
                <c:formatCode>General</c:formatCode>
                <c:ptCount val="9"/>
                <c:pt idx="0">
                  <c:v>361</c:v>
                </c:pt>
                <c:pt idx="1">
                  <c:v>311</c:v>
                </c:pt>
                <c:pt idx="2">
                  <c:v>299</c:v>
                </c:pt>
                <c:pt idx="3">
                  <c:v>289</c:v>
                </c:pt>
                <c:pt idx="4">
                  <c:v>258</c:v>
                </c:pt>
                <c:pt idx="5">
                  <c:v>243</c:v>
                </c:pt>
                <c:pt idx="6">
                  <c:v>234</c:v>
                </c:pt>
                <c:pt idx="7">
                  <c:v>4</c:v>
                </c:pt>
                <c:pt idx="8">
                  <c:v>1</c:v>
                </c:pt>
              </c:numCache>
            </c:numRef>
          </c:val>
          <c:extLst>
            <c:ext xmlns:c16="http://schemas.microsoft.com/office/drawing/2014/chart" uri="{C3380CC4-5D6E-409C-BE32-E72D297353CC}">
              <c16:uniqueId val="{00000015-78F7-43E7-B678-5CD7D9EE5E1A}"/>
            </c:ext>
          </c:extLst>
        </c:ser>
        <c:ser>
          <c:idx val="1"/>
          <c:order val="1"/>
          <c:tx>
            <c:strRef>
              <c:f>'Family Size by Spending score'!$C$3</c:f>
              <c:strCache>
                <c:ptCount val="1"/>
                <c:pt idx="0">
                  <c:v>Average of Spending Score (1-100)</c:v>
                </c:pt>
              </c:strCache>
            </c:strRef>
          </c:tx>
          <c:spPr>
            <a:solidFill>
              <a:schemeClr val="accent1">
                <a:lumMod val="50000"/>
              </a:schemeClr>
            </a:solidFill>
            <a:ln w="19050">
              <a:solidFill>
                <a:schemeClr val="lt1"/>
              </a:solidFill>
            </a:ln>
            <a:effectLst/>
          </c:spPr>
          <c:invertIfNegative val="0"/>
          <c:dPt>
            <c:idx val="0"/>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9-E990-448E-A503-8499BD89E686}"/>
              </c:ext>
            </c:extLst>
          </c:dPt>
          <c:dPt>
            <c:idx val="1"/>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B-E990-448E-A503-8499BD89E686}"/>
              </c:ext>
            </c:extLst>
          </c:dPt>
          <c:dPt>
            <c:idx val="2"/>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D-E990-448E-A503-8499BD89E686}"/>
              </c:ext>
            </c:extLst>
          </c:dPt>
          <c:dPt>
            <c:idx val="3"/>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F-E990-448E-A503-8499BD89E686}"/>
              </c:ext>
            </c:extLst>
          </c:dPt>
          <c:dPt>
            <c:idx val="4"/>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11-E990-448E-A503-8499BD89E686}"/>
              </c:ext>
            </c:extLst>
          </c:dPt>
          <c:dPt>
            <c:idx val="5"/>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13-E990-448E-A503-8499BD89E686}"/>
              </c:ext>
            </c:extLst>
          </c:dPt>
          <c:dPt>
            <c:idx val="6"/>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15-E990-448E-A503-8499BD89E686}"/>
              </c:ext>
            </c:extLst>
          </c:dPt>
          <c:dPt>
            <c:idx val="7"/>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17-E990-448E-A503-8499BD89E68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'Family Size by Spending score'!$A$4:$A$13</c:f>
              <c:strCache>
                <c:ptCount val="9"/>
                <c:pt idx="0">
                  <c:v>2members</c:v>
                </c:pt>
                <c:pt idx="1">
                  <c:v>3members</c:v>
                </c:pt>
                <c:pt idx="2">
                  <c:v>1members</c:v>
                </c:pt>
                <c:pt idx="3">
                  <c:v>4members</c:v>
                </c:pt>
                <c:pt idx="4">
                  <c:v>5members</c:v>
                </c:pt>
                <c:pt idx="5">
                  <c:v>6members</c:v>
                </c:pt>
                <c:pt idx="6">
                  <c:v>7members</c:v>
                </c:pt>
                <c:pt idx="7">
                  <c:v>8members</c:v>
                </c:pt>
                <c:pt idx="8">
                  <c:v>9members</c:v>
                </c:pt>
              </c:strCache>
            </c:strRef>
          </c:cat>
          <c:val>
            <c:numRef>
              <c:f>'Family Size by Spending score'!$C$4:$C$13</c:f>
              <c:numCache>
                <c:formatCode>0</c:formatCode>
                <c:ptCount val="9"/>
                <c:pt idx="0">
                  <c:v>50.362880886426595</c:v>
                </c:pt>
                <c:pt idx="1">
                  <c:v>51.951768488745984</c:v>
                </c:pt>
                <c:pt idx="2">
                  <c:v>49.645484949832777</c:v>
                </c:pt>
                <c:pt idx="3">
                  <c:v>52.709342560553637</c:v>
                </c:pt>
                <c:pt idx="4">
                  <c:v>52.178294573643413</c:v>
                </c:pt>
                <c:pt idx="5">
                  <c:v>49.942386831275719</c:v>
                </c:pt>
                <c:pt idx="6">
                  <c:v>49.991452991452988</c:v>
                </c:pt>
                <c:pt idx="7">
                  <c:v>49.25</c:v>
                </c:pt>
                <c:pt idx="8">
                  <c:v>17</c:v>
                </c:pt>
              </c:numCache>
            </c:numRef>
          </c:val>
          <c:extLst>
            <c:ext xmlns:c16="http://schemas.microsoft.com/office/drawing/2014/chart" uri="{C3380CC4-5D6E-409C-BE32-E72D297353CC}">
              <c16:uniqueId val="{00000010-ECAB-49CB-BFA6-F20695740F97}"/>
            </c:ext>
          </c:extLst>
        </c:ser>
        <c:dLbls>
          <c:showLegendKey val="0"/>
          <c:showVal val="0"/>
          <c:showCatName val="0"/>
          <c:showSerName val="0"/>
          <c:showPercent val="0"/>
          <c:showBubbleSize val="0"/>
        </c:dLbls>
        <c:gapWidth val="0"/>
        <c:overlap val="100"/>
        <c:axId val="645434463"/>
        <c:axId val="645434943"/>
      </c:barChart>
      <c:catAx>
        <c:axId val="64543446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645434943"/>
        <c:crosses val="autoZero"/>
        <c:auto val="1"/>
        <c:lblAlgn val="ctr"/>
        <c:lblOffset val="100"/>
        <c:noMultiLvlLbl val="0"/>
      </c:catAx>
      <c:valAx>
        <c:axId val="645434943"/>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64543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[CustomersTask24A.xlsx]Top 5 years by income!PivotTable1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a:t>
            </a:r>
            <a:r>
              <a:rPr lang="en-US" baseline="0"/>
              <a:t> Experience By Total Annual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noFill/>
          </a:ln>
          <a:effectLst/>
        </c:spPr>
      </c:pivotFmt>
      <c:pivotFmt>
        <c:idx val="2"/>
        <c:spPr>
          <a:solidFill>
            <a:schemeClr val="accent1">
              <a:lumMod val="75000"/>
            </a:schemeClr>
          </a:solidFill>
          <a:ln w="19050">
            <a:noFill/>
          </a:ln>
          <a:effectLst/>
        </c:spPr>
      </c:pivotFmt>
      <c:pivotFmt>
        <c:idx val="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19050">
            <a:noFill/>
          </a:ln>
          <a:effectLst/>
        </c:spPr>
      </c:pivotFmt>
      <c:pivotFmt>
        <c:idx val="5"/>
        <c:spPr>
          <a:solidFill>
            <a:schemeClr val="accent1">
              <a:lumMod val="75000"/>
            </a:schemeClr>
          </a:solidFill>
          <a:ln w="19050">
            <a:noFill/>
          </a:ln>
          <a:effectLst/>
        </c:spPr>
      </c:pivotFmt>
      <c:pivotFmt>
        <c:idx val="6"/>
        <c:spPr>
          <a:solidFill>
            <a:schemeClr val="accent1">
              <a:lumMod val="50000"/>
            </a:schemeClr>
          </a:solidFill>
          <a:ln w="19050">
            <a:noFill/>
          </a:ln>
          <a:effectLst/>
        </c:spPr>
      </c:pivotFmt>
      <c:pivotFmt>
        <c:idx val="7"/>
        <c:spPr>
          <a:solidFill>
            <a:schemeClr val="accent1">
              <a:lumMod val="50000"/>
            </a:schemeClr>
          </a:solidFill>
          <a:ln w="19050">
            <a:noFill/>
          </a:ln>
          <a:effectLst/>
        </c:spPr>
      </c:pivotFmt>
      <c:pivotFmt>
        <c:idx val="8"/>
        <c:spPr>
          <a:solidFill>
            <a:schemeClr val="accent1">
              <a:lumMod val="75000"/>
            </a:schemeClr>
          </a:solidFill>
          <a:ln w="19050">
            <a:noFill/>
          </a:ln>
          <a:effectLst/>
        </c:spPr>
      </c:pivotFmt>
      <c:pivotFmt>
        <c:idx val="9"/>
        <c:spPr>
          <a:solidFill>
            <a:schemeClr val="accent1">
              <a:lumMod val="75000"/>
            </a:schemeClr>
          </a:solidFill>
          <a:ln w="19050">
            <a:noFill/>
          </a:ln>
          <a:effectLst/>
        </c:spPr>
      </c:pivotFmt>
      <c:pivotFmt>
        <c:idx val="10"/>
        <c:spPr>
          <a:solidFill>
            <a:schemeClr val="accent1">
              <a:lumMod val="60000"/>
              <a:lumOff val="40000"/>
            </a:schemeClr>
          </a:solidFill>
          <a:ln w="19050">
            <a:noFill/>
          </a:ln>
          <a:effectLst/>
        </c:spPr>
      </c:pivotFmt>
      <c:pivotFmt>
        <c:idx val="11"/>
        <c:spPr>
          <a:solidFill>
            <a:schemeClr val="accent1">
              <a:lumMod val="40000"/>
              <a:lumOff val="60000"/>
            </a:schemeClr>
          </a:solidFill>
          <a:ln w="19050">
            <a:noFill/>
          </a:ln>
          <a:effectLst/>
        </c:spPr>
      </c:pivotFmt>
      <c:pivotFmt>
        <c:idx val="12"/>
        <c:spPr>
          <a:solidFill>
            <a:schemeClr val="accent1">
              <a:lumMod val="20000"/>
              <a:lumOff val="80000"/>
            </a:schemeClr>
          </a:solidFill>
          <a:ln w="19050">
            <a:noFill/>
          </a:ln>
          <a:effectLst/>
        </c:spPr>
      </c:pivotFmt>
      <c:pivotFmt>
        <c:idx val="1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w="19050">
            <a:noFill/>
          </a:ln>
          <a:effectLst/>
        </c:spPr>
      </c:pivotFmt>
      <c:pivotFmt>
        <c:idx val="15"/>
        <c:spPr>
          <a:solidFill>
            <a:schemeClr val="accent1">
              <a:lumMod val="50000"/>
            </a:schemeClr>
          </a:solidFill>
          <a:ln w="19050">
            <a:noFill/>
          </a:ln>
          <a:effectLst/>
        </c:spPr>
      </c:pivotFmt>
      <c:pivotFmt>
        <c:idx val="16"/>
        <c:spPr>
          <a:solidFill>
            <a:schemeClr val="accent1">
              <a:lumMod val="75000"/>
            </a:schemeClr>
          </a:solidFill>
          <a:ln w="19050">
            <a:noFill/>
          </a:ln>
          <a:effectLst/>
        </c:spPr>
      </c:pivotFmt>
      <c:pivotFmt>
        <c:idx val="17"/>
        <c:spPr>
          <a:solidFill>
            <a:schemeClr val="accent1">
              <a:lumMod val="75000"/>
            </a:schemeClr>
          </a:solidFill>
          <a:ln w="19050">
            <a:noFill/>
          </a:ln>
          <a:effectLst/>
        </c:spPr>
      </c:pivotFmt>
      <c:pivotFmt>
        <c:idx val="18"/>
        <c:spPr>
          <a:solidFill>
            <a:schemeClr val="accent1">
              <a:lumMod val="60000"/>
              <a:lumOff val="40000"/>
            </a:schemeClr>
          </a:solidFill>
          <a:ln w="19050">
            <a:noFill/>
          </a:ln>
          <a:effectLst/>
        </c:spPr>
      </c:pivotFmt>
      <c:pivotFmt>
        <c:idx val="19"/>
        <c:spPr>
          <a:solidFill>
            <a:schemeClr val="accent1">
              <a:lumMod val="40000"/>
              <a:lumOff val="60000"/>
            </a:schemeClr>
          </a:solidFill>
          <a:ln w="19050">
            <a:noFill/>
          </a:ln>
          <a:effectLst/>
        </c:spPr>
      </c:pivotFmt>
      <c:pivotFmt>
        <c:idx val="20"/>
        <c:spPr>
          <a:solidFill>
            <a:schemeClr val="accent1">
              <a:lumMod val="20000"/>
              <a:lumOff val="80000"/>
            </a:schemeClr>
          </a:solidFill>
          <a:ln w="19050">
            <a:no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50000"/>
            </a:schemeClr>
          </a:solidFill>
          <a:ln w="19050">
            <a:solidFill>
              <a:schemeClr val="lt1"/>
            </a:solidFill>
          </a:ln>
          <a:effectLst/>
        </c:spPr>
      </c:pivotFmt>
      <c:pivotFmt>
        <c:idx val="26"/>
        <c:spPr>
          <a:solidFill>
            <a:schemeClr val="accent1">
              <a:lumMod val="75000"/>
            </a:schemeClr>
          </a:solidFill>
          <a:ln w="19050">
            <a:solidFill>
              <a:schemeClr val="lt1"/>
            </a:solidFill>
          </a:ln>
          <a:effectLst/>
        </c:spPr>
      </c:pivotFmt>
      <c:pivotFmt>
        <c:idx val="27"/>
        <c:spPr>
          <a:solidFill>
            <a:schemeClr val="accent1">
              <a:lumMod val="75000"/>
            </a:schemeClr>
          </a:solidFill>
          <a:ln w="19050">
            <a:solidFill>
              <a:schemeClr val="lt1"/>
            </a:solidFill>
          </a:ln>
          <a:effectLst/>
        </c:spPr>
      </c:pivotFmt>
      <c:pivotFmt>
        <c:idx val="28"/>
        <c:spPr>
          <a:solidFill>
            <a:schemeClr val="accent1">
              <a:lumMod val="60000"/>
              <a:lumOff val="40000"/>
            </a:schemeClr>
          </a:solidFill>
          <a:ln w="19050">
            <a:solidFill>
              <a:schemeClr val="lt1"/>
            </a:solidFill>
          </a:ln>
          <a:effectLst/>
        </c:spPr>
      </c:pivotFmt>
      <c:pivotFmt>
        <c:idx val="29"/>
        <c:spPr>
          <a:solidFill>
            <a:schemeClr val="accent1">
              <a:lumMod val="60000"/>
              <a:lumOff val="40000"/>
            </a:schemeClr>
          </a:solidFill>
          <a:ln w="19050">
            <a:solidFill>
              <a:schemeClr val="lt1"/>
            </a:solidFill>
          </a:ln>
          <a:effectLst/>
        </c:spPr>
      </c:pivotFmt>
      <c:pivotFmt>
        <c:idx val="30"/>
        <c:spPr>
          <a:solidFill>
            <a:schemeClr val="accent1">
              <a:lumMod val="40000"/>
              <a:lumOff val="60000"/>
            </a:schemeClr>
          </a:solidFill>
          <a:ln w="19050">
            <a:solidFill>
              <a:schemeClr val="lt1"/>
            </a:solidFill>
          </a:ln>
          <a:effectLst/>
        </c:spPr>
      </c:pivotFmt>
      <c:pivotFmt>
        <c:idx val="31"/>
        <c:spPr>
          <a:solidFill>
            <a:schemeClr val="accent1">
              <a:lumMod val="40000"/>
              <a:lumOff val="60000"/>
            </a:schemeClr>
          </a:solidFill>
          <a:ln w="19050">
            <a:solidFill>
              <a:schemeClr val="lt1"/>
            </a:solidFill>
          </a:ln>
          <a:effectLst/>
        </c:spPr>
      </c:pivotFmt>
      <c:pivotFmt>
        <c:idx val="32"/>
        <c:spPr>
          <a:solidFill>
            <a:schemeClr val="accent1">
              <a:lumMod val="20000"/>
              <a:lumOff val="80000"/>
            </a:schemeClr>
          </a:solidFill>
          <a:ln w="19050">
            <a:solidFill>
              <a:schemeClr val="lt1"/>
            </a:solidFill>
          </a:ln>
          <a:effectLst/>
        </c:spPr>
      </c:pivotFmt>
      <c:pivotFmt>
        <c:idx val="33"/>
        <c:spPr>
          <a:solidFill>
            <a:schemeClr val="accent1">
              <a:lumMod val="20000"/>
              <a:lumOff val="80000"/>
            </a:schemeClr>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50000"/>
            </a:schemeClr>
          </a:solidFill>
          <a:ln w="19050">
            <a:solidFill>
              <a:schemeClr val="lt1"/>
            </a:solidFill>
          </a:ln>
          <a:effectLst/>
        </c:spPr>
      </c:pivotFmt>
      <c:pivotFmt>
        <c:idx val="37"/>
        <c:spPr>
          <a:solidFill>
            <a:schemeClr val="accent1">
              <a:lumMod val="75000"/>
            </a:schemeClr>
          </a:solidFill>
          <a:ln w="19050">
            <a:solidFill>
              <a:schemeClr val="lt1"/>
            </a:solidFill>
          </a:ln>
          <a:effectLst/>
        </c:spPr>
      </c:pivotFmt>
      <c:pivotFmt>
        <c:idx val="38"/>
        <c:spPr>
          <a:solidFill>
            <a:schemeClr val="accent1">
              <a:lumMod val="75000"/>
            </a:schemeClr>
          </a:solidFill>
          <a:ln w="19050">
            <a:solidFill>
              <a:schemeClr val="lt1"/>
            </a:solidFill>
          </a:ln>
          <a:effectLst/>
        </c:spPr>
      </c:pivotFmt>
      <c:pivotFmt>
        <c:idx val="39"/>
        <c:spPr>
          <a:solidFill>
            <a:schemeClr val="accent1">
              <a:lumMod val="60000"/>
              <a:lumOff val="40000"/>
            </a:schemeClr>
          </a:solidFill>
          <a:ln w="19050">
            <a:solidFill>
              <a:schemeClr val="lt1"/>
            </a:solidFill>
          </a:ln>
          <a:effectLst/>
        </c:spPr>
      </c:pivotFmt>
      <c:pivotFmt>
        <c:idx val="40"/>
        <c:spPr>
          <a:solidFill>
            <a:schemeClr val="accent1">
              <a:lumMod val="60000"/>
              <a:lumOff val="40000"/>
            </a:schemeClr>
          </a:solidFill>
          <a:ln w="19050">
            <a:solidFill>
              <a:schemeClr val="lt1"/>
            </a:solidFill>
          </a:ln>
          <a:effectLst/>
        </c:spPr>
      </c:pivotFmt>
      <c:pivotFmt>
        <c:idx val="41"/>
        <c:spPr>
          <a:solidFill>
            <a:schemeClr val="accent1">
              <a:lumMod val="40000"/>
              <a:lumOff val="60000"/>
            </a:schemeClr>
          </a:solidFill>
          <a:ln w="19050">
            <a:solidFill>
              <a:schemeClr val="lt1"/>
            </a:solidFill>
          </a:ln>
          <a:effectLst/>
        </c:spPr>
      </c:pivotFmt>
      <c:pivotFmt>
        <c:idx val="42"/>
        <c:spPr>
          <a:solidFill>
            <a:schemeClr val="accent1">
              <a:lumMod val="40000"/>
              <a:lumOff val="60000"/>
            </a:schemeClr>
          </a:solidFill>
          <a:ln w="19050">
            <a:solidFill>
              <a:schemeClr val="lt1"/>
            </a:solidFill>
          </a:ln>
          <a:effectLst/>
        </c:spPr>
      </c:pivotFmt>
      <c:pivotFmt>
        <c:idx val="43"/>
        <c:spPr>
          <a:solidFill>
            <a:schemeClr val="accent1">
              <a:lumMod val="20000"/>
              <a:lumOff val="80000"/>
            </a:schemeClr>
          </a:solidFill>
          <a:ln w="19050">
            <a:solidFill>
              <a:schemeClr val="lt1"/>
            </a:solidFill>
          </a:ln>
          <a:effectLst/>
        </c:spPr>
      </c:pivotFmt>
      <c:pivotFmt>
        <c:idx val="44"/>
        <c:spPr>
          <a:solidFill>
            <a:schemeClr val="accent1">
              <a:lumMod val="20000"/>
              <a:lumOff val="80000"/>
            </a:schemeClr>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lumMod val="50000"/>
            </a:schemeClr>
          </a:solidFill>
          <a:ln w="19050">
            <a:solidFill>
              <a:schemeClr val="lt1"/>
            </a:solidFill>
          </a:ln>
          <a:effectLst/>
        </c:spPr>
      </c:pivotFmt>
      <c:pivotFmt>
        <c:idx val="47"/>
        <c:spPr>
          <a:solidFill>
            <a:schemeClr val="accent1">
              <a:lumMod val="75000"/>
            </a:schemeClr>
          </a:solidFill>
          <a:ln w="19050">
            <a:solidFill>
              <a:schemeClr val="lt1"/>
            </a:solidFill>
          </a:ln>
          <a:effectLst/>
        </c:spPr>
      </c:pivotFmt>
      <c:pivotFmt>
        <c:idx val="48"/>
        <c:spPr>
          <a:solidFill>
            <a:schemeClr val="accent1">
              <a:lumMod val="75000"/>
            </a:schemeClr>
          </a:solidFill>
          <a:ln w="19050">
            <a:solidFill>
              <a:schemeClr val="lt1"/>
            </a:solidFill>
          </a:ln>
          <a:effectLst/>
        </c:spPr>
      </c:pivotFmt>
      <c:pivotFmt>
        <c:idx val="49"/>
        <c:spPr>
          <a:solidFill>
            <a:schemeClr val="accent1">
              <a:lumMod val="60000"/>
              <a:lumOff val="40000"/>
            </a:schemeClr>
          </a:solidFill>
          <a:ln w="19050">
            <a:solidFill>
              <a:schemeClr val="lt1"/>
            </a:solidFill>
          </a:ln>
          <a:effectLst/>
        </c:spPr>
      </c:pivotFmt>
      <c:pivotFmt>
        <c:idx val="50"/>
        <c:spPr>
          <a:solidFill>
            <a:schemeClr val="accent1">
              <a:lumMod val="60000"/>
              <a:lumOff val="40000"/>
            </a:schemeClr>
          </a:solidFill>
          <a:ln w="19050">
            <a:solidFill>
              <a:schemeClr val="lt1"/>
            </a:solidFill>
          </a:ln>
          <a:effectLst/>
        </c:spPr>
      </c:pivotFmt>
      <c:pivotFmt>
        <c:idx val="51"/>
        <c:spPr>
          <a:solidFill>
            <a:schemeClr val="accent1">
              <a:lumMod val="40000"/>
              <a:lumOff val="60000"/>
            </a:schemeClr>
          </a:solidFill>
          <a:ln w="19050">
            <a:solidFill>
              <a:schemeClr val="lt1"/>
            </a:solidFill>
          </a:ln>
          <a:effectLst/>
        </c:spPr>
      </c:pivotFmt>
      <c:pivotFmt>
        <c:idx val="52"/>
        <c:spPr>
          <a:solidFill>
            <a:schemeClr val="accent1">
              <a:lumMod val="40000"/>
              <a:lumOff val="60000"/>
            </a:schemeClr>
          </a:solidFill>
          <a:ln w="19050">
            <a:solidFill>
              <a:schemeClr val="lt1"/>
            </a:solidFill>
          </a:ln>
          <a:effectLst/>
        </c:spPr>
      </c:pivotFmt>
      <c:pivotFmt>
        <c:idx val="53"/>
        <c:spPr>
          <a:solidFill>
            <a:schemeClr val="accent1">
              <a:lumMod val="20000"/>
              <a:lumOff val="80000"/>
            </a:schemeClr>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lumMod val="50000"/>
            </a:schemeClr>
          </a:solidFill>
          <a:ln w="19050">
            <a:solidFill>
              <a:schemeClr val="lt1"/>
            </a:solidFill>
          </a:ln>
          <a:effectLst/>
        </c:spPr>
      </c:pivotFmt>
      <c:pivotFmt>
        <c:idx val="59"/>
        <c:spPr>
          <a:solidFill>
            <a:schemeClr val="accent1">
              <a:lumMod val="75000"/>
            </a:schemeClr>
          </a:solidFill>
          <a:ln w="19050">
            <a:solidFill>
              <a:schemeClr val="lt1"/>
            </a:solidFill>
          </a:ln>
          <a:effectLst/>
        </c:spPr>
      </c:pivotFmt>
      <c:pivotFmt>
        <c:idx val="60"/>
        <c:spPr>
          <a:solidFill>
            <a:schemeClr val="accent1">
              <a:lumMod val="75000"/>
            </a:schemeClr>
          </a:solidFill>
          <a:ln w="19050">
            <a:solidFill>
              <a:schemeClr val="lt1"/>
            </a:solidFill>
          </a:ln>
          <a:effectLst/>
        </c:spPr>
      </c:pivotFmt>
      <c:pivotFmt>
        <c:idx val="61"/>
        <c:spPr>
          <a:solidFill>
            <a:schemeClr val="accent1">
              <a:lumMod val="60000"/>
              <a:lumOff val="40000"/>
            </a:schemeClr>
          </a:solidFill>
          <a:ln w="19050">
            <a:solidFill>
              <a:schemeClr val="lt1"/>
            </a:solidFill>
          </a:ln>
          <a:effectLst/>
        </c:spPr>
      </c:pivotFmt>
      <c:pivotFmt>
        <c:idx val="62"/>
        <c:spPr>
          <a:solidFill>
            <a:schemeClr val="accent1">
              <a:lumMod val="60000"/>
              <a:lumOff val="40000"/>
            </a:schemeClr>
          </a:solidFill>
          <a:ln w="19050">
            <a:solidFill>
              <a:schemeClr val="lt1"/>
            </a:solidFill>
          </a:ln>
          <a:effectLst/>
        </c:spPr>
      </c:pivotFmt>
      <c:pivotFmt>
        <c:idx val="63"/>
        <c:spPr>
          <a:solidFill>
            <a:schemeClr val="accent1">
              <a:lumMod val="40000"/>
              <a:lumOff val="60000"/>
            </a:schemeClr>
          </a:solidFill>
          <a:ln w="19050">
            <a:solidFill>
              <a:schemeClr val="lt1"/>
            </a:solidFill>
          </a:ln>
          <a:effectLst/>
        </c:spPr>
      </c:pivotFmt>
      <c:pivotFmt>
        <c:idx val="64"/>
        <c:spPr>
          <a:solidFill>
            <a:schemeClr val="accent1">
              <a:lumMod val="40000"/>
              <a:lumOff val="60000"/>
            </a:schemeClr>
          </a:solidFill>
          <a:ln w="19050">
            <a:solidFill>
              <a:schemeClr val="lt1"/>
            </a:solidFill>
          </a:ln>
          <a:effectLst/>
        </c:spPr>
      </c:pivotFmt>
      <c:pivotFmt>
        <c:idx val="65"/>
        <c:spPr>
          <a:solidFill>
            <a:schemeClr val="accent1">
              <a:lumMod val="20000"/>
              <a:lumOff val="80000"/>
            </a:schemeClr>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lumMod val="40000"/>
              <a:lumOff val="60000"/>
            </a:schemeClr>
          </a:solidFill>
          <a:ln w="19050">
            <a:solidFill>
              <a:schemeClr val="lt1"/>
            </a:solidFill>
          </a:ln>
          <a:effectLst/>
        </c:spPr>
      </c:pivotFmt>
      <c:pivotFmt>
        <c:idx val="71"/>
        <c:spPr>
          <a:solidFill>
            <a:schemeClr val="accent1">
              <a:lumMod val="20000"/>
              <a:lumOff val="80000"/>
            </a:schemeClr>
          </a:solidFill>
          <a:ln w="19050">
            <a:solidFill>
              <a:schemeClr val="lt1"/>
            </a:solidFill>
          </a:ln>
          <a:effectLst/>
        </c:spPr>
      </c:pivotFmt>
      <c:pivotFmt>
        <c:idx val="72"/>
        <c:spPr>
          <a:solidFill>
            <a:schemeClr val="accent1">
              <a:lumMod val="75000"/>
            </a:schemeClr>
          </a:solidFill>
          <a:ln w="19050">
            <a:solidFill>
              <a:schemeClr val="lt1"/>
            </a:solidFill>
          </a:ln>
          <a:effectLst/>
        </c:spPr>
      </c:pivotFmt>
      <c:pivotFmt>
        <c:idx val="73"/>
        <c:spPr>
          <a:solidFill>
            <a:schemeClr val="accent1">
              <a:lumMod val="60000"/>
              <a:lumOff val="40000"/>
            </a:schemeClr>
          </a:solidFill>
          <a:ln w="19050">
            <a:solidFill>
              <a:schemeClr val="lt1"/>
            </a:solidFill>
          </a:ln>
          <a:effectLst/>
        </c:spPr>
      </c:pivotFmt>
      <c:pivotFmt>
        <c:idx val="74"/>
        <c:spPr>
          <a:solidFill>
            <a:schemeClr val="accent1">
              <a:lumMod val="50000"/>
            </a:schemeClr>
          </a:solidFill>
          <a:ln w="19050">
            <a:solidFill>
              <a:schemeClr val="lt1"/>
            </a:solidFill>
          </a:ln>
          <a:effectLst/>
        </c:spPr>
      </c:pivotFmt>
    </c:pivotFmts>
    <c:plotArea>
      <c:layout/>
      <c:barChart>
        <c:barDir val="col"/>
        <c:grouping val="clustered"/>
        <c:varyColors val="0"/>
        <c:ser>
          <c:idx val="0"/>
          <c:order val="0"/>
          <c:tx>
            <c:strRef>
              <c:f>'Top 5 years by income'!$B$3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16-4223-4D14-AE9C-D99A2E357C7A}"/>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17-4223-4D14-AE9C-D99A2E357C7A}"/>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18-4223-4D14-AE9C-D99A2E357C7A}"/>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19-4223-4D14-AE9C-D99A2E357C7A}"/>
              </c:ext>
            </c:extLst>
          </c:dPt>
          <c:dPt>
            <c:idx val="4"/>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1A-4223-4D14-AE9C-D99A2E357C7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years by income'!$A$4:$A$9</c:f>
              <c:strCache>
                <c:ptCount val="5"/>
                <c:pt idx="0">
                  <c:v>6years</c:v>
                </c:pt>
                <c:pt idx="1">
                  <c:v>8years</c:v>
                </c:pt>
                <c:pt idx="2">
                  <c:v>9years</c:v>
                </c:pt>
                <c:pt idx="3">
                  <c:v>1years</c:v>
                </c:pt>
                <c:pt idx="4">
                  <c:v>0years</c:v>
                </c:pt>
              </c:strCache>
            </c:strRef>
          </c:cat>
          <c:val>
            <c:numRef>
              <c:f>'Top 5 years by income'!$B$4:$B$9</c:f>
              <c:numCache>
                <c:formatCode>[$$-409]#,##0</c:formatCode>
                <c:ptCount val="5"/>
                <c:pt idx="0">
                  <c:v>117741.19166666667</c:v>
                </c:pt>
                <c:pt idx="1">
                  <c:v>115476.18072289157</c:v>
                </c:pt>
                <c:pt idx="2">
                  <c:v>114422.675</c:v>
                </c:pt>
                <c:pt idx="3">
                  <c:v>107656.92765957447</c:v>
                </c:pt>
                <c:pt idx="4">
                  <c:v>106117.5475638051</c:v>
                </c:pt>
              </c:numCache>
            </c:numRef>
          </c:val>
          <c:extLst>
            <c:ext xmlns:c16="http://schemas.microsoft.com/office/drawing/2014/chart" uri="{C3380CC4-5D6E-409C-BE32-E72D297353CC}">
              <c16:uniqueId val="{00000013-4223-4D14-AE9C-D99A2E357C7A}"/>
            </c:ext>
          </c:extLst>
        </c:ser>
        <c:dLbls>
          <c:dLblPos val="outEnd"/>
          <c:showLegendKey val="0"/>
          <c:showVal val="1"/>
          <c:showCatName val="0"/>
          <c:showSerName val="0"/>
          <c:showPercent val="0"/>
          <c:showBubbleSize val="0"/>
        </c:dLbls>
        <c:gapWidth val="20"/>
        <c:axId val="645434463"/>
        <c:axId val="645434943"/>
      </c:barChart>
      <c:catAx>
        <c:axId val="645434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645434943"/>
        <c:crosses val="autoZero"/>
        <c:auto val="1"/>
        <c:lblAlgn val="ctr"/>
        <c:lblOffset val="100"/>
        <c:noMultiLvlLbl val="0"/>
      </c:catAx>
      <c:valAx>
        <c:axId val="645434943"/>
        <c:scaling>
          <c:orientation val="minMax"/>
        </c:scaling>
        <c:delete val="1"/>
        <c:axPos val="l"/>
        <c:majorGridlines>
          <c:spPr>
            <a:ln w="9525" cap="flat" cmpd="sng" algn="ctr">
              <a:solidFill>
                <a:schemeClr val="tx1">
                  <a:lumMod val="15000"/>
                  <a:lumOff val="85000"/>
                </a:schemeClr>
              </a:solidFill>
              <a:round/>
            </a:ln>
            <a:effectLst/>
          </c:spPr>
        </c:majorGridlines>
        <c:numFmt formatCode="[$$-409]#,##0" sourceLinked="1"/>
        <c:majorTickMark val="out"/>
        <c:minorTickMark val="none"/>
        <c:tickLblPos val="nextTo"/>
        <c:crossAx val="64543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[CustomersTask24A.xlsx]Customers by Age groups!PivotTable1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noFill/>
          </a:ln>
          <a:effectLst/>
        </c:spPr>
      </c:pivotFmt>
      <c:pivotFmt>
        <c:idx val="2"/>
        <c:spPr>
          <a:solidFill>
            <a:schemeClr val="accent1">
              <a:lumMod val="75000"/>
            </a:schemeClr>
          </a:solidFill>
          <a:ln w="19050">
            <a:noFill/>
          </a:ln>
          <a:effectLst/>
        </c:spPr>
      </c:pivotFmt>
      <c:pivotFmt>
        <c:idx val="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19050">
            <a:noFill/>
          </a:ln>
          <a:effectLst/>
        </c:spPr>
      </c:pivotFmt>
      <c:pivotFmt>
        <c:idx val="5"/>
        <c:spPr>
          <a:solidFill>
            <a:schemeClr val="accent1">
              <a:lumMod val="75000"/>
            </a:schemeClr>
          </a:solidFill>
          <a:ln w="19050">
            <a:noFill/>
          </a:ln>
          <a:effectLst/>
        </c:spPr>
      </c:pivotFmt>
      <c:pivotFmt>
        <c:idx val="6"/>
        <c:spPr>
          <a:solidFill>
            <a:schemeClr val="accent1">
              <a:lumMod val="50000"/>
            </a:schemeClr>
          </a:solidFill>
          <a:ln w="19050">
            <a:noFill/>
          </a:ln>
          <a:effectLst/>
        </c:spPr>
      </c:pivotFmt>
      <c:pivotFmt>
        <c:idx val="7"/>
        <c:spPr>
          <a:solidFill>
            <a:schemeClr val="accent1">
              <a:lumMod val="50000"/>
            </a:schemeClr>
          </a:solidFill>
          <a:ln w="19050">
            <a:noFill/>
          </a:ln>
          <a:effectLst/>
        </c:spPr>
      </c:pivotFmt>
      <c:pivotFmt>
        <c:idx val="8"/>
        <c:spPr>
          <a:solidFill>
            <a:schemeClr val="accent1">
              <a:lumMod val="75000"/>
            </a:schemeClr>
          </a:solidFill>
          <a:ln w="19050">
            <a:noFill/>
          </a:ln>
          <a:effectLst/>
        </c:spPr>
      </c:pivotFmt>
      <c:pivotFmt>
        <c:idx val="9"/>
        <c:spPr>
          <a:solidFill>
            <a:schemeClr val="accent1">
              <a:lumMod val="75000"/>
            </a:schemeClr>
          </a:solidFill>
          <a:ln w="19050">
            <a:noFill/>
          </a:ln>
          <a:effectLst/>
        </c:spPr>
      </c:pivotFmt>
      <c:pivotFmt>
        <c:idx val="10"/>
        <c:spPr>
          <a:solidFill>
            <a:schemeClr val="accent1">
              <a:lumMod val="60000"/>
              <a:lumOff val="40000"/>
            </a:schemeClr>
          </a:solidFill>
          <a:ln w="19050">
            <a:noFill/>
          </a:ln>
          <a:effectLst/>
        </c:spPr>
      </c:pivotFmt>
      <c:pivotFmt>
        <c:idx val="11"/>
        <c:spPr>
          <a:solidFill>
            <a:schemeClr val="accent1">
              <a:lumMod val="40000"/>
              <a:lumOff val="60000"/>
            </a:schemeClr>
          </a:solidFill>
          <a:ln w="19050">
            <a:noFill/>
          </a:ln>
          <a:effectLst/>
        </c:spPr>
      </c:pivotFmt>
      <c:pivotFmt>
        <c:idx val="12"/>
        <c:spPr>
          <a:solidFill>
            <a:schemeClr val="accent1">
              <a:lumMod val="20000"/>
              <a:lumOff val="80000"/>
            </a:schemeClr>
          </a:solidFill>
          <a:ln w="19050">
            <a:noFill/>
          </a:ln>
          <a:effectLst/>
        </c:spPr>
      </c:pivotFmt>
      <c:pivotFmt>
        <c:idx val="13"/>
        <c:spPr>
          <a:solidFill>
            <a:schemeClr val="accent6">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w="19050">
            <a:noFill/>
          </a:ln>
          <a:effectLst/>
        </c:spPr>
      </c:pivotFmt>
      <c:pivotFmt>
        <c:idx val="15"/>
        <c:spPr>
          <a:solidFill>
            <a:schemeClr val="accent1">
              <a:lumMod val="50000"/>
            </a:schemeClr>
          </a:solidFill>
          <a:ln w="19050">
            <a:noFill/>
          </a:ln>
          <a:effectLst/>
        </c:spPr>
      </c:pivotFmt>
      <c:pivotFmt>
        <c:idx val="16"/>
        <c:spPr>
          <a:solidFill>
            <a:schemeClr val="accent1">
              <a:lumMod val="75000"/>
            </a:schemeClr>
          </a:solidFill>
          <a:ln w="19050">
            <a:noFill/>
          </a:ln>
          <a:effectLst/>
        </c:spPr>
      </c:pivotFmt>
      <c:pivotFmt>
        <c:idx val="17"/>
        <c:spPr>
          <a:solidFill>
            <a:schemeClr val="accent1">
              <a:lumMod val="75000"/>
            </a:schemeClr>
          </a:solidFill>
          <a:ln w="19050">
            <a:noFill/>
          </a:ln>
          <a:effectLst/>
        </c:spPr>
      </c:pivotFmt>
      <c:pivotFmt>
        <c:idx val="18"/>
        <c:spPr>
          <a:solidFill>
            <a:schemeClr val="accent1">
              <a:lumMod val="60000"/>
              <a:lumOff val="40000"/>
            </a:schemeClr>
          </a:solidFill>
          <a:ln w="19050">
            <a:noFill/>
          </a:ln>
          <a:effectLst/>
        </c:spPr>
      </c:pivotFmt>
      <c:pivotFmt>
        <c:idx val="19"/>
        <c:spPr>
          <a:solidFill>
            <a:schemeClr val="accent1">
              <a:lumMod val="40000"/>
              <a:lumOff val="60000"/>
            </a:schemeClr>
          </a:solidFill>
          <a:ln w="19050">
            <a:noFill/>
          </a:ln>
          <a:effectLst/>
        </c:spPr>
      </c:pivotFmt>
      <c:pivotFmt>
        <c:idx val="20"/>
        <c:spPr>
          <a:solidFill>
            <a:schemeClr val="accent1">
              <a:lumMod val="20000"/>
              <a:lumOff val="80000"/>
            </a:schemeClr>
          </a:solidFill>
          <a:ln w="19050">
            <a:no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50000"/>
            </a:schemeClr>
          </a:solidFill>
          <a:ln w="19050">
            <a:solidFill>
              <a:schemeClr val="lt1"/>
            </a:solidFill>
          </a:ln>
          <a:effectLst/>
        </c:spPr>
      </c:pivotFmt>
      <c:pivotFmt>
        <c:idx val="26"/>
        <c:spPr>
          <a:solidFill>
            <a:schemeClr val="accent1">
              <a:lumMod val="75000"/>
            </a:schemeClr>
          </a:solidFill>
          <a:ln w="19050">
            <a:solidFill>
              <a:schemeClr val="lt1"/>
            </a:solidFill>
          </a:ln>
          <a:effectLst/>
        </c:spPr>
      </c:pivotFmt>
      <c:pivotFmt>
        <c:idx val="27"/>
        <c:spPr>
          <a:solidFill>
            <a:schemeClr val="accent1">
              <a:lumMod val="75000"/>
            </a:schemeClr>
          </a:solidFill>
          <a:ln w="19050">
            <a:solidFill>
              <a:schemeClr val="lt1"/>
            </a:solidFill>
          </a:ln>
          <a:effectLst/>
        </c:spPr>
      </c:pivotFmt>
      <c:pivotFmt>
        <c:idx val="28"/>
        <c:spPr>
          <a:solidFill>
            <a:schemeClr val="accent1">
              <a:lumMod val="60000"/>
              <a:lumOff val="40000"/>
            </a:schemeClr>
          </a:solidFill>
          <a:ln w="19050">
            <a:solidFill>
              <a:schemeClr val="lt1"/>
            </a:solidFill>
          </a:ln>
          <a:effectLst/>
        </c:spPr>
      </c:pivotFmt>
      <c:pivotFmt>
        <c:idx val="29"/>
        <c:spPr>
          <a:solidFill>
            <a:schemeClr val="accent1">
              <a:lumMod val="60000"/>
              <a:lumOff val="40000"/>
            </a:schemeClr>
          </a:solidFill>
          <a:ln w="19050">
            <a:solidFill>
              <a:schemeClr val="lt1"/>
            </a:solidFill>
          </a:ln>
          <a:effectLst/>
        </c:spPr>
      </c:pivotFmt>
      <c:pivotFmt>
        <c:idx val="30"/>
        <c:spPr>
          <a:solidFill>
            <a:schemeClr val="accent1">
              <a:lumMod val="40000"/>
              <a:lumOff val="60000"/>
            </a:schemeClr>
          </a:solidFill>
          <a:ln w="19050">
            <a:solidFill>
              <a:schemeClr val="lt1"/>
            </a:solidFill>
          </a:ln>
          <a:effectLst/>
        </c:spPr>
      </c:pivotFmt>
      <c:pivotFmt>
        <c:idx val="31"/>
        <c:spPr>
          <a:solidFill>
            <a:schemeClr val="accent1">
              <a:lumMod val="40000"/>
              <a:lumOff val="60000"/>
            </a:schemeClr>
          </a:solidFill>
          <a:ln w="19050">
            <a:solidFill>
              <a:schemeClr val="lt1"/>
            </a:solidFill>
          </a:ln>
          <a:effectLst/>
        </c:spPr>
      </c:pivotFmt>
      <c:pivotFmt>
        <c:idx val="32"/>
        <c:spPr>
          <a:solidFill>
            <a:schemeClr val="accent1">
              <a:lumMod val="20000"/>
              <a:lumOff val="80000"/>
            </a:schemeClr>
          </a:solidFill>
          <a:ln w="19050">
            <a:solidFill>
              <a:schemeClr val="lt1"/>
            </a:solidFill>
          </a:ln>
          <a:effectLst/>
        </c:spPr>
      </c:pivotFmt>
      <c:pivotFmt>
        <c:idx val="33"/>
        <c:spPr>
          <a:solidFill>
            <a:schemeClr val="accent1">
              <a:lumMod val="20000"/>
              <a:lumOff val="80000"/>
            </a:schemeClr>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50000"/>
            </a:schemeClr>
          </a:solidFill>
          <a:ln w="19050">
            <a:solidFill>
              <a:schemeClr val="lt1"/>
            </a:solidFill>
          </a:ln>
          <a:effectLst/>
        </c:spPr>
      </c:pivotFmt>
      <c:pivotFmt>
        <c:idx val="37"/>
        <c:spPr>
          <a:solidFill>
            <a:schemeClr val="accent1">
              <a:lumMod val="75000"/>
            </a:schemeClr>
          </a:solidFill>
          <a:ln w="19050">
            <a:solidFill>
              <a:schemeClr val="lt1"/>
            </a:solidFill>
          </a:ln>
          <a:effectLst/>
        </c:spPr>
      </c:pivotFmt>
      <c:pivotFmt>
        <c:idx val="38"/>
        <c:spPr>
          <a:solidFill>
            <a:schemeClr val="accent1">
              <a:lumMod val="75000"/>
            </a:schemeClr>
          </a:solidFill>
          <a:ln w="19050">
            <a:solidFill>
              <a:schemeClr val="lt1"/>
            </a:solidFill>
          </a:ln>
          <a:effectLst/>
        </c:spPr>
      </c:pivotFmt>
      <c:pivotFmt>
        <c:idx val="39"/>
        <c:spPr>
          <a:solidFill>
            <a:schemeClr val="accent1">
              <a:lumMod val="60000"/>
              <a:lumOff val="40000"/>
            </a:schemeClr>
          </a:solidFill>
          <a:ln w="19050">
            <a:solidFill>
              <a:schemeClr val="lt1"/>
            </a:solidFill>
          </a:ln>
          <a:effectLst/>
        </c:spPr>
      </c:pivotFmt>
      <c:pivotFmt>
        <c:idx val="40"/>
        <c:spPr>
          <a:solidFill>
            <a:schemeClr val="accent1">
              <a:lumMod val="60000"/>
              <a:lumOff val="40000"/>
            </a:schemeClr>
          </a:solidFill>
          <a:ln w="19050">
            <a:solidFill>
              <a:schemeClr val="lt1"/>
            </a:solidFill>
          </a:ln>
          <a:effectLst/>
        </c:spPr>
      </c:pivotFmt>
      <c:pivotFmt>
        <c:idx val="41"/>
        <c:spPr>
          <a:solidFill>
            <a:schemeClr val="accent1">
              <a:lumMod val="40000"/>
              <a:lumOff val="60000"/>
            </a:schemeClr>
          </a:solidFill>
          <a:ln w="19050">
            <a:solidFill>
              <a:schemeClr val="lt1"/>
            </a:solidFill>
          </a:ln>
          <a:effectLst/>
        </c:spPr>
      </c:pivotFmt>
      <c:pivotFmt>
        <c:idx val="42"/>
        <c:spPr>
          <a:solidFill>
            <a:schemeClr val="accent1">
              <a:lumMod val="40000"/>
              <a:lumOff val="60000"/>
            </a:schemeClr>
          </a:solidFill>
          <a:ln w="19050">
            <a:solidFill>
              <a:schemeClr val="lt1"/>
            </a:solidFill>
          </a:ln>
          <a:effectLst/>
        </c:spPr>
      </c:pivotFmt>
      <c:pivotFmt>
        <c:idx val="43"/>
        <c:spPr>
          <a:solidFill>
            <a:schemeClr val="accent1">
              <a:lumMod val="20000"/>
              <a:lumOff val="80000"/>
            </a:schemeClr>
          </a:solidFill>
          <a:ln w="19050">
            <a:solidFill>
              <a:schemeClr val="lt1"/>
            </a:solidFill>
          </a:ln>
          <a:effectLst/>
        </c:spPr>
      </c:pivotFmt>
      <c:pivotFmt>
        <c:idx val="44"/>
        <c:spPr>
          <a:solidFill>
            <a:schemeClr val="accent1">
              <a:lumMod val="20000"/>
              <a:lumOff val="80000"/>
            </a:schemeClr>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lumMod val="50000"/>
            </a:schemeClr>
          </a:solidFill>
          <a:ln w="19050">
            <a:solidFill>
              <a:schemeClr val="lt1"/>
            </a:solidFill>
          </a:ln>
          <a:effectLst/>
        </c:spPr>
      </c:pivotFmt>
      <c:pivotFmt>
        <c:idx val="47"/>
        <c:spPr>
          <a:solidFill>
            <a:schemeClr val="accent1">
              <a:lumMod val="75000"/>
            </a:schemeClr>
          </a:solidFill>
          <a:ln w="19050">
            <a:solidFill>
              <a:schemeClr val="lt1"/>
            </a:solidFill>
          </a:ln>
          <a:effectLst/>
        </c:spPr>
      </c:pivotFmt>
      <c:pivotFmt>
        <c:idx val="48"/>
        <c:spPr>
          <a:solidFill>
            <a:schemeClr val="accent1">
              <a:lumMod val="75000"/>
            </a:schemeClr>
          </a:solidFill>
          <a:ln w="19050">
            <a:solidFill>
              <a:schemeClr val="lt1"/>
            </a:solidFill>
          </a:ln>
          <a:effectLst/>
        </c:spPr>
      </c:pivotFmt>
      <c:pivotFmt>
        <c:idx val="49"/>
        <c:spPr>
          <a:solidFill>
            <a:schemeClr val="accent1">
              <a:lumMod val="60000"/>
              <a:lumOff val="40000"/>
            </a:schemeClr>
          </a:solidFill>
          <a:ln w="19050">
            <a:solidFill>
              <a:schemeClr val="lt1"/>
            </a:solidFill>
          </a:ln>
          <a:effectLst/>
        </c:spPr>
      </c:pivotFmt>
      <c:pivotFmt>
        <c:idx val="50"/>
        <c:spPr>
          <a:solidFill>
            <a:schemeClr val="accent1">
              <a:lumMod val="60000"/>
              <a:lumOff val="40000"/>
            </a:schemeClr>
          </a:solidFill>
          <a:ln w="19050">
            <a:solidFill>
              <a:schemeClr val="lt1"/>
            </a:solidFill>
          </a:ln>
          <a:effectLst/>
        </c:spPr>
      </c:pivotFmt>
      <c:pivotFmt>
        <c:idx val="51"/>
        <c:spPr>
          <a:solidFill>
            <a:schemeClr val="accent1">
              <a:lumMod val="40000"/>
              <a:lumOff val="60000"/>
            </a:schemeClr>
          </a:solidFill>
          <a:ln w="19050">
            <a:solidFill>
              <a:schemeClr val="lt1"/>
            </a:solidFill>
          </a:ln>
          <a:effectLst/>
        </c:spPr>
      </c:pivotFmt>
      <c:pivotFmt>
        <c:idx val="52"/>
        <c:spPr>
          <a:solidFill>
            <a:schemeClr val="accent1">
              <a:lumMod val="40000"/>
              <a:lumOff val="60000"/>
            </a:schemeClr>
          </a:solidFill>
          <a:ln w="19050">
            <a:solidFill>
              <a:schemeClr val="lt1"/>
            </a:solidFill>
          </a:ln>
          <a:effectLst/>
        </c:spPr>
      </c:pivotFmt>
      <c:pivotFmt>
        <c:idx val="53"/>
        <c:spPr>
          <a:solidFill>
            <a:schemeClr val="accent1">
              <a:lumMod val="20000"/>
              <a:lumOff val="80000"/>
            </a:schemeClr>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lumMod val="50000"/>
            </a:schemeClr>
          </a:solidFill>
          <a:ln w="19050">
            <a:solidFill>
              <a:schemeClr val="lt1"/>
            </a:solidFill>
          </a:ln>
          <a:effectLst/>
        </c:spPr>
      </c:pivotFmt>
      <c:pivotFmt>
        <c:idx val="56"/>
        <c:spPr>
          <a:solidFill>
            <a:schemeClr val="accent1">
              <a:lumMod val="75000"/>
            </a:schemeClr>
          </a:solidFill>
          <a:ln w="19050">
            <a:solidFill>
              <a:schemeClr val="lt1"/>
            </a:solidFill>
          </a:ln>
          <a:effectLst/>
        </c:spPr>
      </c:pivotFmt>
      <c:pivotFmt>
        <c:idx val="57"/>
        <c:spPr>
          <a:solidFill>
            <a:schemeClr val="accent1">
              <a:lumMod val="75000"/>
            </a:schemeClr>
          </a:solidFill>
          <a:ln w="19050">
            <a:solidFill>
              <a:schemeClr val="lt1"/>
            </a:solidFill>
          </a:ln>
          <a:effectLst/>
        </c:spPr>
      </c:pivotFmt>
      <c:pivotFmt>
        <c:idx val="58"/>
        <c:spPr>
          <a:solidFill>
            <a:schemeClr val="accent1">
              <a:lumMod val="60000"/>
              <a:lumOff val="40000"/>
            </a:schemeClr>
          </a:solidFill>
          <a:ln w="19050">
            <a:solidFill>
              <a:schemeClr val="lt1"/>
            </a:solidFill>
          </a:ln>
          <a:effectLst/>
        </c:spPr>
      </c:pivotFmt>
      <c:pivotFmt>
        <c:idx val="59"/>
        <c:spPr>
          <a:solidFill>
            <a:schemeClr val="accent1">
              <a:lumMod val="60000"/>
              <a:lumOff val="40000"/>
            </a:schemeClr>
          </a:solidFill>
          <a:ln w="19050">
            <a:solidFill>
              <a:schemeClr val="lt1"/>
            </a:solidFill>
          </a:ln>
          <a:effectLst/>
        </c:spPr>
      </c:pivotFmt>
      <c:pivotFmt>
        <c:idx val="60"/>
        <c:spPr>
          <a:solidFill>
            <a:schemeClr val="accent1">
              <a:lumMod val="40000"/>
              <a:lumOff val="60000"/>
            </a:schemeClr>
          </a:solidFill>
          <a:ln w="19050">
            <a:solidFill>
              <a:schemeClr val="lt1"/>
            </a:solidFill>
          </a:ln>
          <a:effectLst/>
        </c:spPr>
      </c:pivotFmt>
      <c:pivotFmt>
        <c:idx val="61"/>
        <c:spPr>
          <a:solidFill>
            <a:schemeClr val="accent1">
              <a:lumMod val="40000"/>
              <a:lumOff val="60000"/>
            </a:schemeClr>
          </a:solidFill>
          <a:ln w="19050">
            <a:solidFill>
              <a:schemeClr val="lt1"/>
            </a:solidFill>
          </a:ln>
          <a:effectLst/>
        </c:spPr>
      </c:pivotFmt>
      <c:pivotFmt>
        <c:idx val="62"/>
        <c:spPr>
          <a:solidFill>
            <a:schemeClr val="accent1">
              <a:lumMod val="20000"/>
              <a:lumOff val="80000"/>
            </a:schemeClr>
          </a:solidFill>
          <a:ln w="19050">
            <a:solidFill>
              <a:schemeClr val="lt1"/>
            </a:solidFill>
          </a:ln>
          <a:effectLst/>
        </c:spPr>
      </c:pivotFmt>
      <c:pivotFmt>
        <c:idx val="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lumMod val="50000"/>
            </a:schemeClr>
          </a:solidFill>
          <a:ln w="19050">
            <a:solidFill>
              <a:schemeClr val="lt1"/>
            </a:solidFill>
          </a:ln>
          <a:effectLst/>
        </c:spPr>
      </c:pivotFmt>
      <c:pivotFmt>
        <c:idx val="65"/>
        <c:spPr>
          <a:solidFill>
            <a:schemeClr val="accent1">
              <a:lumMod val="50000"/>
            </a:schemeClr>
          </a:solidFill>
          <a:ln w="19050">
            <a:solidFill>
              <a:schemeClr val="lt1"/>
            </a:solidFill>
          </a:ln>
          <a:effectLst/>
        </c:spPr>
      </c:pivotFmt>
      <c:pivotFmt>
        <c:idx val="66"/>
        <c:spPr>
          <a:solidFill>
            <a:schemeClr val="accent1">
              <a:lumMod val="75000"/>
            </a:schemeClr>
          </a:solidFill>
          <a:ln w="19050">
            <a:solidFill>
              <a:schemeClr val="accent1">
                <a:lumMod val="75000"/>
              </a:schemeClr>
            </a:solidFill>
          </a:ln>
          <a:effectLst/>
        </c:spPr>
      </c:pivotFmt>
      <c:pivotFmt>
        <c:idx val="67"/>
        <c:spPr>
          <a:solidFill>
            <a:schemeClr val="accent1">
              <a:lumMod val="60000"/>
              <a:lumOff val="40000"/>
            </a:schemeClr>
          </a:solidFill>
          <a:ln w="19050">
            <a:solidFill>
              <a:schemeClr val="lt1"/>
            </a:solidFill>
          </a:ln>
          <a:effectLst/>
        </c:spPr>
      </c:pivotFmt>
      <c:pivotFmt>
        <c:idx val="68"/>
        <c:spPr>
          <a:solidFill>
            <a:schemeClr val="accent1">
              <a:lumMod val="60000"/>
              <a:lumOff val="40000"/>
            </a:schemeClr>
          </a:solidFill>
          <a:ln w="19050">
            <a:solidFill>
              <a:schemeClr val="lt1"/>
            </a:solidFill>
          </a:ln>
          <a:effectLst/>
        </c:spPr>
      </c:pivotFmt>
      <c:pivotFmt>
        <c:idx val="69"/>
        <c:spPr>
          <a:solidFill>
            <a:schemeClr val="accent1">
              <a:lumMod val="40000"/>
              <a:lumOff val="60000"/>
            </a:schemeClr>
          </a:solidFill>
          <a:ln w="19050">
            <a:solidFill>
              <a:schemeClr val="lt1"/>
            </a:solidFill>
          </a:ln>
          <a:effectLst/>
        </c:spPr>
      </c:pivotFmt>
      <c:pivotFmt>
        <c:idx val="70"/>
        <c:spPr>
          <a:solidFill>
            <a:schemeClr val="accent1">
              <a:lumMod val="20000"/>
              <a:lumOff val="80000"/>
            </a:schemeClr>
          </a:solidFill>
          <a:ln w="19050">
            <a:solidFill>
              <a:schemeClr val="lt1"/>
            </a:solidFill>
          </a:ln>
          <a:effectLst/>
        </c:spPr>
      </c:pivotFmt>
    </c:pivotFmts>
    <c:plotArea>
      <c:layout>
        <c:manualLayout>
          <c:layoutTarget val="inner"/>
          <c:xMode val="edge"/>
          <c:yMode val="edge"/>
          <c:x val="3.1272210376687988E-2"/>
          <c:y val="0.18097222222222226"/>
          <c:w val="0.93745557924662404"/>
          <c:h val="0.65620333916593754"/>
        </c:manualLayout>
      </c:layout>
      <c:barChart>
        <c:barDir val="col"/>
        <c:grouping val="clustered"/>
        <c:varyColors val="0"/>
        <c:ser>
          <c:idx val="0"/>
          <c:order val="0"/>
          <c:tx>
            <c:strRef>
              <c:f>'Customers by Age groups'!$B$3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7743-4BEA-9E92-F53F3EB5B6B5}"/>
              </c:ext>
            </c:extLst>
          </c:dPt>
          <c:dPt>
            <c:idx val="1"/>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7743-4BEA-9E92-F53F3EB5B6B5}"/>
              </c:ext>
            </c:extLst>
          </c:dPt>
          <c:dPt>
            <c:idx val="2"/>
            <c:invertIfNegative val="0"/>
            <c:bubble3D val="0"/>
            <c:spPr>
              <a:solidFill>
                <a:schemeClr val="accent1">
                  <a:lumMod val="75000"/>
                </a:schemeClr>
              </a:solidFill>
              <a:ln w="19050">
                <a:solidFill>
                  <a:schemeClr val="accent1">
                    <a:lumMod val="75000"/>
                  </a:schemeClr>
                </a:solidFill>
              </a:ln>
              <a:effectLst/>
            </c:spPr>
            <c:extLst>
              <c:ext xmlns:c16="http://schemas.microsoft.com/office/drawing/2014/chart" uri="{C3380CC4-5D6E-409C-BE32-E72D297353CC}">
                <c16:uniqueId val="{00000005-7743-4BEA-9E92-F53F3EB5B6B5}"/>
              </c:ext>
            </c:extLst>
          </c:dPt>
          <c:dPt>
            <c:idx val="3"/>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7-7743-4BEA-9E92-F53F3EB5B6B5}"/>
              </c:ext>
            </c:extLst>
          </c:dPt>
          <c:dPt>
            <c:idx val="4"/>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9-7743-4BEA-9E92-F53F3EB5B6B5}"/>
              </c:ext>
            </c:extLst>
          </c:dPt>
          <c:dPt>
            <c:idx val="5"/>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B-7743-4BEA-9E92-F53F3EB5B6B5}"/>
              </c:ext>
            </c:extLst>
          </c:dPt>
          <c:dPt>
            <c:idx val="6"/>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D-7743-4BEA-9E92-F53F3EB5B6B5}"/>
              </c:ext>
            </c:extLst>
          </c:dPt>
          <c:dPt>
            <c:idx val="7"/>
            <c:invertIfNegative val="0"/>
            <c:bubble3D val="0"/>
            <c:extLst>
              <c:ext xmlns:c16="http://schemas.microsoft.com/office/drawing/2014/chart" uri="{C3380CC4-5D6E-409C-BE32-E72D297353CC}">
                <c16:uniqueId val="{0000000F-7743-4BEA-9E92-F53F3EB5B6B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by Age groups'!$A$4:$A$11</c:f>
              <c:strCache>
                <c:ptCount val="7"/>
                <c:pt idx="0">
                  <c:v>Silent</c:v>
                </c:pt>
                <c:pt idx="1">
                  <c:v>Millenials</c:v>
                </c:pt>
                <c:pt idx="2">
                  <c:v>Baby Boomers</c:v>
                </c:pt>
                <c:pt idx="3">
                  <c:v>Gen Z</c:v>
                </c:pt>
                <c:pt idx="4">
                  <c:v>Gen X</c:v>
                </c:pt>
                <c:pt idx="5">
                  <c:v>Gen A</c:v>
                </c:pt>
                <c:pt idx="6">
                  <c:v>Greatest</c:v>
                </c:pt>
              </c:strCache>
            </c:strRef>
          </c:cat>
          <c:val>
            <c:numRef>
              <c:f>'Customers by Age groups'!$B$4:$B$11</c:f>
              <c:numCache>
                <c:formatCode>General</c:formatCode>
                <c:ptCount val="7"/>
                <c:pt idx="0">
                  <c:v>363</c:v>
                </c:pt>
                <c:pt idx="1">
                  <c:v>363</c:v>
                </c:pt>
                <c:pt idx="2">
                  <c:v>360</c:v>
                </c:pt>
                <c:pt idx="3">
                  <c:v>341</c:v>
                </c:pt>
                <c:pt idx="4">
                  <c:v>315</c:v>
                </c:pt>
                <c:pt idx="5">
                  <c:v>210</c:v>
                </c:pt>
                <c:pt idx="6">
                  <c:v>48</c:v>
                </c:pt>
              </c:numCache>
            </c:numRef>
          </c:val>
          <c:extLst>
            <c:ext xmlns:c16="http://schemas.microsoft.com/office/drawing/2014/chart" uri="{C3380CC4-5D6E-409C-BE32-E72D297353CC}">
              <c16:uniqueId val="{00000010-7743-4BEA-9E92-F53F3EB5B6B5}"/>
            </c:ext>
          </c:extLst>
        </c:ser>
        <c:dLbls>
          <c:dLblPos val="outEnd"/>
          <c:showLegendKey val="0"/>
          <c:showVal val="1"/>
          <c:showCatName val="0"/>
          <c:showSerName val="0"/>
          <c:showPercent val="0"/>
          <c:showBubbleSize val="0"/>
        </c:dLbls>
        <c:gapWidth val="20"/>
        <c:axId val="645434463"/>
        <c:axId val="645434943"/>
      </c:barChart>
      <c:catAx>
        <c:axId val="645434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645434943"/>
        <c:crosses val="autoZero"/>
        <c:auto val="1"/>
        <c:lblAlgn val="ctr"/>
        <c:lblOffset val="100"/>
        <c:noMultiLvlLbl val="0"/>
      </c:catAx>
      <c:valAx>
        <c:axId val="64543494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4543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cx:spPr>
        </cx:plotSurface>
        <cx:series layoutId="funnel" uniqueId="{595B00EC-25C1-4F7D-BD52-B54AC19FF42D}">
          <cx:tx>
            <cx:txData>
              <cx:f>_xlchart.v2.1</cx:f>
              <cx:v>Average of Annual Income ($)</cx:v>
            </cx:txData>
          </cx:tx>
          <cx:dataPt idx="0">
            <cx:spPr>
              <a:solidFill>
                <a:srgbClr val="4E67C8">
                  <a:lumMod val="50000"/>
                </a:srgbClr>
              </a:solidFill>
            </cx:spPr>
          </cx:dataPt>
          <cx:dataPt idx="1">
            <cx:spPr>
              <a:solidFill>
                <a:srgbClr val="4E67C8">
                  <a:lumMod val="75000"/>
                </a:srgbClr>
              </a:solidFill>
            </cx:spPr>
          </cx:dataPt>
          <cx:dataPt idx="2">
            <cx:spPr>
              <a:solidFill>
                <a:srgbClr val="4E67C8">
                  <a:lumMod val="60000"/>
                  <a:lumOff val="40000"/>
                </a:srgbClr>
              </a:solidFill>
            </cx:spPr>
          </cx:dataPt>
          <cx:dataPt idx="3">
            <cx:spPr>
              <a:solidFill>
                <a:srgbClr val="4E67C8">
                  <a:lumMod val="40000"/>
                  <a:lumOff val="60000"/>
                </a:srgbClr>
              </a:solidFill>
            </cx:spPr>
          </cx:dataPt>
          <cx:dataLabels>
            <cx:txPr>
              <a:bodyPr spcFirstLastPara="1" vertOverflow="ellipsis" horzOverflow="overflow" wrap="square" lIns="0" tIns="0" rIns="0" bIns="0" anchor="ctr" anchorCtr="1"/>
              <a:lstStyle/>
              <a:p>
                <a:pPr algn="ctr" rtl="0">
                  <a:defRPr sz="1200" b="0">
                    <a:solidFill>
                      <a:schemeClr val="bg1"/>
                    </a:solidFill>
                    <a:latin typeface="Georgia" panose="02040502050405020303" pitchFamily="18" charset="0"/>
                    <a:ea typeface="Georgia" panose="02040502050405020303" pitchFamily="18" charset="0"/>
                    <a:cs typeface="Georgia" panose="02040502050405020303" pitchFamily="18" charset="0"/>
                  </a:defRPr>
                </a:pPr>
                <a:endParaRPr lang="en-US" sz="1200" b="0" i="0" u="none" strike="noStrike" baseline="0">
                  <a:solidFill>
                    <a:schemeClr val="bg1"/>
                  </a:solidFill>
                  <a:latin typeface="Georgia" panose="02040502050405020303" pitchFamily="18" charset="0"/>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1100" b="1" i="0" u="none" strike="noStrike" baseline="0">
                      <a:solidFill>
                        <a:schemeClr val="bg1"/>
                      </a:solidFill>
                      <a:latin typeface="Georgia" panose="02040502050405020303" pitchFamily="18" charset="0"/>
                    </a:rPr>
                    <a:t>$113,320</a:t>
                  </a:r>
                </a:p>
              </cx:txPr>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0">
                <a:solidFill>
                  <a:schemeClr val="accent1">
                    <a:lumMod val="50000"/>
                  </a:schemeClr>
                </a:solidFill>
                <a:latin typeface="Georgia" panose="02040502050405020303" pitchFamily="18" charset="0"/>
                <a:ea typeface="Georgia" panose="02040502050405020303" pitchFamily="18" charset="0"/>
                <a:cs typeface="Georgia" panose="02040502050405020303" pitchFamily="18" charset="0"/>
              </a:defRPr>
            </a:pPr>
            <a:endParaRPr lang="en-US" sz="1200" b="0" i="0" u="none" strike="noStrike" baseline="0">
              <a:solidFill>
                <a:schemeClr val="accent1">
                  <a:lumMod val="50000"/>
                </a:schemeClr>
              </a:solidFill>
              <a:latin typeface="Georgia" panose="02040502050405020303" pitchFamily="18" charset="0"/>
            </a:endParaRPr>
          </a:p>
        </cx:tx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Spending Score Category By Average Annual Income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Spending Score Category By Average Annual Income</a:t>
          </a:r>
        </a:p>
      </cx:txPr>
    </cx:title>
    <cx:plotArea>
      <cx:plotAreaRegion>
        <cx:series layoutId="funnel" uniqueId="{595B00EC-25C1-4F7D-BD52-B54AC19FF42D}">
          <cx:tx>
            <cx:txData>
              <cx:f>_xlchart.v2.7</cx:f>
              <cx:v>Average of Annual Income ($)</cx:v>
            </cx:txData>
          </cx:tx>
          <cx:dataPt idx="0">
            <cx:spPr>
              <a:solidFill>
                <a:srgbClr val="4E67C8">
                  <a:lumMod val="50000"/>
                </a:srgbClr>
              </a:solidFill>
            </cx:spPr>
          </cx:dataPt>
          <cx:dataPt idx="1">
            <cx:spPr>
              <a:solidFill>
                <a:srgbClr val="4E67C8">
                  <a:lumMod val="75000"/>
                </a:srgbClr>
              </a:solidFill>
            </cx:spPr>
          </cx:dataPt>
          <cx:dataPt idx="2">
            <cx:spPr>
              <a:solidFill>
                <a:srgbClr val="4E67C8">
                  <a:lumMod val="60000"/>
                  <a:lumOff val="40000"/>
                </a:srgbClr>
              </a:solidFill>
            </cx:spPr>
          </cx:dataPt>
          <cx:dataPt idx="3">
            <cx:spPr>
              <a:solidFill>
                <a:srgbClr val="4E67C8">
                  <a:lumMod val="40000"/>
                  <a:lumOff val="60000"/>
                </a:srgbClr>
              </a:solidFill>
            </cx:spPr>
          </cx:dataPt>
          <cx:data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Aptos Narrow" panose="0211000402020202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1.jpeg"/><Relationship Id="rId12"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microsoft.com/office/2007/relationships/hdphoto" Target="../media/hdphoto1.wdp"/><Relationship Id="rId5" Type="http://schemas.openxmlformats.org/officeDocument/2006/relationships/chart" Target="../charts/chart5.xml"/><Relationship Id="rId15" Type="http://schemas.openxmlformats.org/officeDocument/2006/relationships/image" Target="../media/image7.sv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 Id="rId1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microsoft.com/office/2014/relationships/chartEx" Target="../charts/chartEx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123826</xdr:colOff>
      <xdr:row>0</xdr:row>
      <xdr:rowOff>114300</xdr:rowOff>
    </xdr:from>
    <xdr:to>
      <xdr:col>6</xdr:col>
      <xdr:colOff>180976</xdr:colOff>
      <xdr:row>17</xdr:row>
      <xdr:rowOff>28575</xdr:rowOff>
    </xdr:to>
    <xdr:sp macro="" textlink="">
      <xdr:nvSpPr>
        <xdr:cNvPr id="2" name="Rectangle: Rounded Corners 1">
          <a:extLst>
            <a:ext uri="{FF2B5EF4-FFF2-40B4-BE49-F238E27FC236}">
              <a16:creationId xmlns:a16="http://schemas.microsoft.com/office/drawing/2014/main" id="{EFE5466B-D170-DCE7-3B52-8F04EDB4A6DD}"/>
            </a:ext>
          </a:extLst>
        </xdr:cNvPr>
        <xdr:cNvSpPr/>
      </xdr:nvSpPr>
      <xdr:spPr>
        <a:xfrm>
          <a:off x="123826" y="114300"/>
          <a:ext cx="3714750" cy="3152775"/>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PROJECT</a:t>
          </a:r>
          <a:r>
            <a:rPr lang="en-US" sz="1100" b="1" baseline="0"/>
            <a:t> SPLIT</a:t>
          </a:r>
        </a:p>
        <a:p>
          <a:pPr algn="l"/>
          <a:r>
            <a:rPr lang="en-US" sz="1100" baseline="0"/>
            <a:t>Category1: Independent Values</a:t>
          </a:r>
        </a:p>
        <a:p>
          <a:pPr algn="l"/>
          <a:r>
            <a:rPr lang="en-US" sz="1100" baseline="0"/>
            <a:t>1.  Gender</a:t>
          </a:r>
        </a:p>
        <a:p>
          <a:pPr algn="l"/>
          <a:r>
            <a:rPr lang="en-US" sz="1100" baseline="0"/>
            <a:t>2. Profession</a:t>
          </a:r>
        </a:p>
        <a:p>
          <a:pPr algn="l"/>
          <a:r>
            <a:rPr lang="en-US" sz="1100" baseline="0"/>
            <a:t>3. Age</a:t>
          </a:r>
        </a:p>
        <a:p>
          <a:pPr algn="l"/>
          <a:endParaRPr lang="en-US" sz="1100" baseline="0"/>
        </a:p>
        <a:p>
          <a:pPr algn="l"/>
          <a:r>
            <a:rPr lang="en-US" sz="1100" baseline="0"/>
            <a:t>Category2: Dependent Values</a:t>
          </a:r>
        </a:p>
        <a:p>
          <a:pPr algn="l"/>
          <a:r>
            <a:rPr lang="en-US" sz="1100" baseline="0"/>
            <a:t>1.Annual Income</a:t>
          </a:r>
        </a:p>
        <a:p>
          <a:pPr algn="l"/>
          <a:r>
            <a:rPr lang="en-US" sz="1100" baseline="0"/>
            <a:t>2. Spending score</a:t>
          </a:r>
        </a:p>
        <a:p>
          <a:pPr algn="l"/>
          <a:r>
            <a:rPr lang="en-US" sz="1100" baseline="0"/>
            <a:t>3. Work Experience</a:t>
          </a:r>
        </a:p>
        <a:p>
          <a:pPr algn="l"/>
          <a:r>
            <a:rPr lang="en-US" sz="1100" baseline="0"/>
            <a:t>4. Family size</a:t>
          </a:r>
        </a:p>
      </xdr:txBody>
    </xdr:sp>
    <xdr:clientData/>
  </xdr:twoCellAnchor>
  <xdr:twoCellAnchor editAs="oneCell">
    <xdr:from>
      <xdr:col>10</xdr:col>
      <xdr:colOff>0</xdr:colOff>
      <xdr:row>9</xdr:row>
      <xdr:rowOff>0</xdr:rowOff>
    </xdr:from>
    <xdr:to>
      <xdr:col>10</xdr:col>
      <xdr:colOff>304800</xdr:colOff>
      <xdr:row>10</xdr:row>
      <xdr:rowOff>114300</xdr:rowOff>
    </xdr:to>
    <xdr:sp macro="" textlink="">
      <xdr:nvSpPr>
        <xdr:cNvPr id="2049" name="AutoShape 1" descr="Image result for costco logo">
          <a:extLst>
            <a:ext uri="{FF2B5EF4-FFF2-40B4-BE49-F238E27FC236}">
              <a16:creationId xmlns:a16="http://schemas.microsoft.com/office/drawing/2014/main" id="{C7E3349A-E815-9554-1B71-E1BF29A15972}"/>
            </a:ext>
          </a:extLst>
        </xdr:cNvPr>
        <xdr:cNvSpPr>
          <a:spLocks noChangeAspect="1" noChangeArrowheads="1"/>
        </xdr:cNvSpPr>
      </xdr:nvSpPr>
      <xdr:spPr bwMode="auto">
        <a:xfrm>
          <a:off x="609600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6</xdr:col>
      <xdr:colOff>304800</xdr:colOff>
      <xdr:row>0</xdr:row>
      <xdr:rowOff>171450</xdr:rowOff>
    </xdr:from>
    <xdr:to>
      <xdr:col>12</xdr:col>
      <xdr:colOff>390526</xdr:colOff>
      <xdr:row>17</xdr:row>
      <xdr:rowOff>9525</xdr:rowOff>
    </xdr:to>
    <xdr:sp macro="" textlink="">
      <xdr:nvSpPr>
        <xdr:cNvPr id="4" name="Rectangle: Rounded Corners 3">
          <a:extLst>
            <a:ext uri="{FF2B5EF4-FFF2-40B4-BE49-F238E27FC236}">
              <a16:creationId xmlns:a16="http://schemas.microsoft.com/office/drawing/2014/main" id="{05F2D001-419A-33E5-4AB5-B27AA5FB146F}"/>
            </a:ext>
          </a:extLst>
        </xdr:cNvPr>
        <xdr:cNvSpPr/>
      </xdr:nvSpPr>
      <xdr:spPr>
        <a:xfrm>
          <a:off x="3962400" y="171450"/>
          <a:ext cx="3743326" cy="3076575"/>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accent1">
                  <a:lumMod val="50000"/>
                </a:schemeClr>
              </a:solidFill>
            </a:rPr>
            <a:t>POTENTIAL ANALYSIS/QUESTIONS</a:t>
          </a:r>
        </a:p>
        <a:p>
          <a:pPr algn="l"/>
          <a:r>
            <a:rPr lang="en-US" sz="1100" baseline="0">
              <a:solidFill>
                <a:schemeClr val="accent1">
                  <a:lumMod val="50000"/>
                </a:schemeClr>
              </a:solidFill>
            </a:rPr>
            <a:t>1. What is the percentage of gender by annual income?</a:t>
          </a:r>
        </a:p>
        <a:p>
          <a:pPr algn="l"/>
          <a:r>
            <a:rPr lang="en-US" sz="1100" baseline="0">
              <a:solidFill>
                <a:schemeClr val="accent1">
                  <a:lumMod val="50000"/>
                </a:schemeClr>
              </a:solidFill>
            </a:rPr>
            <a:t>2. How can the age group be compared to annual income?</a:t>
          </a:r>
        </a:p>
        <a:p>
          <a:pPr algn="l"/>
          <a:r>
            <a:rPr lang="en-US" sz="1100" baseline="0">
              <a:solidFill>
                <a:schemeClr val="accent1">
                  <a:lumMod val="50000"/>
                </a:schemeClr>
              </a:solidFill>
            </a:rPr>
            <a:t>3. What is the total annual income earned by each profession?</a:t>
          </a:r>
        </a:p>
        <a:p>
          <a:pPr algn="l"/>
          <a:r>
            <a:rPr lang="en-US" sz="1100" baseline="0">
              <a:solidFill>
                <a:schemeClr val="accent1">
                  <a:lumMod val="50000"/>
                </a:schemeClr>
              </a:solidFill>
            </a:rPr>
            <a:t>4. How does the family size relate with the spending score?</a:t>
          </a:r>
        </a:p>
        <a:p>
          <a:pPr algn="l"/>
          <a:r>
            <a:rPr lang="en-US" sz="1100" baseline="0">
              <a:solidFill>
                <a:schemeClr val="accent1">
                  <a:lumMod val="50000"/>
                </a:schemeClr>
              </a:solidFill>
            </a:rPr>
            <a:t>5. What is the total number of customers by age groups?</a:t>
          </a:r>
        </a:p>
        <a:p>
          <a:pPr algn="l"/>
          <a:r>
            <a:rPr lang="en-US" sz="1100" baseline="0">
              <a:solidFill>
                <a:schemeClr val="accent1">
                  <a:lumMod val="50000"/>
                </a:schemeClr>
              </a:solidFill>
            </a:rPr>
            <a:t>6. What is the correlation between work experience &amp; Family Size. </a:t>
          </a:r>
        </a:p>
        <a:p>
          <a:pPr algn="l"/>
          <a:endParaRPr lang="en-US" sz="1100" baseline="0">
            <a:solidFill>
              <a:schemeClr val="accent1">
                <a:lumMod val="50000"/>
              </a:schemeClr>
            </a:solidFill>
          </a:endParaRPr>
        </a:p>
        <a:p>
          <a:pPr algn="l"/>
          <a:r>
            <a:rPr lang="en-US" sz="1100" baseline="0">
              <a:solidFill>
                <a:schemeClr val="accent1">
                  <a:lumMod val="50000"/>
                </a:schemeClr>
              </a:solidFill>
            </a:rPr>
            <a:t>COLUMNS TO APPEND</a:t>
          </a:r>
        </a:p>
        <a:p>
          <a:pPr algn="l"/>
          <a:r>
            <a:rPr lang="en-US" sz="1100" baseline="0">
              <a:solidFill>
                <a:schemeClr val="accent1">
                  <a:lumMod val="50000"/>
                </a:schemeClr>
              </a:solidFill>
            </a:rPr>
            <a:t>1. Age Groups</a:t>
          </a:r>
        </a:p>
        <a:p>
          <a:pPr algn="l"/>
          <a:r>
            <a:rPr lang="en-US" sz="1100" baseline="0">
              <a:solidFill>
                <a:schemeClr val="accent1">
                  <a:lumMod val="50000"/>
                </a:schemeClr>
              </a:solidFill>
            </a:rPr>
            <a:t>2. Spending score Category</a:t>
          </a:r>
        </a:p>
        <a:p>
          <a:pPr algn="l"/>
          <a:r>
            <a:rPr lang="en-US" sz="1100" baseline="0">
              <a:solidFill>
                <a:schemeClr val="accent1">
                  <a:lumMod val="50000"/>
                </a:schemeClr>
              </a:solidFill>
            </a:rPr>
            <a:t>3. Family Size second</a:t>
          </a:r>
        </a:p>
        <a:p>
          <a:pPr algn="l"/>
          <a:r>
            <a:rPr lang="en-US" sz="1100" baseline="0">
              <a:solidFill>
                <a:schemeClr val="accent1">
                  <a:lumMod val="50000"/>
                </a:schemeClr>
              </a:solidFill>
            </a:rPr>
            <a:t>4. Work Experience2</a:t>
          </a:r>
        </a:p>
      </xdr:txBody>
    </xdr:sp>
    <xdr:clientData/>
  </xdr:twoCellAnchor>
  <xdr:twoCellAnchor>
    <xdr:from>
      <xdr:col>0</xdr:col>
      <xdr:colOff>200025</xdr:colOff>
      <xdr:row>18</xdr:row>
      <xdr:rowOff>28575</xdr:rowOff>
    </xdr:from>
    <xdr:to>
      <xdr:col>6</xdr:col>
      <xdr:colOff>257175</xdr:colOff>
      <xdr:row>39</xdr:row>
      <xdr:rowOff>95250</xdr:rowOff>
    </xdr:to>
    <xdr:sp macro="" textlink="">
      <xdr:nvSpPr>
        <xdr:cNvPr id="5" name="Rectangle: Rounded Corners 4">
          <a:extLst>
            <a:ext uri="{FF2B5EF4-FFF2-40B4-BE49-F238E27FC236}">
              <a16:creationId xmlns:a16="http://schemas.microsoft.com/office/drawing/2014/main" id="{34992DDF-CBFB-B66A-50F5-E33F385FD0A1}"/>
            </a:ext>
          </a:extLst>
        </xdr:cNvPr>
        <xdr:cNvSpPr/>
      </xdr:nvSpPr>
      <xdr:spPr>
        <a:xfrm>
          <a:off x="200025" y="3457575"/>
          <a:ext cx="3714750" cy="4067175"/>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accent1">
                  <a:lumMod val="50000"/>
                </a:schemeClr>
              </a:solidFill>
            </a:rPr>
            <a:t>INDUSTRY TYPE</a:t>
          </a:r>
        </a:p>
        <a:p>
          <a:pPr algn="l"/>
          <a:r>
            <a:rPr lang="en-US" sz="1100" baseline="0">
              <a:solidFill>
                <a:schemeClr val="accent1">
                  <a:lumMod val="50000"/>
                </a:schemeClr>
              </a:solidFill>
            </a:rPr>
            <a:t>Costco Wholesale Company that provides extremely low prices and efficient operations.</a:t>
          </a:r>
        </a:p>
        <a:p>
          <a:pPr algn="l"/>
          <a:endParaRPr lang="en-US" sz="1100" baseline="0">
            <a:solidFill>
              <a:schemeClr val="accent1">
                <a:lumMod val="50000"/>
              </a:schemeClr>
            </a:solidFill>
          </a:endParaRPr>
        </a:p>
        <a:p>
          <a:pPr algn="ctr"/>
          <a:r>
            <a:rPr lang="en-US" sz="1100" b="1" baseline="0">
              <a:solidFill>
                <a:schemeClr val="accent1">
                  <a:lumMod val="50000"/>
                </a:schemeClr>
              </a:solidFill>
            </a:rPr>
            <a:t>STORY OF DATA</a:t>
          </a:r>
        </a:p>
        <a:p>
          <a:pPr algn="l"/>
          <a:r>
            <a:rPr lang="en-US" sz="1100" baseline="0">
              <a:solidFill>
                <a:schemeClr val="accent1">
                  <a:lumMod val="50000"/>
                </a:schemeClr>
              </a:solidFill>
            </a:rPr>
            <a:t>The dataset comprises of eight columns with 2001 rows which holds information of the unique customerID, gender, age, income, spending score, profession, work experience and family size.</a:t>
          </a:r>
        </a:p>
        <a:p>
          <a:pPr algn="l"/>
          <a:endParaRPr lang="en-US" sz="1100" baseline="0">
            <a:solidFill>
              <a:schemeClr val="accent1">
                <a:lumMod val="50000"/>
              </a:schemeClr>
            </a:solidFill>
          </a:endParaRPr>
        </a:p>
        <a:p>
          <a:pPr algn="ctr"/>
          <a:r>
            <a:rPr lang="en-US" sz="1100" b="1" baseline="0">
              <a:solidFill>
                <a:schemeClr val="accent1">
                  <a:lumMod val="50000"/>
                </a:schemeClr>
              </a:solidFill>
            </a:rPr>
            <a:t>STAKEHOLDRS OF PROJECT</a:t>
          </a:r>
        </a:p>
        <a:p>
          <a:pPr algn="l"/>
          <a:r>
            <a:rPr lang="en-US" sz="1100" baseline="0">
              <a:solidFill>
                <a:schemeClr val="accent1">
                  <a:lumMod val="50000"/>
                </a:schemeClr>
              </a:solidFill>
            </a:rPr>
            <a:t>Executives and senior management, sales and marketing teams and the customers service team.</a:t>
          </a:r>
        </a:p>
        <a:p>
          <a:pPr algn="l"/>
          <a:endParaRPr lang="en-US" sz="1100" baseline="0">
            <a:solidFill>
              <a:schemeClr val="accent1">
                <a:lumMod val="50000"/>
              </a:schemeClr>
            </a:solidFill>
          </a:endParaRPr>
        </a:p>
        <a:p>
          <a:pPr algn="ctr"/>
          <a:r>
            <a:rPr lang="en-US" sz="1100" b="1" baseline="0">
              <a:solidFill>
                <a:schemeClr val="accent1">
                  <a:lumMod val="50000"/>
                </a:schemeClr>
              </a:solidFill>
            </a:rPr>
            <a:t>WHAT SUCCESS MEANS TO THE COMPANY</a:t>
          </a:r>
          <a:r>
            <a:rPr lang="en-US" sz="1100" baseline="0">
              <a:solidFill>
                <a:schemeClr val="accent1">
                  <a:lumMod val="50000"/>
                </a:schemeClr>
              </a:solidFill>
            </a:rPr>
            <a:t>  </a:t>
          </a:r>
        </a:p>
        <a:p>
          <a:pPr algn="l"/>
          <a:r>
            <a:rPr lang="en-US" sz="1100" baseline="0">
              <a:solidFill>
                <a:schemeClr val="accent1">
                  <a:lumMod val="50000"/>
                </a:schemeClr>
              </a:solidFill>
            </a:rPr>
            <a:t>By analyzing the dataset, Costco can gain insights into customer gruops and optimize its business operations and inventory inorder to retain customers.</a:t>
          </a:r>
        </a:p>
      </xdr:txBody>
    </xdr:sp>
    <xdr:clientData/>
  </xdr:twoCellAnchor>
  <xdr:twoCellAnchor>
    <xdr:from>
      <xdr:col>6</xdr:col>
      <xdr:colOff>390525</xdr:colOff>
      <xdr:row>18</xdr:row>
      <xdr:rowOff>28575</xdr:rowOff>
    </xdr:from>
    <xdr:to>
      <xdr:col>12</xdr:col>
      <xdr:colOff>514351</xdr:colOff>
      <xdr:row>39</xdr:row>
      <xdr:rowOff>85724</xdr:rowOff>
    </xdr:to>
    <xdr:sp macro="" textlink="">
      <xdr:nvSpPr>
        <xdr:cNvPr id="6" name="Rectangle: Rounded Corners 5">
          <a:extLst>
            <a:ext uri="{FF2B5EF4-FFF2-40B4-BE49-F238E27FC236}">
              <a16:creationId xmlns:a16="http://schemas.microsoft.com/office/drawing/2014/main" id="{8837A620-FF05-7D5A-6775-E27E88CA5FAC}"/>
            </a:ext>
          </a:extLst>
        </xdr:cNvPr>
        <xdr:cNvSpPr/>
      </xdr:nvSpPr>
      <xdr:spPr>
        <a:xfrm>
          <a:off x="4048125" y="3457575"/>
          <a:ext cx="3781426" cy="4057649"/>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POTENTIAL INSIGHTS</a:t>
          </a:r>
        </a:p>
        <a:p>
          <a:pPr algn="l"/>
          <a:r>
            <a:rPr lang="en-US" sz="1100" baseline="0"/>
            <a:t>1. Finetune the gender that is earns more income and strategically plan campaigns to attract more of them  and streamline services that would increase their inflow and spending habit more and more.</a:t>
          </a:r>
        </a:p>
        <a:p>
          <a:pPr algn="l"/>
          <a:r>
            <a:rPr lang="en-US" sz="1100" baseline="0"/>
            <a:t>2. Finetune the three best age group that patronizes the company and study the trends behind it.</a:t>
          </a:r>
        </a:p>
        <a:p>
          <a:pPr algn="l"/>
          <a:r>
            <a:rPr lang="en-US" sz="1100" baseline="0"/>
            <a:t>3. Finetune the top three professions and study other competitors to improve their product delivery.</a:t>
          </a:r>
        </a:p>
        <a:p>
          <a:pPr algn="l"/>
          <a:r>
            <a:rPr lang="en-US" sz="1100" baseline="0"/>
            <a:t>4. Finetune if the family size can affect customers patronage in the company and discover ways to ensure that success is retained with small, large or medium sized family.</a:t>
          </a:r>
        </a:p>
        <a:p>
          <a:pPr algn="l"/>
          <a:r>
            <a:rPr lang="en-US" sz="1100" baseline="0"/>
            <a:t>5.  Finetune the total number of each age group and deep drive into further study of ways to retain these customers and attract more customers by using customer satisfaction  survey or Questionnaire.</a:t>
          </a:r>
        </a:p>
        <a:p>
          <a:pPr algn="l"/>
          <a:r>
            <a:rPr lang="en-US" sz="1100" baseline="0"/>
            <a:t>6. Finetune  the relationship between work experience of customers by their family size.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123826</xdr:colOff>
      <xdr:row>0</xdr:row>
      <xdr:rowOff>114300</xdr:rowOff>
    </xdr:from>
    <xdr:to>
      <xdr:col>6</xdr:col>
      <xdr:colOff>180976</xdr:colOff>
      <xdr:row>22</xdr:row>
      <xdr:rowOff>171450</xdr:rowOff>
    </xdr:to>
    <xdr:sp macro="" textlink="">
      <xdr:nvSpPr>
        <xdr:cNvPr id="2" name="Rectangle: Rounded Corners 1">
          <a:extLst>
            <a:ext uri="{FF2B5EF4-FFF2-40B4-BE49-F238E27FC236}">
              <a16:creationId xmlns:a16="http://schemas.microsoft.com/office/drawing/2014/main" id="{EB42F188-C3AF-492B-B2DC-1B6D313DD2B3}"/>
            </a:ext>
          </a:extLst>
        </xdr:cNvPr>
        <xdr:cNvSpPr/>
      </xdr:nvSpPr>
      <xdr:spPr>
        <a:xfrm>
          <a:off x="123826" y="114300"/>
          <a:ext cx="3714750" cy="424815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t>ANALYSIS: </a:t>
          </a:r>
          <a:r>
            <a:rPr lang="en-US" sz="1100" b="0" baseline="0"/>
            <a:t>Age group By Total Annual Income</a:t>
          </a:r>
          <a:endParaRPr lang="en-US" sz="1100" b="1" baseline="0"/>
        </a:p>
        <a:p>
          <a:pPr algn="l"/>
          <a:r>
            <a:rPr lang="en-US" sz="1100" b="1" baseline="0"/>
            <a:t>OBSERVATIONS</a:t>
          </a:r>
        </a:p>
        <a:p>
          <a:pPr algn="l"/>
          <a:r>
            <a:rPr lang="en-US" sz="1100" b="0" baseline="0"/>
            <a:t>1. Silent is the top ranked age group with an annual income of $41,760,252.  </a:t>
          </a:r>
        </a:p>
        <a:p>
          <a:pPr algn="l"/>
          <a:r>
            <a:rPr lang="en-US" sz="1100" b="0" baseline="0"/>
            <a:t>2. Baby boomers is the second ranked age group with an annual income of $40,514,275. </a:t>
          </a:r>
        </a:p>
        <a:p>
          <a:pPr algn="l"/>
          <a:r>
            <a:rPr lang="en-US" sz="1100" b="0" baseline="0"/>
            <a:t>3. Greatest is takes the last position with an annual income of $5,976,616.</a:t>
          </a:r>
        </a:p>
        <a:p>
          <a:pPr algn="l"/>
          <a:endParaRPr lang="en-US" sz="1100" b="0" baseline="0"/>
        </a:p>
        <a:p>
          <a:pPr algn="l"/>
          <a:r>
            <a:rPr lang="en-US" sz="1100" b="1" baseline="0"/>
            <a:t>PRE-INSIGHTS:</a:t>
          </a:r>
        </a:p>
        <a:p>
          <a:pPr algn="l"/>
          <a:r>
            <a:rPr lang="en-US" sz="1100" b="0" baseline="0"/>
            <a:t>1. Research should be made on the goods and services purchased by Silent and Baby Boomers age group.</a:t>
          </a:r>
        </a:p>
        <a:p>
          <a:pPr algn="l"/>
          <a:r>
            <a:rPr lang="en-US" sz="1100" b="0" baseline="0"/>
            <a:t>2. Survey should be given out to the Greatest age group to understand their constriants or low annual income and provide ways of improving on it.</a:t>
          </a:r>
        </a:p>
        <a:p>
          <a:pPr algn="l"/>
          <a:r>
            <a:rPr lang="en-US" sz="1100" b="0" baseline="0"/>
            <a:t>3. The production team should improve the goods and services offered to Silent and Baby boomers age groups.</a:t>
          </a:r>
        </a:p>
        <a:p>
          <a:pPr algn="l"/>
          <a:r>
            <a:rPr lang="en-US" sz="1100" b="0" baseline="0"/>
            <a:t>4. Marketing team can investigate other age gruops such as Gen Z, Gen X, Gen A and Millenials to uncover potential goods and services pereferences and provide special discounts on during special holidays.</a:t>
          </a:r>
        </a:p>
      </xdr:txBody>
    </xdr:sp>
    <xdr:clientData/>
  </xdr:twoCellAnchor>
  <xdr:twoCellAnchor editAs="oneCell">
    <xdr:from>
      <xdr:col>10</xdr:col>
      <xdr:colOff>0</xdr:colOff>
      <xdr:row>9</xdr:row>
      <xdr:rowOff>0</xdr:rowOff>
    </xdr:from>
    <xdr:to>
      <xdr:col>10</xdr:col>
      <xdr:colOff>304800</xdr:colOff>
      <xdr:row>10</xdr:row>
      <xdr:rowOff>114300</xdr:rowOff>
    </xdr:to>
    <xdr:sp macro="" textlink="">
      <xdr:nvSpPr>
        <xdr:cNvPr id="3" name="AutoShape 1" descr="Image result for costco logo">
          <a:extLst>
            <a:ext uri="{FF2B5EF4-FFF2-40B4-BE49-F238E27FC236}">
              <a16:creationId xmlns:a16="http://schemas.microsoft.com/office/drawing/2014/main" id="{C7727E03-4639-4C12-B994-9AF02737DA8D}"/>
            </a:ext>
          </a:extLst>
        </xdr:cNvPr>
        <xdr:cNvSpPr>
          <a:spLocks noChangeAspect="1" noChangeArrowheads="1"/>
        </xdr:cNvSpPr>
      </xdr:nvSpPr>
      <xdr:spPr bwMode="auto">
        <a:xfrm>
          <a:off x="609600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6</xdr:col>
      <xdr:colOff>304800</xdr:colOff>
      <xdr:row>0</xdr:row>
      <xdr:rowOff>171450</xdr:rowOff>
    </xdr:from>
    <xdr:to>
      <xdr:col>12</xdr:col>
      <xdr:colOff>390526</xdr:colOff>
      <xdr:row>22</xdr:row>
      <xdr:rowOff>133350</xdr:rowOff>
    </xdr:to>
    <xdr:sp macro="" textlink="">
      <xdr:nvSpPr>
        <xdr:cNvPr id="4" name="Rectangle: Rounded Corners 3">
          <a:extLst>
            <a:ext uri="{FF2B5EF4-FFF2-40B4-BE49-F238E27FC236}">
              <a16:creationId xmlns:a16="http://schemas.microsoft.com/office/drawing/2014/main" id="{15A62D10-E932-4E3E-B47C-F7E8ECCEC0E8}"/>
            </a:ext>
          </a:extLst>
        </xdr:cNvPr>
        <xdr:cNvSpPr/>
      </xdr:nvSpPr>
      <xdr:spPr>
        <a:xfrm>
          <a:off x="3962400" y="171450"/>
          <a:ext cx="3743326" cy="4152900"/>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accent1">
                  <a:lumMod val="50000"/>
                </a:schemeClr>
              </a:solidFill>
            </a:rPr>
            <a:t>ANALYSIS: </a:t>
          </a:r>
          <a:r>
            <a:rPr lang="en-US" sz="1100" b="0" baseline="0">
              <a:solidFill>
                <a:schemeClr val="accent1">
                  <a:lumMod val="50000"/>
                </a:schemeClr>
              </a:solidFill>
            </a:rPr>
            <a:t>Family Size By Average Spending Score and Total Customers</a:t>
          </a:r>
          <a:endParaRPr lang="en-US" sz="1100" b="1" baseline="0">
            <a:solidFill>
              <a:schemeClr val="accent1">
                <a:lumMod val="50000"/>
              </a:schemeClr>
            </a:solidFill>
          </a:endParaRPr>
        </a:p>
        <a:p>
          <a:pPr algn="l"/>
          <a:r>
            <a:rPr lang="en-US" sz="1100" b="1" baseline="0">
              <a:solidFill>
                <a:schemeClr val="accent1">
                  <a:lumMod val="50000"/>
                </a:schemeClr>
              </a:solidFill>
            </a:rPr>
            <a:t>OBSERVATIONS</a:t>
          </a:r>
        </a:p>
        <a:p>
          <a:pPr algn="l"/>
          <a:r>
            <a:rPr lang="en-US" sz="1100" b="0" baseline="0">
              <a:solidFill>
                <a:schemeClr val="accent1">
                  <a:lumMod val="50000"/>
                </a:schemeClr>
              </a:solidFill>
            </a:rPr>
            <a:t>1. The first ranked family size is consisting of 2 members with a total of  361 families having an average spending habit of 50.</a:t>
          </a:r>
        </a:p>
        <a:p>
          <a:pPr algn="l"/>
          <a:r>
            <a:rPr lang="en-US" sz="1100" b="0" baseline="0">
              <a:solidFill>
                <a:schemeClr val="accent1">
                  <a:lumMod val="50000"/>
                </a:schemeClr>
              </a:solidFill>
            </a:rPr>
            <a:t>2. The second ranked family size is consisting of 3 members with a total number of 311 families having an average spending habit of 52.</a:t>
          </a:r>
        </a:p>
        <a:p>
          <a:pPr algn="l"/>
          <a:r>
            <a:rPr lang="en-US" sz="1100" b="0" baseline="0">
              <a:solidFill>
                <a:schemeClr val="accent1">
                  <a:lumMod val="50000"/>
                </a:schemeClr>
              </a:solidFill>
            </a:rPr>
            <a:t>3. There is one family with 9 members having an average spending score of 17.</a:t>
          </a:r>
        </a:p>
        <a:p>
          <a:pPr algn="l"/>
          <a:r>
            <a:rPr lang="en-US" sz="1100" b="1" baseline="0">
              <a:solidFill>
                <a:schemeClr val="accent1">
                  <a:lumMod val="50000"/>
                </a:schemeClr>
              </a:solidFill>
            </a:rPr>
            <a:t>PRE-INSIGHTS:</a:t>
          </a:r>
        </a:p>
        <a:p>
          <a:pPr algn="l"/>
          <a:r>
            <a:rPr lang="en-US" sz="1100" baseline="0">
              <a:solidFill>
                <a:schemeClr val="accent1">
                  <a:lumMod val="50000"/>
                </a:schemeClr>
              </a:solidFill>
            </a:rPr>
            <a:t>1. The company should consider expanding the privileges for families of large size in terms of purchase and the discounts offered to them.</a:t>
          </a:r>
        </a:p>
        <a:p>
          <a:pPr algn="l"/>
          <a:r>
            <a:rPr lang="en-US" sz="1100" baseline="0">
              <a:solidFill>
                <a:schemeClr val="accent1">
                  <a:lumMod val="50000"/>
                </a:schemeClr>
              </a:solidFill>
            </a:rPr>
            <a:t>2. Investigations should be carried out on the top five goods or services in high demand across families with 2 and 3 members respectively.</a:t>
          </a:r>
        </a:p>
        <a:p>
          <a:pPr algn="l"/>
          <a:r>
            <a:rPr lang="en-US" sz="1100" baseline="0">
              <a:solidFill>
                <a:schemeClr val="accent1">
                  <a:lumMod val="50000"/>
                </a:schemeClr>
              </a:solidFill>
            </a:rPr>
            <a:t>3. The Marketing team can consider rebranding of good and services offered by the company and create loyalty packages for the best family for that current year.</a:t>
          </a:r>
        </a:p>
      </xdr:txBody>
    </xdr:sp>
    <xdr:clientData/>
  </xdr:twoCellAnchor>
  <xdr:twoCellAnchor>
    <xdr:from>
      <xdr:col>0</xdr:col>
      <xdr:colOff>200025</xdr:colOff>
      <xdr:row>23</xdr:row>
      <xdr:rowOff>171450</xdr:rowOff>
    </xdr:from>
    <xdr:to>
      <xdr:col>6</xdr:col>
      <xdr:colOff>257175</xdr:colOff>
      <xdr:row>46</xdr:row>
      <xdr:rowOff>0</xdr:rowOff>
    </xdr:to>
    <xdr:sp macro="" textlink="">
      <xdr:nvSpPr>
        <xdr:cNvPr id="5" name="Rectangle: Rounded Corners 4">
          <a:extLst>
            <a:ext uri="{FF2B5EF4-FFF2-40B4-BE49-F238E27FC236}">
              <a16:creationId xmlns:a16="http://schemas.microsoft.com/office/drawing/2014/main" id="{8EEF086B-E22C-4099-A896-057E9511AADF}"/>
            </a:ext>
          </a:extLst>
        </xdr:cNvPr>
        <xdr:cNvSpPr/>
      </xdr:nvSpPr>
      <xdr:spPr>
        <a:xfrm>
          <a:off x="200025" y="4552950"/>
          <a:ext cx="3714750" cy="4210050"/>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accent1">
                  <a:lumMod val="50000"/>
                </a:schemeClr>
              </a:solidFill>
            </a:rPr>
            <a:t>ANALYSIS:  </a:t>
          </a:r>
          <a:r>
            <a:rPr lang="en-US" sz="1100" b="0" baseline="0">
              <a:solidFill>
                <a:schemeClr val="accent1">
                  <a:lumMod val="50000"/>
                </a:schemeClr>
              </a:solidFill>
            </a:rPr>
            <a:t>Gender Distribution By Annual Income </a:t>
          </a:r>
          <a:endParaRPr lang="en-US" sz="1100" b="1" baseline="0">
            <a:solidFill>
              <a:schemeClr val="accent1">
                <a:lumMod val="50000"/>
              </a:schemeClr>
            </a:solidFill>
          </a:endParaRPr>
        </a:p>
        <a:p>
          <a:pPr algn="l"/>
          <a:r>
            <a:rPr lang="en-US" sz="1100" b="1" baseline="0">
              <a:solidFill>
                <a:schemeClr val="accent1">
                  <a:lumMod val="50000"/>
                </a:schemeClr>
              </a:solidFill>
            </a:rPr>
            <a:t>OBSERVATIONS</a:t>
          </a:r>
        </a:p>
        <a:p>
          <a:pPr algn="l"/>
          <a:r>
            <a:rPr lang="en-US" sz="1100" b="0" baseline="0">
              <a:solidFill>
                <a:schemeClr val="accent1">
                  <a:lumMod val="50000"/>
                </a:schemeClr>
              </a:solidFill>
            </a:rPr>
            <a:t>1. 59.20% of the total annual income is gotten from the female gender.</a:t>
          </a:r>
        </a:p>
        <a:p>
          <a:pPr algn="l"/>
          <a:r>
            <a:rPr lang="en-US" sz="1100" b="0" baseline="0">
              <a:solidFill>
                <a:schemeClr val="accent1">
                  <a:lumMod val="50000"/>
                </a:schemeClr>
              </a:solidFill>
            </a:rPr>
            <a:t>2. 40.80% of the total annual income is gotten from the male gender.</a:t>
          </a:r>
        </a:p>
        <a:p>
          <a:pPr algn="l"/>
          <a:r>
            <a:rPr lang="en-US" sz="1100" b="1" baseline="0">
              <a:solidFill>
                <a:schemeClr val="accent1">
                  <a:lumMod val="50000"/>
                </a:schemeClr>
              </a:solidFill>
            </a:rPr>
            <a:t>PRE-INSIGHTS:</a:t>
          </a:r>
        </a:p>
        <a:p>
          <a:pPr algn="l"/>
          <a:r>
            <a:rPr lang="en-US" sz="1100" b="0" baseline="0">
              <a:solidFill>
                <a:schemeClr val="accent1">
                  <a:lumMod val="50000"/>
                </a:schemeClr>
              </a:solidFill>
            </a:rPr>
            <a:t>1. Research should be made on the factors that influenced the high annual income of females more than the males.</a:t>
          </a:r>
        </a:p>
        <a:p>
          <a:pPr algn="l"/>
          <a:r>
            <a:rPr lang="en-US" sz="1100" b="0" baseline="0">
              <a:solidFill>
                <a:schemeClr val="accent1">
                  <a:lumMod val="50000"/>
                </a:schemeClr>
              </a:solidFill>
            </a:rPr>
            <a:t>2. Measures can be put in place to ensure that these percentages are maintained and improved upon inorder to avoid the loss of both male and female customers.</a:t>
          </a:r>
        </a:p>
        <a:p>
          <a:pPr algn="l"/>
          <a:r>
            <a:rPr lang="en-US" sz="1100" b="0" baseline="0">
              <a:solidFill>
                <a:schemeClr val="accent1">
                  <a:lumMod val="50000"/>
                </a:schemeClr>
              </a:solidFill>
            </a:rPr>
            <a:t>3. New and improved measures can be put in place to ensure that customers increase their annual income and increase their spending score also.</a:t>
          </a:r>
        </a:p>
        <a:p>
          <a:pPr algn="l"/>
          <a:r>
            <a:rPr lang="en-US" sz="1100" b="0" baseline="0">
              <a:solidFill>
                <a:schemeClr val="accent1">
                  <a:lumMod val="50000"/>
                </a:schemeClr>
              </a:solidFill>
            </a:rPr>
            <a:t>4. Also, the Sales team can strategically consider offering more female centric products and work profession related goods.</a:t>
          </a:r>
        </a:p>
        <a:p>
          <a:pPr algn="l"/>
          <a:r>
            <a:rPr lang="en-US" sz="1100" b="0" baseline="0">
              <a:solidFill>
                <a:schemeClr val="accent1">
                  <a:lumMod val="50000"/>
                </a:schemeClr>
              </a:solidFill>
            </a:rPr>
            <a:t>5. Investigation should be made on if the high paying professionals are mostly females with families.</a:t>
          </a:r>
        </a:p>
        <a:p>
          <a:pPr algn="l"/>
          <a:endParaRPr lang="en-US" sz="1100" b="0" baseline="0">
            <a:solidFill>
              <a:schemeClr val="accent1">
                <a:lumMod val="50000"/>
              </a:schemeClr>
            </a:solidFill>
          </a:endParaRPr>
        </a:p>
      </xdr:txBody>
    </xdr:sp>
    <xdr:clientData/>
  </xdr:twoCellAnchor>
  <xdr:twoCellAnchor>
    <xdr:from>
      <xdr:col>6</xdr:col>
      <xdr:colOff>390525</xdr:colOff>
      <xdr:row>23</xdr:row>
      <xdr:rowOff>133350</xdr:rowOff>
    </xdr:from>
    <xdr:to>
      <xdr:col>12</xdr:col>
      <xdr:colOff>571500</xdr:colOff>
      <xdr:row>46</xdr:row>
      <xdr:rowOff>19050</xdr:rowOff>
    </xdr:to>
    <xdr:sp macro="" textlink="">
      <xdr:nvSpPr>
        <xdr:cNvPr id="6" name="Rectangle: Rounded Corners 5">
          <a:extLst>
            <a:ext uri="{FF2B5EF4-FFF2-40B4-BE49-F238E27FC236}">
              <a16:creationId xmlns:a16="http://schemas.microsoft.com/office/drawing/2014/main" id="{70A016AD-06B9-424A-BA15-ADF8B2651C67}"/>
            </a:ext>
          </a:extLst>
        </xdr:cNvPr>
        <xdr:cNvSpPr/>
      </xdr:nvSpPr>
      <xdr:spPr>
        <a:xfrm>
          <a:off x="4048125" y="4514850"/>
          <a:ext cx="3838575" cy="426720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t>ANALYSIS:  </a:t>
          </a:r>
          <a:r>
            <a:rPr lang="en-US" sz="1100" b="0" baseline="0"/>
            <a:t>Total</a:t>
          </a:r>
          <a:r>
            <a:rPr lang="en-US" sz="1100" b="1" baseline="0"/>
            <a:t> </a:t>
          </a:r>
          <a:r>
            <a:rPr lang="en-US" sz="1100" b="0" baseline="0"/>
            <a:t>Age Group Assessment </a:t>
          </a:r>
          <a:endParaRPr lang="en-US" sz="1100" b="1" baseline="0"/>
        </a:p>
        <a:p>
          <a:pPr algn="l"/>
          <a:r>
            <a:rPr lang="en-US" sz="1100" b="1" baseline="0"/>
            <a:t>OBSERVATIONS</a:t>
          </a:r>
        </a:p>
        <a:p>
          <a:pPr algn="l"/>
          <a:r>
            <a:rPr lang="en-US" sz="1100" b="0" baseline="0"/>
            <a:t>1. The Silent  and Millenials have the highest number of 363 each.</a:t>
          </a:r>
        </a:p>
        <a:p>
          <a:pPr algn="l"/>
          <a:r>
            <a:rPr lang="en-US" sz="1100" b="0" baseline="0"/>
            <a:t>2. Baby Boomers have the second highest average number of 360.</a:t>
          </a:r>
        </a:p>
        <a:p>
          <a:pPr algn="l"/>
          <a:r>
            <a:rPr lang="en-US" sz="1100" b="0" baseline="0"/>
            <a:t>3. Greatest has the least total number of 48.</a:t>
          </a:r>
        </a:p>
        <a:p>
          <a:pPr algn="l"/>
          <a:r>
            <a:rPr lang="en-US" sz="1100" b="1" baseline="0"/>
            <a:t>PRE-INSIGHTS:</a:t>
          </a:r>
        </a:p>
        <a:p>
          <a:pPr algn="l"/>
          <a:r>
            <a:rPr lang="en-US" sz="1100" baseline="0"/>
            <a:t>1. The low number of Greatest age group could be associated with their low annual income.</a:t>
          </a:r>
        </a:p>
        <a:p>
          <a:pPr algn="l"/>
          <a:r>
            <a:rPr lang="en-US" sz="1100" baseline="0"/>
            <a:t>2. The marketing team can also consider to offer services such as personal care assisstance, medical care, early shopping hours with special discounts etc to Greatest age group.</a:t>
          </a:r>
        </a:p>
        <a:p>
          <a:pPr algn="l"/>
          <a:r>
            <a:rPr lang="en-US" sz="1100" baseline="0"/>
            <a:t>3. Awareness of vairous services for each age group should be executed to each age group. </a:t>
          </a:r>
        </a:p>
        <a:p>
          <a:pPr algn="l"/>
          <a:r>
            <a:rPr lang="en-US" sz="1100" baseline="0"/>
            <a:t>4. Investigation should be carried out inorder to tailor specific services to all age groups.</a:t>
          </a:r>
        </a:p>
        <a:p>
          <a:pPr algn="l"/>
          <a:r>
            <a:rPr lang="en-US" sz="1100" baseline="0"/>
            <a:t>5. New and improved payment methods can be implemented  to make transaction seamless for Gen X, Gen Z and Gen A.</a:t>
          </a:r>
        </a:p>
      </xdr:txBody>
    </xdr:sp>
    <xdr:clientData/>
  </xdr:twoCellAnchor>
  <xdr:twoCellAnchor>
    <xdr:from>
      <xdr:col>13</xdr:col>
      <xdr:colOff>76200</xdr:colOff>
      <xdr:row>0</xdr:row>
      <xdr:rowOff>133350</xdr:rowOff>
    </xdr:from>
    <xdr:to>
      <xdr:col>19</xdr:col>
      <xdr:colOff>200026</xdr:colOff>
      <xdr:row>22</xdr:row>
      <xdr:rowOff>161925</xdr:rowOff>
    </xdr:to>
    <xdr:sp macro="" textlink="">
      <xdr:nvSpPr>
        <xdr:cNvPr id="7" name="Rectangle: Rounded Corners 6">
          <a:extLst>
            <a:ext uri="{FF2B5EF4-FFF2-40B4-BE49-F238E27FC236}">
              <a16:creationId xmlns:a16="http://schemas.microsoft.com/office/drawing/2014/main" id="{7966F954-CD62-63F4-8772-C1DEFF1229BC}"/>
            </a:ext>
          </a:extLst>
        </xdr:cNvPr>
        <xdr:cNvSpPr/>
      </xdr:nvSpPr>
      <xdr:spPr>
        <a:xfrm>
          <a:off x="8001000" y="133350"/>
          <a:ext cx="3781426" cy="4219575"/>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t>ANALYSIS:  </a:t>
          </a:r>
          <a:r>
            <a:rPr lang="en-US" sz="1100" b="0" baseline="0"/>
            <a:t>Spending Score Category By Average Annual Income</a:t>
          </a:r>
          <a:endParaRPr lang="en-US" sz="1100" b="1" baseline="0"/>
        </a:p>
        <a:p>
          <a:pPr algn="l"/>
          <a:r>
            <a:rPr lang="en-US" sz="1100" b="1" baseline="0"/>
            <a:t>OBSERVATIONS</a:t>
          </a:r>
        </a:p>
        <a:p>
          <a:pPr algn="l"/>
          <a:r>
            <a:rPr lang="en-US" sz="1100" b="0" baseline="0"/>
            <a:t>1. 1st Category is Very High with an average annual income of $113,320.</a:t>
          </a:r>
        </a:p>
        <a:p>
          <a:pPr algn="l"/>
          <a:r>
            <a:rPr lang="en-US" sz="1100" b="0" baseline="0"/>
            <a:t>2. 2nd Category is Medium with an average annual income of $110,404.</a:t>
          </a:r>
        </a:p>
        <a:p>
          <a:pPr algn="l"/>
          <a:r>
            <a:rPr lang="en-US" sz="1100" b="0" baseline="0"/>
            <a:t>3. 3rd Category is High with an average annual income of $110,116.</a:t>
          </a:r>
        </a:p>
        <a:p>
          <a:pPr algn="l"/>
          <a:r>
            <a:rPr lang="en-US" sz="1100" b="0" baseline="0"/>
            <a:t>4. The last ranked Category is Low with an average annual income of $109,051.</a:t>
          </a:r>
        </a:p>
        <a:p>
          <a:pPr algn="l"/>
          <a:r>
            <a:rPr lang="en-US" sz="1100" b="1" baseline="0"/>
            <a:t>PRE-INSIGHTS:</a:t>
          </a:r>
        </a:p>
        <a:p>
          <a:pPr algn="l"/>
          <a:r>
            <a:rPr lang="en-US" sz="1100" baseline="0"/>
            <a:t>1.  Customers with very high spending score should be considered for some loyalty program  and the marketing team can investigate if these customers have large family size.</a:t>
          </a:r>
        </a:p>
        <a:p>
          <a:pPr algn="l"/>
          <a:r>
            <a:rPr lang="en-US" sz="1100" baseline="0"/>
            <a:t>2. Customers with low spending score should be critically investigated if they fall under the greatest age group that have a very poor average spending score.</a:t>
          </a:r>
        </a:p>
        <a:p>
          <a:pPr algn="l"/>
          <a:r>
            <a:rPr lang="en-US" sz="1100" baseline="0"/>
            <a:t>3. The company can consider ways to improve their customers average income inorder to increase patronage and spending score across all age groups</a:t>
          </a:r>
        </a:p>
      </xdr:txBody>
    </xdr:sp>
    <xdr:clientData/>
  </xdr:twoCellAnchor>
  <xdr:twoCellAnchor>
    <xdr:from>
      <xdr:col>13</xdr:col>
      <xdr:colOff>200025</xdr:colOff>
      <xdr:row>23</xdr:row>
      <xdr:rowOff>171450</xdr:rowOff>
    </xdr:from>
    <xdr:to>
      <xdr:col>19</xdr:col>
      <xdr:colOff>257175</xdr:colOff>
      <xdr:row>46</xdr:row>
      <xdr:rowOff>28575</xdr:rowOff>
    </xdr:to>
    <xdr:sp macro="" textlink="">
      <xdr:nvSpPr>
        <xdr:cNvPr id="8" name="Rectangle: Rounded Corners 7">
          <a:extLst>
            <a:ext uri="{FF2B5EF4-FFF2-40B4-BE49-F238E27FC236}">
              <a16:creationId xmlns:a16="http://schemas.microsoft.com/office/drawing/2014/main" id="{BD648666-0DC5-5856-CEA7-CF7BE845EA78}"/>
            </a:ext>
          </a:extLst>
        </xdr:cNvPr>
        <xdr:cNvSpPr/>
      </xdr:nvSpPr>
      <xdr:spPr>
        <a:xfrm>
          <a:off x="8124825" y="4552950"/>
          <a:ext cx="3714750" cy="4238625"/>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accent1">
                  <a:lumMod val="50000"/>
                </a:schemeClr>
              </a:solidFill>
            </a:rPr>
            <a:t>ANALYSIS:  </a:t>
          </a:r>
          <a:r>
            <a:rPr lang="en-US" sz="1100" b="0" baseline="0">
              <a:solidFill>
                <a:schemeClr val="accent1">
                  <a:lumMod val="50000"/>
                </a:schemeClr>
              </a:solidFill>
            </a:rPr>
            <a:t>Top 5 Work Experience By Total Annual Income </a:t>
          </a:r>
          <a:endParaRPr lang="en-US" sz="1100" b="1" baseline="0">
            <a:solidFill>
              <a:schemeClr val="accent1">
                <a:lumMod val="50000"/>
              </a:schemeClr>
            </a:solidFill>
          </a:endParaRPr>
        </a:p>
        <a:p>
          <a:pPr algn="l"/>
          <a:r>
            <a:rPr lang="en-US" sz="1100" b="1" baseline="0">
              <a:solidFill>
                <a:schemeClr val="accent1">
                  <a:lumMod val="50000"/>
                </a:schemeClr>
              </a:solidFill>
            </a:rPr>
            <a:t>OBSERVATIONS</a:t>
          </a:r>
        </a:p>
        <a:p>
          <a:pPr algn="l"/>
          <a:r>
            <a:rPr lang="en-US" sz="1100" b="0" baseline="0">
              <a:solidFill>
                <a:schemeClr val="accent1">
                  <a:lumMod val="50000"/>
                </a:schemeClr>
              </a:solidFill>
            </a:rPr>
            <a:t>1. The top work experience is 1 year with a total annual income of $50,598,756.</a:t>
          </a:r>
        </a:p>
        <a:p>
          <a:pPr algn="l"/>
          <a:r>
            <a:rPr lang="en-US" sz="1100" b="0" baseline="0">
              <a:solidFill>
                <a:schemeClr val="accent1">
                  <a:lumMod val="50000"/>
                </a:schemeClr>
              </a:solidFill>
            </a:rPr>
            <a:t>2. The second work experience is 0 year with a total annual income of $45,736,663.</a:t>
          </a:r>
        </a:p>
        <a:p>
          <a:pPr algn="l"/>
          <a:r>
            <a:rPr lang="en-US" sz="1100" b="0" baseline="0">
              <a:solidFill>
                <a:schemeClr val="accent1">
                  <a:lumMod val="50000"/>
                </a:schemeClr>
              </a:solidFill>
            </a:rPr>
            <a:t>3. The least work experience is 6 years with a total annual income of $14,128,943.</a:t>
          </a:r>
        </a:p>
        <a:p>
          <a:pPr algn="l"/>
          <a:r>
            <a:rPr lang="en-US" sz="1100" b="1" baseline="0">
              <a:solidFill>
                <a:schemeClr val="accent1">
                  <a:lumMod val="50000"/>
                </a:schemeClr>
              </a:solidFill>
            </a:rPr>
            <a:t>PRE-INSIGHTS:</a:t>
          </a:r>
        </a:p>
        <a:p>
          <a:pPr algn="l"/>
          <a:r>
            <a:rPr lang="en-US" sz="1100" b="0" baseline="0">
              <a:solidFill>
                <a:schemeClr val="accent1">
                  <a:lumMod val="50000"/>
                </a:schemeClr>
              </a:solidFill>
            </a:rPr>
            <a:t>1. The human resource team can channel sales representatives to companies with new intakes or employees and advertise their goods and services to them.</a:t>
          </a:r>
        </a:p>
        <a:p>
          <a:pPr algn="l"/>
          <a:r>
            <a:rPr lang="en-US" sz="1100" b="0" baseline="0">
              <a:solidFill>
                <a:schemeClr val="accent1">
                  <a:lumMod val="50000"/>
                </a:schemeClr>
              </a:solidFill>
            </a:rPr>
            <a:t>2. Customers with 6 years work experience with a low annual income would suggest that finances are gradually being used to take care of some retirement plan such as 401K.</a:t>
          </a:r>
        </a:p>
        <a:p>
          <a:pPr algn="l"/>
          <a:r>
            <a:rPr lang="en-US" sz="1100" b="0" baseline="0">
              <a:solidFill>
                <a:schemeClr val="accent1">
                  <a:lumMod val="50000"/>
                </a:schemeClr>
              </a:solidFill>
            </a:rPr>
            <a:t>3. Investigation should be made on the age group that falls under such work experiences such as Millenials, Gen Z, Gen X and Gen A  and tailor services to their needs.</a:t>
          </a:r>
        </a:p>
      </xdr:txBody>
    </xdr:sp>
    <xdr:clientData/>
  </xdr:twoCellAnchor>
  <xdr:twoCellAnchor>
    <xdr:from>
      <xdr:col>26</xdr:col>
      <xdr:colOff>200025</xdr:colOff>
      <xdr:row>26</xdr:row>
      <xdr:rowOff>161925</xdr:rowOff>
    </xdr:from>
    <xdr:to>
      <xdr:col>32</xdr:col>
      <xdr:colOff>257175</xdr:colOff>
      <xdr:row>48</xdr:row>
      <xdr:rowOff>38100</xdr:rowOff>
    </xdr:to>
    <xdr:sp macro="" textlink="">
      <xdr:nvSpPr>
        <xdr:cNvPr id="9" name="Rectangle: Rounded Corners 8">
          <a:extLst>
            <a:ext uri="{FF2B5EF4-FFF2-40B4-BE49-F238E27FC236}">
              <a16:creationId xmlns:a16="http://schemas.microsoft.com/office/drawing/2014/main" id="{DEDCF9F1-79F3-EB3B-F81D-2B318D9139F1}"/>
            </a:ext>
          </a:extLst>
        </xdr:cNvPr>
        <xdr:cNvSpPr/>
      </xdr:nvSpPr>
      <xdr:spPr>
        <a:xfrm>
          <a:off x="16049625" y="5114925"/>
          <a:ext cx="3714750" cy="4067175"/>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accent1">
                  <a:lumMod val="50000"/>
                </a:schemeClr>
              </a:solidFill>
            </a:rPr>
            <a:t>ANALYSIS:  </a:t>
          </a:r>
          <a:r>
            <a:rPr lang="en-US" sz="1100" b="0" baseline="0">
              <a:solidFill>
                <a:schemeClr val="accent1">
                  <a:lumMod val="50000"/>
                </a:schemeClr>
              </a:solidFill>
            </a:rPr>
            <a:t>Top 5 Work Experience By Total Annual Income </a:t>
          </a:r>
          <a:endParaRPr lang="en-US" sz="1100" b="1" baseline="0">
            <a:solidFill>
              <a:schemeClr val="accent1">
                <a:lumMod val="50000"/>
              </a:schemeClr>
            </a:solidFill>
          </a:endParaRPr>
        </a:p>
        <a:p>
          <a:pPr algn="l"/>
          <a:r>
            <a:rPr lang="en-US" sz="1100" b="1" baseline="0">
              <a:solidFill>
                <a:schemeClr val="accent1">
                  <a:lumMod val="50000"/>
                </a:schemeClr>
              </a:solidFill>
            </a:rPr>
            <a:t>OBSERVATIONS</a:t>
          </a:r>
        </a:p>
        <a:p>
          <a:pPr algn="l"/>
          <a:r>
            <a:rPr lang="en-US" sz="1100" b="1" baseline="0">
              <a:solidFill>
                <a:schemeClr val="accent1">
                  <a:lumMod val="50000"/>
                </a:schemeClr>
              </a:solidFill>
            </a:rPr>
            <a:t>PRE-INSIGHTS:</a:t>
          </a:r>
        </a:p>
      </xdr:txBody>
    </xdr:sp>
    <xdr:clientData/>
  </xdr:twoCellAnchor>
  <xdr:twoCellAnchor>
    <xdr:from>
      <xdr:col>19</xdr:col>
      <xdr:colOff>352425</xdr:colOff>
      <xdr:row>1</xdr:row>
      <xdr:rowOff>9525</xdr:rowOff>
    </xdr:from>
    <xdr:to>
      <xdr:col>25</xdr:col>
      <xdr:colOff>409575</xdr:colOff>
      <xdr:row>22</xdr:row>
      <xdr:rowOff>76200</xdr:rowOff>
    </xdr:to>
    <xdr:sp macro="" textlink="">
      <xdr:nvSpPr>
        <xdr:cNvPr id="10" name="Rectangle: Rounded Corners 9">
          <a:extLst>
            <a:ext uri="{FF2B5EF4-FFF2-40B4-BE49-F238E27FC236}">
              <a16:creationId xmlns:a16="http://schemas.microsoft.com/office/drawing/2014/main" id="{0FDBBE1B-1951-E37D-B53B-C8C52275A5A3}"/>
            </a:ext>
          </a:extLst>
        </xdr:cNvPr>
        <xdr:cNvSpPr/>
      </xdr:nvSpPr>
      <xdr:spPr>
        <a:xfrm>
          <a:off x="11934825" y="200025"/>
          <a:ext cx="3714750" cy="4067175"/>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accent1">
                  <a:lumMod val="50000"/>
                </a:schemeClr>
              </a:solidFill>
            </a:rPr>
            <a:t>ANALYSIS:  </a:t>
          </a:r>
          <a:r>
            <a:rPr lang="en-US" sz="1100" b="0" baseline="0">
              <a:solidFill>
                <a:schemeClr val="accent1">
                  <a:lumMod val="50000"/>
                </a:schemeClr>
              </a:solidFill>
            </a:rPr>
            <a:t>Profession Assessment By Total Annual Income</a:t>
          </a:r>
          <a:endParaRPr lang="en-US" sz="1100" b="1" baseline="0">
            <a:solidFill>
              <a:schemeClr val="accent1">
                <a:lumMod val="50000"/>
              </a:schemeClr>
            </a:solidFill>
          </a:endParaRPr>
        </a:p>
        <a:p>
          <a:pPr algn="l"/>
          <a:r>
            <a:rPr lang="en-US" sz="1100" b="1" baseline="0">
              <a:solidFill>
                <a:schemeClr val="accent1">
                  <a:lumMod val="50000"/>
                </a:schemeClr>
              </a:solidFill>
            </a:rPr>
            <a:t>OBSERVATIONS</a:t>
          </a:r>
        </a:p>
        <a:p>
          <a:pPr algn="l"/>
          <a:r>
            <a:rPr lang="en-US" sz="1100" b="0" baseline="0">
              <a:solidFill>
                <a:schemeClr val="accent1">
                  <a:lumMod val="50000"/>
                </a:schemeClr>
              </a:solidFill>
            </a:rPr>
            <a:t>1. First ranked profession is Artist with a total annual income of $14,128,943.</a:t>
          </a:r>
        </a:p>
        <a:p>
          <a:pPr algn="l"/>
          <a:r>
            <a:rPr lang="en-US" sz="1100" b="0" baseline="0">
              <a:solidFill>
                <a:schemeClr val="accent1">
                  <a:lumMod val="50000"/>
                </a:schemeClr>
              </a:solidFill>
            </a:rPr>
            <a:t>2. Second ranked profession is Healthcare with a total annual income of $38,162,600.</a:t>
          </a:r>
        </a:p>
        <a:p>
          <a:pPr algn="l"/>
          <a:r>
            <a:rPr lang="en-US" sz="1100" b="0" baseline="0">
              <a:solidFill>
                <a:schemeClr val="accent1">
                  <a:lumMod val="50000"/>
                </a:schemeClr>
              </a:solidFill>
            </a:rPr>
            <a:t>3. Third ranked is Entertainment with a total annual income of $25,892,178.</a:t>
          </a:r>
        </a:p>
        <a:p>
          <a:pPr algn="l"/>
          <a:r>
            <a:rPr lang="en-US" sz="1100" b="1" baseline="0">
              <a:solidFill>
                <a:schemeClr val="accent1">
                  <a:lumMod val="50000"/>
                </a:schemeClr>
              </a:solidFill>
            </a:rPr>
            <a:t>PRE-INSIGHTS:</a:t>
          </a:r>
        </a:p>
        <a:p>
          <a:pPr algn="l"/>
          <a:r>
            <a:rPr lang="en-US" sz="1100" b="0" baseline="0">
              <a:solidFill>
                <a:schemeClr val="accent1">
                  <a:lumMod val="50000"/>
                </a:schemeClr>
              </a:solidFill>
            </a:rPr>
            <a:t>1. More artist related goods should be produced and supplied in large quantity from the production team.</a:t>
          </a:r>
        </a:p>
        <a:p>
          <a:pPr algn="l"/>
          <a:r>
            <a:rPr lang="en-US" sz="1100" b="0" baseline="0">
              <a:solidFill>
                <a:schemeClr val="accent1">
                  <a:lumMod val="50000"/>
                </a:schemeClr>
              </a:solidFill>
            </a:rPr>
            <a:t>2. Goods that are for entertainment should be improved upon.</a:t>
          </a:r>
        </a:p>
        <a:p>
          <a:pPr algn="l"/>
          <a:r>
            <a:rPr lang="en-US" sz="1100" b="0" baseline="0">
              <a:solidFill>
                <a:schemeClr val="accent1">
                  <a:lumMod val="50000"/>
                </a:schemeClr>
              </a:solidFill>
            </a:rPr>
            <a:t>3. More loyalty programs and incentives can be introduced for all professions  such as Artist, Healthcare, Entertainment, Engineering, Doctor, Executive, Lawyer, Marketing, Homemaler and Unknown.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11907</xdr:colOff>
      <xdr:row>0</xdr:row>
      <xdr:rowOff>0</xdr:rowOff>
    </xdr:from>
    <xdr:to>
      <xdr:col>25</xdr:col>
      <xdr:colOff>583791</xdr:colOff>
      <xdr:row>35</xdr:row>
      <xdr:rowOff>31750</xdr:rowOff>
    </xdr:to>
    <xdr:sp macro="" textlink="">
      <xdr:nvSpPr>
        <xdr:cNvPr id="2" name="Rectangle 1">
          <a:extLst>
            <a:ext uri="{FF2B5EF4-FFF2-40B4-BE49-F238E27FC236}">
              <a16:creationId xmlns:a16="http://schemas.microsoft.com/office/drawing/2014/main" id="{C0DA2840-76AC-B74A-DF84-B18FBDD890B8}"/>
            </a:ext>
          </a:extLst>
        </xdr:cNvPr>
        <xdr:cNvSpPr/>
      </xdr:nvSpPr>
      <xdr:spPr>
        <a:xfrm>
          <a:off x="11907" y="0"/>
          <a:ext cx="17855150" cy="6484169"/>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endParaRPr lang="en-NG" sz="1100"/>
        </a:p>
      </xdr:txBody>
    </xdr:sp>
    <xdr:clientData/>
  </xdr:twoCellAnchor>
  <xdr:twoCellAnchor>
    <xdr:from>
      <xdr:col>0</xdr:col>
      <xdr:colOff>63500</xdr:colOff>
      <xdr:row>0</xdr:row>
      <xdr:rowOff>63501</xdr:rowOff>
    </xdr:from>
    <xdr:to>
      <xdr:col>25</xdr:col>
      <xdr:colOff>464342</xdr:colOff>
      <xdr:row>2</xdr:row>
      <xdr:rowOff>127001</xdr:rowOff>
    </xdr:to>
    <xdr:sp macro="" textlink="">
      <xdr:nvSpPr>
        <xdr:cNvPr id="3" name="Rectangle: Rounded Corners 2">
          <a:extLst>
            <a:ext uri="{FF2B5EF4-FFF2-40B4-BE49-F238E27FC236}">
              <a16:creationId xmlns:a16="http://schemas.microsoft.com/office/drawing/2014/main" id="{EE46CBD4-DB56-D9CF-5172-F18138A1AADC}"/>
            </a:ext>
          </a:extLst>
        </xdr:cNvPr>
        <xdr:cNvSpPr/>
      </xdr:nvSpPr>
      <xdr:spPr>
        <a:xfrm>
          <a:off x="63500" y="63501"/>
          <a:ext cx="15581311" cy="44450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200" b="1">
              <a:solidFill>
                <a:schemeClr val="bg1"/>
              </a:solidFill>
              <a:latin typeface="Georgia" panose="02040502050405020303" pitchFamily="18" charset="0"/>
            </a:rPr>
            <a:t>		CUSTOMER REPORT FOR THE YEAR 2022</a:t>
          </a:r>
          <a:endParaRPr lang="en-NG" sz="2200" b="1">
            <a:solidFill>
              <a:schemeClr val="bg1"/>
            </a:solidFill>
            <a:latin typeface="Georgia" panose="02040502050405020303" pitchFamily="18" charset="0"/>
          </a:endParaRPr>
        </a:p>
      </xdr:txBody>
    </xdr:sp>
    <xdr:clientData/>
  </xdr:twoCellAnchor>
  <xdr:twoCellAnchor>
    <xdr:from>
      <xdr:col>14</xdr:col>
      <xdr:colOff>35718</xdr:colOff>
      <xdr:row>14</xdr:row>
      <xdr:rowOff>154781</xdr:rowOff>
    </xdr:from>
    <xdr:to>
      <xdr:col>20</xdr:col>
      <xdr:colOff>571500</xdr:colOff>
      <xdr:row>23</xdr:row>
      <xdr:rowOff>178595</xdr:rowOff>
    </xdr:to>
    <xdr:graphicFrame macro="">
      <xdr:nvGraphicFramePr>
        <xdr:cNvPr id="4" name="Chart 3">
          <a:extLst>
            <a:ext uri="{FF2B5EF4-FFF2-40B4-BE49-F238E27FC236}">
              <a16:creationId xmlns:a16="http://schemas.microsoft.com/office/drawing/2014/main" id="{66082A4F-D520-42EB-B11A-0226BE9B3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59531</xdr:colOff>
      <xdr:row>2</xdr:row>
      <xdr:rowOff>178594</xdr:rowOff>
    </xdr:from>
    <xdr:to>
      <xdr:col>25</xdr:col>
      <xdr:colOff>424656</xdr:colOff>
      <xdr:row>33</xdr:row>
      <xdr:rowOff>59532</xdr:rowOff>
    </xdr:to>
    <xdr:graphicFrame macro="">
      <xdr:nvGraphicFramePr>
        <xdr:cNvPr id="6" name="Chart 5">
          <a:extLst>
            <a:ext uri="{FF2B5EF4-FFF2-40B4-BE49-F238E27FC236}">
              <a16:creationId xmlns:a16="http://schemas.microsoft.com/office/drawing/2014/main" id="{901A7974-3D0C-464A-805B-F2C7D8814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238126</xdr:colOff>
      <xdr:row>3</xdr:row>
      <xdr:rowOff>0</xdr:rowOff>
    </xdr:from>
    <xdr:to>
      <xdr:col>12</xdr:col>
      <xdr:colOff>500064</xdr:colOff>
      <xdr:row>14</xdr:row>
      <xdr:rowOff>95249</xdr:rowOff>
    </xdr:to>
    <xdr:graphicFrame macro="">
      <xdr:nvGraphicFramePr>
        <xdr:cNvPr id="7" name="Chart 6">
          <a:extLst>
            <a:ext uri="{FF2B5EF4-FFF2-40B4-BE49-F238E27FC236}">
              <a16:creationId xmlns:a16="http://schemas.microsoft.com/office/drawing/2014/main" id="{3BA49069-A847-4E82-8E26-5552362AB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559594</xdr:colOff>
      <xdr:row>24</xdr:row>
      <xdr:rowOff>35720</xdr:rowOff>
    </xdr:from>
    <xdr:to>
      <xdr:col>20</xdr:col>
      <xdr:colOff>583406</xdr:colOff>
      <xdr:row>33</xdr:row>
      <xdr:rowOff>47626</xdr:rowOff>
    </xdr:to>
    <xdr:graphicFrame macro="">
      <xdr:nvGraphicFramePr>
        <xdr:cNvPr id="8" name="Chart 7">
          <a:extLst>
            <a:ext uri="{FF2B5EF4-FFF2-40B4-BE49-F238E27FC236}">
              <a16:creationId xmlns:a16="http://schemas.microsoft.com/office/drawing/2014/main" id="{1DDAE044-E046-4E1D-83FF-660EE8837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226222</xdr:colOff>
      <xdr:row>14</xdr:row>
      <xdr:rowOff>166687</xdr:rowOff>
    </xdr:from>
    <xdr:to>
      <xdr:col>13</xdr:col>
      <xdr:colOff>583403</xdr:colOff>
      <xdr:row>23</xdr:row>
      <xdr:rowOff>166687</xdr:rowOff>
    </xdr:to>
    <xdr:graphicFrame macro="">
      <xdr:nvGraphicFramePr>
        <xdr:cNvPr id="11" name="Chart 10">
          <a:extLst>
            <a:ext uri="{FF2B5EF4-FFF2-40B4-BE49-F238E27FC236}">
              <a16:creationId xmlns:a16="http://schemas.microsoft.com/office/drawing/2014/main" id="{44431BC0-BA1C-46CD-BF81-9CF0C77B8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250032</xdr:colOff>
      <xdr:row>24</xdr:row>
      <xdr:rowOff>59531</xdr:rowOff>
    </xdr:from>
    <xdr:to>
      <xdr:col>11</xdr:col>
      <xdr:colOff>500063</xdr:colOff>
      <xdr:row>33</xdr:row>
      <xdr:rowOff>47625</xdr:rowOff>
    </xdr:to>
    <xdr:sp macro="" textlink="">
      <xdr:nvSpPr>
        <xdr:cNvPr id="14" name="Rectangle: Rounded Corners 13">
          <a:extLst>
            <a:ext uri="{FF2B5EF4-FFF2-40B4-BE49-F238E27FC236}">
              <a16:creationId xmlns:a16="http://schemas.microsoft.com/office/drawing/2014/main" id="{E1A5FDE0-54F2-7D5B-5D03-E29B202C4517}"/>
            </a:ext>
          </a:extLst>
        </xdr:cNvPr>
        <xdr:cNvSpPr/>
      </xdr:nvSpPr>
      <xdr:spPr>
        <a:xfrm>
          <a:off x="2071688" y="4631531"/>
          <a:ext cx="5107781" cy="1702594"/>
        </a:xfrm>
        <a:prstGeom prst="roundRect">
          <a:avLst>
            <a:gd name="adj" fmla="val 61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333376</xdr:colOff>
      <xdr:row>25</xdr:row>
      <xdr:rowOff>95250</xdr:rowOff>
    </xdr:from>
    <xdr:to>
      <xdr:col>11</xdr:col>
      <xdr:colOff>452438</xdr:colOff>
      <xdr:row>32</xdr:row>
      <xdr:rowOff>178594</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1766D5C3-2007-4EB6-B925-5AC1C3062E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390776" y="4619625"/>
              <a:ext cx="5605462" cy="1350169"/>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83344</xdr:colOff>
      <xdr:row>2</xdr:row>
      <xdr:rowOff>178596</xdr:rowOff>
    </xdr:from>
    <xdr:to>
      <xdr:col>3</xdr:col>
      <xdr:colOff>154781</xdr:colOff>
      <xdr:row>33</xdr:row>
      <xdr:rowOff>35720</xdr:rowOff>
    </xdr:to>
    <xdr:sp macro="" textlink="">
      <xdr:nvSpPr>
        <xdr:cNvPr id="15" name="Rectangle: Rounded Corners 14">
          <a:extLst>
            <a:ext uri="{FF2B5EF4-FFF2-40B4-BE49-F238E27FC236}">
              <a16:creationId xmlns:a16="http://schemas.microsoft.com/office/drawing/2014/main" id="{D5A95805-16F4-834C-E0F4-1595BAFC087F}"/>
            </a:ext>
          </a:extLst>
        </xdr:cNvPr>
        <xdr:cNvSpPr/>
      </xdr:nvSpPr>
      <xdr:spPr>
        <a:xfrm>
          <a:off x="83344" y="559596"/>
          <a:ext cx="1893093" cy="5762624"/>
        </a:xfrm>
        <a:prstGeom prst="roundRect">
          <a:avLst>
            <a:gd name="adj" fmla="val 6411"/>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15</xdr:col>
      <xdr:colOff>309561</xdr:colOff>
      <xdr:row>0</xdr:row>
      <xdr:rowOff>95250</xdr:rowOff>
    </xdr:from>
    <xdr:to>
      <xdr:col>25</xdr:col>
      <xdr:colOff>380998</xdr:colOff>
      <xdr:row>2</xdr:row>
      <xdr:rowOff>119061</xdr:rowOff>
    </xdr:to>
    <mc:AlternateContent xmlns:mc="http://schemas.openxmlformats.org/markup-compatibility/2006" xmlns:a14="http://schemas.microsoft.com/office/drawing/2010/main">
      <mc:Choice Requires="a14">
        <xdr:graphicFrame macro="">
          <xdr:nvGraphicFramePr>
            <xdr:cNvPr id="17" name="Age Groups">
              <a:extLst>
                <a:ext uri="{FF2B5EF4-FFF2-40B4-BE49-F238E27FC236}">
                  <a16:creationId xmlns:a16="http://schemas.microsoft.com/office/drawing/2014/main" id="{3B335213-EBCC-E0F3-5CD5-090545D05D67}"/>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9417842" y="95250"/>
              <a:ext cx="6143625" cy="40481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206375</xdr:colOff>
      <xdr:row>2</xdr:row>
      <xdr:rowOff>158751</xdr:rowOff>
    </xdr:from>
    <xdr:to>
      <xdr:col>3</xdr:col>
      <xdr:colOff>0</xdr:colOff>
      <xdr:row>7</xdr:row>
      <xdr:rowOff>91282</xdr:rowOff>
    </xdr:to>
    <xdr:pic>
      <xdr:nvPicPr>
        <xdr:cNvPr id="12" name="Picture 11" descr="Costco Logo Vector">
          <a:extLst>
            <a:ext uri="{FF2B5EF4-FFF2-40B4-BE49-F238E27FC236}">
              <a16:creationId xmlns:a16="http://schemas.microsoft.com/office/drawing/2014/main" id="{31769ED8-B31C-4F14-A8AC-ADEAAFABC5E9}"/>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06375" y="539751"/>
          <a:ext cx="1615281" cy="885031"/>
        </a:xfrm>
        <a:prstGeom prst="ellipse">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559592</xdr:colOff>
      <xdr:row>2</xdr:row>
      <xdr:rowOff>178593</xdr:rowOff>
    </xdr:from>
    <xdr:to>
      <xdr:col>20</xdr:col>
      <xdr:colOff>583405</xdr:colOff>
      <xdr:row>14</xdr:row>
      <xdr:rowOff>95250</xdr:rowOff>
    </xdr:to>
    <xdr:graphicFrame macro="">
      <xdr:nvGraphicFramePr>
        <xdr:cNvPr id="5" name="Chart 4">
          <a:extLst>
            <a:ext uri="{FF2B5EF4-FFF2-40B4-BE49-F238E27FC236}">
              <a16:creationId xmlns:a16="http://schemas.microsoft.com/office/drawing/2014/main" id="{3D0DEC70-B6AC-47A8-9F02-40D8866B3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119063</xdr:colOff>
      <xdr:row>7</xdr:row>
      <xdr:rowOff>119065</xdr:rowOff>
    </xdr:from>
    <xdr:to>
      <xdr:col>3</xdr:col>
      <xdr:colOff>119062</xdr:colOff>
      <xdr:row>12</xdr:row>
      <xdr:rowOff>55765</xdr:rowOff>
    </xdr:to>
    <xdr:sp macro="" textlink="">
      <xdr:nvSpPr>
        <xdr:cNvPr id="9" name="Rectangle: Rounded Corners 8">
          <a:extLst>
            <a:ext uri="{FF2B5EF4-FFF2-40B4-BE49-F238E27FC236}">
              <a16:creationId xmlns:a16="http://schemas.microsoft.com/office/drawing/2014/main" id="{417EEF18-3407-1AC6-C435-D4BC2DFDEF52}"/>
            </a:ext>
          </a:extLst>
        </xdr:cNvPr>
        <xdr:cNvSpPr/>
      </xdr:nvSpPr>
      <xdr:spPr>
        <a:xfrm>
          <a:off x="119063" y="1452565"/>
          <a:ext cx="1821655" cy="889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chemeClr val="accent1">
                  <a:lumMod val="50000"/>
                </a:schemeClr>
              </a:solidFill>
              <a:latin typeface="Georgia" panose="02040502050405020303" pitchFamily="18" charset="0"/>
            </a:rPr>
            <a:t>Total Customers</a:t>
          </a:r>
        </a:p>
        <a:p>
          <a:pPr algn="ctr"/>
          <a:endParaRPr lang="en-US" sz="1400" b="1">
            <a:solidFill>
              <a:schemeClr val="accent1">
                <a:lumMod val="50000"/>
              </a:schemeClr>
            </a:solidFill>
            <a:latin typeface="Georgia" panose="02040502050405020303" pitchFamily="18" charset="0"/>
          </a:endParaRPr>
        </a:p>
        <a:p>
          <a:pPr algn="ctr"/>
          <a:r>
            <a:rPr lang="en-US" sz="1600" b="1">
              <a:solidFill>
                <a:schemeClr val="accent1">
                  <a:lumMod val="50000"/>
                </a:schemeClr>
              </a:solidFill>
              <a:latin typeface="Georgia" panose="02040502050405020303" pitchFamily="18" charset="0"/>
            </a:rPr>
            <a:t>2000</a:t>
          </a:r>
          <a:endParaRPr lang="en-NG" sz="1600" b="1">
            <a:solidFill>
              <a:schemeClr val="accent1">
                <a:lumMod val="50000"/>
              </a:schemeClr>
            </a:solidFill>
            <a:latin typeface="Georgia" panose="02040502050405020303" pitchFamily="18" charset="0"/>
          </a:endParaRPr>
        </a:p>
      </xdr:txBody>
    </xdr:sp>
    <xdr:clientData/>
  </xdr:twoCellAnchor>
  <xdr:twoCellAnchor>
    <xdr:from>
      <xdr:col>0</xdr:col>
      <xdr:colOff>116682</xdr:colOff>
      <xdr:row>12</xdr:row>
      <xdr:rowOff>128584</xdr:rowOff>
    </xdr:from>
    <xdr:to>
      <xdr:col>3</xdr:col>
      <xdr:colOff>116681</xdr:colOff>
      <xdr:row>17</xdr:row>
      <xdr:rowOff>65284</xdr:rowOff>
    </xdr:to>
    <xdr:sp macro="" textlink="">
      <xdr:nvSpPr>
        <xdr:cNvPr id="16" name="Rectangle: Rounded Corners 15">
          <a:extLst>
            <a:ext uri="{FF2B5EF4-FFF2-40B4-BE49-F238E27FC236}">
              <a16:creationId xmlns:a16="http://schemas.microsoft.com/office/drawing/2014/main" id="{9C831DD5-2293-3EBD-E583-1AF93C1DBBF2}"/>
            </a:ext>
          </a:extLst>
        </xdr:cNvPr>
        <xdr:cNvSpPr/>
      </xdr:nvSpPr>
      <xdr:spPr>
        <a:xfrm>
          <a:off x="116682" y="2414584"/>
          <a:ext cx="1821655" cy="889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0" baseline="0">
              <a:solidFill>
                <a:schemeClr val="accent1">
                  <a:lumMod val="50000"/>
                </a:schemeClr>
              </a:solidFill>
              <a:latin typeface="Georgia" panose="02040502050405020303" pitchFamily="18" charset="0"/>
              <a:ea typeface="+mn-ea"/>
              <a:cs typeface="+mn-cs"/>
            </a:rPr>
            <a:t>Top Age Group</a:t>
          </a:r>
        </a:p>
        <a:p>
          <a:pPr algn="ctr"/>
          <a:endParaRPr lang="en-US" sz="1400" b="1" baseline="0">
            <a:solidFill>
              <a:schemeClr val="accent1">
                <a:lumMod val="50000"/>
              </a:schemeClr>
            </a:solidFill>
            <a:latin typeface="Georgia" panose="02040502050405020303" pitchFamily="18" charset="0"/>
          </a:endParaRPr>
        </a:p>
        <a:p>
          <a:pPr marL="0" indent="0" algn="ctr"/>
          <a:r>
            <a:rPr lang="en-US" sz="1600" b="1" baseline="0">
              <a:solidFill>
                <a:schemeClr val="accent1">
                  <a:lumMod val="50000"/>
                </a:schemeClr>
              </a:solidFill>
              <a:latin typeface="Georgia" panose="02040502050405020303" pitchFamily="18" charset="0"/>
              <a:ea typeface="+mn-ea"/>
              <a:cs typeface="+mn-cs"/>
            </a:rPr>
            <a:t>Silent</a:t>
          </a:r>
        </a:p>
        <a:p>
          <a:pPr algn="ctr"/>
          <a:endParaRPr lang="en-US" sz="1100">
            <a:solidFill>
              <a:schemeClr val="accent1">
                <a:lumMod val="50000"/>
              </a:schemeClr>
            </a:solidFill>
          </a:endParaRPr>
        </a:p>
      </xdr:txBody>
    </xdr:sp>
    <xdr:clientData/>
  </xdr:twoCellAnchor>
  <xdr:twoCellAnchor>
    <xdr:from>
      <xdr:col>0</xdr:col>
      <xdr:colOff>114300</xdr:colOff>
      <xdr:row>17</xdr:row>
      <xdr:rowOff>126205</xdr:rowOff>
    </xdr:from>
    <xdr:to>
      <xdr:col>3</xdr:col>
      <xdr:colOff>114244</xdr:colOff>
      <xdr:row>22</xdr:row>
      <xdr:rowOff>62905</xdr:rowOff>
    </xdr:to>
    <xdr:sp macro="" textlink="">
      <xdr:nvSpPr>
        <xdr:cNvPr id="18" name="Rectangle: Rounded Corners 17">
          <a:extLst>
            <a:ext uri="{FF2B5EF4-FFF2-40B4-BE49-F238E27FC236}">
              <a16:creationId xmlns:a16="http://schemas.microsoft.com/office/drawing/2014/main" id="{D6E87A75-2378-469E-F45D-B24D58D88507}"/>
            </a:ext>
          </a:extLst>
        </xdr:cNvPr>
        <xdr:cNvSpPr/>
      </xdr:nvSpPr>
      <xdr:spPr>
        <a:xfrm>
          <a:off x="114300" y="3364705"/>
          <a:ext cx="1821600" cy="889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baseline="0">
              <a:solidFill>
                <a:schemeClr val="accent1">
                  <a:lumMod val="50000"/>
                </a:schemeClr>
              </a:solidFill>
              <a:latin typeface="Georgia" panose="02040502050405020303" pitchFamily="18" charset="0"/>
            </a:rPr>
            <a:t>Premier Family       Size</a:t>
          </a:r>
        </a:p>
        <a:p>
          <a:pPr algn="ctr"/>
          <a:r>
            <a:rPr lang="en-US" sz="1400" b="1" baseline="0">
              <a:solidFill>
                <a:schemeClr val="accent1">
                  <a:lumMod val="50000"/>
                </a:schemeClr>
              </a:solidFill>
              <a:latin typeface="Georgia" panose="02040502050405020303" pitchFamily="18" charset="0"/>
            </a:rPr>
            <a:t>        </a:t>
          </a:r>
          <a:r>
            <a:rPr lang="en-US" sz="1600" b="1" baseline="0">
              <a:solidFill>
                <a:schemeClr val="accent1">
                  <a:lumMod val="50000"/>
                </a:schemeClr>
              </a:solidFill>
              <a:latin typeface="Georgia" panose="02040502050405020303" pitchFamily="18" charset="0"/>
            </a:rPr>
            <a:t>2 members</a:t>
          </a:r>
          <a:endParaRPr lang="en-US" sz="1400" b="1" baseline="0">
            <a:solidFill>
              <a:schemeClr val="accent1">
                <a:lumMod val="50000"/>
              </a:schemeClr>
            </a:solidFill>
            <a:latin typeface="Georgia" panose="02040502050405020303" pitchFamily="18" charset="0"/>
          </a:endParaRPr>
        </a:p>
        <a:p>
          <a:pPr algn="ctr"/>
          <a:endParaRPr lang="en-US" sz="1400" b="1" baseline="0">
            <a:solidFill>
              <a:schemeClr val="accent1">
                <a:lumMod val="50000"/>
              </a:schemeClr>
            </a:solidFill>
            <a:latin typeface="Georgia" panose="02040502050405020303" pitchFamily="18" charset="0"/>
          </a:endParaRPr>
        </a:p>
        <a:p>
          <a:pPr algn="ctr"/>
          <a:endParaRPr lang="en-US" sz="1400" b="1">
            <a:solidFill>
              <a:schemeClr val="accent1">
                <a:lumMod val="50000"/>
              </a:schemeClr>
            </a:solidFill>
            <a:latin typeface="Georgia" panose="02040502050405020303" pitchFamily="18" charset="0"/>
          </a:endParaRPr>
        </a:p>
      </xdr:txBody>
    </xdr:sp>
    <xdr:clientData/>
  </xdr:twoCellAnchor>
  <xdr:twoCellAnchor>
    <xdr:from>
      <xdr:col>0</xdr:col>
      <xdr:colOff>123826</xdr:colOff>
      <xdr:row>22</xdr:row>
      <xdr:rowOff>135726</xdr:rowOff>
    </xdr:from>
    <xdr:to>
      <xdr:col>3</xdr:col>
      <xdr:colOff>123825</xdr:colOff>
      <xdr:row>27</xdr:row>
      <xdr:rowOff>72426</xdr:rowOff>
    </xdr:to>
    <xdr:sp macro="" textlink="">
      <xdr:nvSpPr>
        <xdr:cNvPr id="19" name="Rectangle: Rounded Corners 18">
          <a:extLst>
            <a:ext uri="{FF2B5EF4-FFF2-40B4-BE49-F238E27FC236}">
              <a16:creationId xmlns:a16="http://schemas.microsoft.com/office/drawing/2014/main" id="{7411ECAC-5663-F370-CCF0-C89F619DB7E3}"/>
            </a:ext>
          </a:extLst>
        </xdr:cNvPr>
        <xdr:cNvSpPr/>
      </xdr:nvSpPr>
      <xdr:spPr>
        <a:xfrm>
          <a:off x="123826" y="4326726"/>
          <a:ext cx="1821655" cy="8892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baseline="0">
              <a:solidFill>
                <a:schemeClr val="accent1">
                  <a:lumMod val="50000"/>
                </a:schemeClr>
              </a:solidFill>
              <a:latin typeface="Georgia" panose="02040502050405020303" pitchFamily="18" charset="0"/>
            </a:rPr>
            <a:t>Best Profession</a:t>
          </a:r>
        </a:p>
        <a:p>
          <a:pPr algn="ctr"/>
          <a:endParaRPr lang="en-US" sz="1400" b="1" baseline="0">
            <a:solidFill>
              <a:schemeClr val="accent1">
                <a:lumMod val="50000"/>
              </a:schemeClr>
            </a:solidFill>
            <a:latin typeface="Georgia" panose="02040502050405020303" pitchFamily="18" charset="0"/>
          </a:endParaRPr>
        </a:p>
        <a:p>
          <a:pPr marL="0" indent="0" algn="ctr"/>
          <a:r>
            <a:rPr lang="en-US" sz="1600" b="1" baseline="0">
              <a:solidFill>
                <a:schemeClr val="accent1">
                  <a:lumMod val="50000"/>
                </a:schemeClr>
              </a:solidFill>
              <a:latin typeface="Georgia" panose="02040502050405020303" pitchFamily="18" charset="0"/>
              <a:ea typeface="+mn-ea"/>
              <a:cs typeface="+mn-cs"/>
            </a:rPr>
            <a:t>Artist</a:t>
          </a:r>
        </a:p>
        <a:p>
          <a:pPr algn="l"/>
          <a:endParaRPr lang="en-US" sz="1100" b="1" baseline="0">
            <a:solidFill>
              <a:schemeClr val="accent1">
                <a:lumMod val="50000"/>
              </a:schemeClr>
            </a:solidFill>
          </a:endParaRPr>
        </a:p>
        <a:p>
          <a:pPr algn="l"/>
          <a:endParaRPr lang="en-US" sz="1100" b="1">
            <a:solidFill>
              <a:schemeClr val="accent1">
                <a:lumMod val="50000"/>
              </a:schemeClr>
            </a:solidFill>
          </a:endParaRPr>
        </a:p>
      </xdr:txBody>
    </xdr:sp>
    <xdr:clientData/>
  </xdr:twoCellAnchor>
  <xdr:twoCellAnchor>
    <xdr:from>
      <xdr:col>0</xdr:col>
      <xdr:colOff>121444</xdr:colOff>
      <xdr:row>27</xdr:row>
      <xdr:rowOff>145260</xdr:rowOff>
    </xdr:from>
    <xdr:to>
      <xdr:col>3</xdr:col>
      <xdr:colOff>121443</xdr:colOff>
      <xdr:row>32</xdr:row>
      <xdr:rowOff>83346</xdr:rowOff>
    </xdr:to>
    <xdr:sp macro="" textlink="">
      <xdr:nvSpPr>
        <xdr:cNvPr id="20" name="Rectangle: Rounded Corners 19">
          <a:extLst>
            <a:ext uri="{FF2B5EF4-FFF2-40B4-BE49-F238E27FC236}">
              <a16:creationId xmlns:a16="http://schemas.microsoft.com/office/drawing/2014/main" id="{C31BA4AA-11A0-FDA4-B53A-27C35357405E}"/>
            </a:ext>
          </a:extLst>
        </xdr:cNvPr>
        <xdr:cNvSpPr/>
      </xdr:nvSpPr>
      <xdr:spPr>
        <a:xfrm>
          <a:off x="121444" y="5288760"/>
          <a:ext cx="1821655" cy="89058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0" baseline="0">
              <a:solidFill>
                <a:schemeClr val="accent1">
                  <a:lumMod val="50000"/>
                </a:schemeClr>
              </a:solidFill>
              <a:latin typeface="Georgia" panose="02040502050405020303" pitchFamily="18" charset="0"/>
              <a:ea typeface="+mn-ea"/>
              <a:cs typeface="+mn-cs"/>
            </a:rPr>
            <a:t>Average Spending Score</a:t>
          </a:r>
        </a:p>
        <a:p>
          <a:pPr marL="0" indent="0" algn="ctr"/>
          <a:r>
            <a:rPr lang="en-US" sz="1600" b="1" baseline="0">
              <a:solidFill>
                <a:schemeClr val="accent1">
                  <a:lumMod val="50000"/>
                </a:schemeClr>
              </a:solidFill>
              <a:latin typeface="Georgia" panose="02040502050405020303" pitchFamily="18" charset="0"/>
              <a:ea typeface="+mn-ea"/>
              <a:cs typeface="+mn-cs"/>
            </a:rPr>
            <a:t>50.96</a:t>
          </a:r>
        </a:p>
        <a:p>
          <a:pPr algn="l"/>
          <a:endParaRPr lang="en-US" sz="1100" baseline="0">
            <a:solidFill>
              <a:schemeClr val="accent1">
                <a:lumMod val="50000"/>
              </a:schemeClr>
            </a:solidFill>
          </a:endParaRPr>
        </a:p>
        <a:p>
          <a:pPr algn="l"/>
          <a:endParaRPr lang="en-US" sz="1100">
            <a:solidFill>
              <a:schemeClr val="accent1">
                <a:lumMod val="50000"/>
              </a:schemeClr>
            </a:solidFill>
          </a:endParaRPr>
        </a:p>
      </xdr:txBody>
    </xdr:sp>
    <xdr:clientData/>
  </xdr:twoCellAnchor>
  <xdr:twoCellAnchor>
    <xdr:from>
      <xdr:col>0</xdr:col>
      <xdr:colOff>83342</xdr:colOff>
      <xdr:row>32</xdr:row>
      <xdr:rowOff>23815</xdr:rowOff>
    </xdr:from>
    <xdr:to>
      <xdr:col>3</xdr:col>
      <xdr:colOff>119061</xdr:colOff>
      <xdr:row>34</xdr:row>
      <xdr:rowOff>142878</xdr:rowOff>
    </xdr:to>
    <xdr:sp macro="" textlink="">
      <xdr:nvSpPr>
        <xdr:cNvPr id="21" name="TextBox 20">
          <a:extLst>
            <a:ext uri="{FF2B5EF4-FFF2-40B4-BE49-F238E27FC236}">
              <a16:creationId xmlns:a16="http://schemas.microsoft.com/office/drawing/2014/main" id="{FCBB9AD5-A5B4-51A4-1A55-5C8C8771FE15}"/>
            </a:ext>
          </a:extLst>
        </xdr:cNvPr>
        <xdr:cNvSpPr txBox="1"/>
      </xdr:nvSpPr>
      <xdr:spPr>
        <a:xfrm>
          <a:off x="83342" y="6119815"/>
          <a:ext cx="1857375" cy="50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latin typeface="Georgia" panose="02040502050405020303" pitchFamily="18" charset="0"/>
            </a:rPr>
            <a:t>Dorcas Analytics</a:t>
          </a:r>
          <a:endParaRPr lang="en-NG" sz="1100" b="0">
            <a:solidFill>
              <a:schemeClr val="bg1"/>
            </a:solidFill>
            <a:latin typeface="Georgia" panose="02040502050405020303" pitchFamily="18" charset="0"/>
          </a:endParaRPr>
        </a:p>
      </xdr:txBody>
    </xdr:sp>
    <xdr:clientData/>
  </xdr:twoCellAnchor>
  <xdr:twoCellAnchor editAs="oneCell">
    <xdr:from>
      <xdr:col>0</xdr:col>
      <xdr:colOff>95250</xdr:colOff>
      <xdr:row>9</xdr:row>
      <xdr:rowOff>35719</xdr:rowOff>
    </xdr:from>
    <xdr:to>
      <xdr:col>1</xdr:col>
      <xdr:colOff>226615</xdr:colOff>
      <xdr:row>13</xdr:row>
      <xdr:rowOff>11906</xdr:rowOff>
    </xdr:to>
    <xdr:pic>
      <xdr:nvPicPr>
        <xdr:cNvPr id="23" name="Picture 22">
          <a:extLst>
            <a:ext uri="{FF2B5EF4-FFF2-40B4-BE49-F238E27FC236}">
              <a16:creationId xmlns:a16="http://schemas.microsoft.com/office/drawing/2014/main" id="{ECF95B18-5D15-2D1B-ACFC-5FBD1BDC1729}"/>
            </a:ext>
          </a:extLst>
        </xdr:cNvPr>
        <xdr:cNvPicPr>
          <a:picLocks noChangeAspect="1"/>
        </xdr:cNvPicPr>
      </xdr:nvPicPr>
      <xdr:blipFill>
        <a:blip xmlns:r="http://schemas.openxmlformats.org/officeDocument/2006/relationships" r:embed="rId9"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95250" y="1750219"/>
          <a:ext cx="738584" cy="738187"/>
        </a:xfrm>
        <a:prstGeom prst="rect">
          <a:avLst/>
        </a:prstGeom>
      </xdr:spPr>
    </xdr:pic>
    <xdr:clientData/>
  </xdr:twoCellAnchor>
  <xdr:twoCellAnchor editAs="oneCell">
    <xdr:from>
      <xdr:col>0</xdr:col>
      <xdr:colOff>30617</xdr:colOff>
      <xdr:row>14</xdr:row>
      <xdr:rowOff>132671</xdr:rowOff>
    </xdr:from>
    <xdr:to>
      <xdr:col>1</xdr:col>
      <xdr:colOff>81644</xdr:colOff>
      <xdr:row>17</xdr:row>
      <xdr:rowOff>84859</xdr:rowOff>
    </xdr:to>
    <xdr:pic>
      <xdr:nvPicPr>
        <xdr:cNvPr id="25" name="Picture 24">
          <a:extLst>
            <a:ext uri="{FF2B5EF4-FFF2-40B4-BE49-F238E27FC236}">
              <a16:creationId xmlns:a16="http://schemas.microsoft.com/office/drawing/2014/main" id="{7A892F3B-83C1-D4A1-B0DF-A23D3CCC8539}"/>
            </a:ext>
          </a:extLst>
        </xdr:cNvPr>
        <xdr:cNvPicPr>
          <a:picLocks noChangeAspect="1"/>
        </xdr:cNvPicPr>
      </xdr:nvPicPr>
      <xdr:blipFill>
        <a:blip xmlns:r="http://schemas.openxmlformats.org/officeDocument/2006/relationships" r:embed="rId10" cstate="print">
          <a:duotone>
            <a:schemeClr val="accent1">
              <a:shade val="45000"/>
              <a:satMod val="135000"/>
            </a:schemeClr>
            <a:prstClr val="white"/>
          </a:duotone>
          <a:extLst>
            <a:ext uri="{BEBA8EAE-BF5A-486C-A8C5-ECC9F3942E4B}">
              <a14:imgProps xmlns:a14="http://schemas.microsoft.com/office/drawing/2010/main">
                <a14:imgLayer r:embed="rId11">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30617" y="2799671"/>
          <a:ext cx="658246" cy="523688"/>
        </a:xfrm>
        <a:prstGeom prst="rect">
          <a:avLst/>
        </a:prstGeom>
      </xdr:spPr>
    </xdr:pic>
    <xdr:clientData/>
  </xdr:twoCellAnchor>
  <xdr:twoCellAnchor editAs="oneCell">
    <xdr:from>
      <xdr:col>0</xdr:col>
      <xdr:colOff>144576</xdr:colOff>
      <xdr:row>19</xdr:row>
      <xdr:rowOff>40823</xdr:rowOff>
    </xdr:from>
    <xdr:to>
      <xdr:col>0</xdr:col>
      <xdr:colOff>598716</xdr:colOff>
      <xdr:row>22</xdr:row>
      <xdr:rowOff>112073</xdr:rowOff>
    </xdr:to>
    <xdr:pic>
      <xdr:nvPicPr>
        <xdr:cNvPr id="27" name="Picture 26">
          <a:extLst>
            <a:ext uri="{FF2B5EF4-FFF2-40B4-BE49-F238E27FC236}">
              <a16:creationId xmlns:a16="http://schemas.microsoft.com/office/drawing/2014/main" id="{5C3A75EE-331C-A8F0-35DA-EF090C30D00C}"/>
            </a:ext>
          </a:extLst>
        </xdr:cNvPr>
        <xdr:cNvPicPr>
          <a:picLocks noChangeAspect="1" noChangeArrowheads="1"/>
        </xdr:cNvPicPr>
      </xdr:nvPicPr>
      <xdr:blipFill>
        <a:blip xmlns:r="http://schemas.openxmlformats.org/officeDocument/2006/relationships" r:embed="rId12"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44576" y="3660323"/>
          <a:ext cx="454140" cy="64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95250</xdr:colOff>
      <xdr:row>24</xdr:row>
      <xdr:rowOff>166689</xdr:rowOff>
    </xdr:from>
    <xdr:to>
      <xdr:col>1</xdr:col>
      <xdr:colOff>148050</xdr:colOff>
      <xdr:row>27</xdr:row>
      <xdr:rowOff>7695</xdr:rowOff>
    </xdr:to>
    <xdr:pic>
      <xdr:nvPicPr>
        <xdr:cNvPr id="28" name="Picture 27" descr="Artist, brush, drawing, job, man, paint, painter icon - Download on ...">
          <a:extLst>
            <a:ext uri="{FF2B5EF4-FFF2-40B4-BE49-F238E27FC236}">
              <a16:creationId xmlns:a16="http://schemas.microsoft.com/office/drawing/2014/main" id="{1F68BE67-F8A7-2084-8F28-B4299B4FE779}"/>
            </a:ext>
          </a:extLst>
        </xdr:cNvPr>
        <xdr:cNvPicPr>
          <a:picLocks noChangeAspect="1" noChangeArrowheads="1"/>
        </xdr:cNvPicPr>
      </xdr:nvPicPr>
      <xdr:blipFill>
        <a:blip xmlns:r="http://schemas.openxmlformats.org/officeDocument/2006/relationships" r:embed="rId1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95250" y="4738689"/>
          <a:ext cx="660019" cy="3998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178594</xdr:colOff>
      <xdr:row>30</xdr:row>
      <xdr:rowOff>59533</xdr:rowOff>
    </xdr:from>
    <xdr:to>
      <xdr:col>0</xdr:col>
      <xdr:colOff>595312</xdr:colOff>
      <xdr:row>32</xdr:row>
      <xdr:rowOff>99097</xdr:rowOff>
    </xdr:to>
    <xdr:pic>
      <xdr:nvPicPr>
        <xdr:cNvPr id="30" name="Graphic 29" descr="Tally with solid fill">
          <a:extLst>
            <a:ext uri="{FF2B5EF4-FFF2-40B4-BE49-F238E27FC236}">
              <a16:creationId xmlns:a16="http://schemas.microsoft.com/office/drawing/2014/main" id="{5CBC3845-7809-3250-116A-66175B97B24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78594" y="5774533"/>
          <a:ext cx="416718" cy="420564"/>
        </a:xfrm>
        <a:prstGeom prst="rect">
          <a:avLst/>
        </a:prstGeom>
      </xdr:spPr>
    </xdr:pic>
    <xdr:clientData/>
  </xdr:twoCellAnchor>
  <xdr:twoCellAnchor editAs="oneCell">
    <xdr:from>
      <xdr:col>35</xdr:col>
      <xdr:colOff>0</xdr:colOff>
      <xdr:row>19</xdr:row>
      <xdr:rowOff>0</xdr:rowOff>
    </xdr:from>
    <xdr:to>
      <xdr:col>35</xdr:col>
      <xdr:colOff>304800</xdr:colOff>
      <xdr:row>20</xdr:row>
      <xdr:rowOff>114300</xdr:rowOff>
    </xdr:to>
    <xdr:sp macro="" textlink="">
      <xdr:nvSpPr>
        <xdr:cNvPr id="7172" name="AutoShape 4" descr="Costco Logo">
          <a:extLst>
            <a:ext uri="{FF2B5EF4-FFF2-40B4-BE49-F238E27FC236}">
              <a16:creationId xmlns:a16="http://schemas.microsoft.com/office/drawing/2014/main" id="{72F876D7-65A5-AE03-A27F-1C6724C467A0}"/>
            </a:ext>
          </a:extLst>
        </xdr:cNvPr>
        <xdr:cNvSpPr>
          <a:spLocks noChangeAspect="1" noChangeArrowheads="1"/>
        </xdr:cNvSpPr>
      </xdr:nvSpPr>
      <xdr:spPr bwMode="auto">
        <a:xfrm>
          <a:off x="21336000" y="361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16</xdr:row>
      <xdr:rowOff>0</xdr:rowOff>
    </xdr:from>
    <xdr:to>
      <xdr:col>39</xdr:col>
      <xdr:colOff>304800</xdr:colOff>
      <xdr:row>17</xdr:row>
      <xdr:rowOff>114300</xdr:rowOff>
    </xdr:to>
    <xdr:sp macro="" textlink="">
      <xdr:nvSpPr>
        <xdr:cNvPr id="7173" name="AutoShape 5" descr="Costco Logo">
          <a:extLst>
            <a:ext uri="{FF2B5EF4-FFF2-40B4-BE49-F238E27FC236}">
              <a16:creationId xmlns:a16="http://schemas.microsoft.com/office/drawing/2014/main" id="{113635CC-0F9C-D67C-1B5B-D6FB85C2DE1D}"/>
            </a:ext>
          </a:extLst>
        </xdr:cNvPr>
        <xdr:cNvSpPr>
          <a:spLocks noChangeAspect="1" noChangeArrowheads="1"/>
        </xdr:cNvSpPr>
      </xdr:nvSpPr>
      <xdr:spPr bwMode="auto">
        <a:xfrm>
          <a:off x="23774400" y="30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42</xdr:col>
      <xdr:colOff>0</xdr:colOff>
      <xdr:row>14</xdr:row>
      <xdr:rowOff>0</xdr:rowOff>
    </xdr:from>
    <xdr:to>
      <xdr:col>42</xdr:col>
      <xdr:colOff>304800</xdr:colOff>
      <xdr:row>15</xdr:row>
      <xdr:rowOff>114300</xdr:rowOff>
    </xdr:to>
    <xdr:sp macro="" textlink="">
      <xdr:nvSpPr>
        <xdr:cNvPr id="7174" name="AutoShape 6" descr="See related image detail. logo costco clipart 10 free Cliparts | Download images on Clipground 2024">
          <a:extLst>
            <a:ext uri="{FF2B5EF4-FFF2-40B4-BE49-F238E27FC236}">
              <a16:creationId xmlns:a16="http://schemas.microsoft.com/office/drawing/2014/main" id="{E88684F0-1A5A-6A34-42FE-028296B668F2}"/>
            </a:ext>
          </a:extLst>
        </xdr:cNvPr>
        <xdr:cNvSpPr>
          <a:spLocks noChangeAspect="1" noChangeArrowheads="1"/>
        </xdr:cNvSpPr>
      </xdr:nvSpPr>
      <xdr:spPr bwMode="auto">
        <a:xfrm>
          <a:off x="25603200" y="26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297658</xdr:colOff>
      <xdr:row>2</xdr:row>
      <xdr:rowOff>164308</xdr:rowOff>
    </xdr:from>
    <xdr:to>
      <xdr:col>12</xdr:col>
      <xdr:colOff>488158</xdr:colOff>
      <xdr:row>4</xdr:row>
      <xdr:rowOff>63502</xdr:rowOff>
    </xdr:to>
    <xdr:sp macro="" textlink="">
      <xdr:nvSpPr>
        <xdr:cNvPr id="31" name="TextBox 30">
          <a:extLst>
            <a:ext uri="{FF2B5EF4-FFF2-40B4-BE49-F238E27FC236}">
              <a16:creationId xmlns:a16="http://schemas.microsoft.com/office/drawing/2014/main" id="{CCA35C17-6A15-FB6C-CF64-F5E1CB1272D6}"/>
            </a:ext>
          </a:extLst>
        </xdr:cNvPr>
        <xdr:cNvSpPr txBox="1"/>
      </xdr:nvSpPr>
      <xdr:spPr>
        <a:xfrm>
          <a:off x="2119314" y="545308"/>
          <a:ext cx="5655469" cy="280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0">
              <a:solidFill>
                <a:schemeClr val="accent1">
                  <a:lumMod val="50000"/>
                </a:schemeClr>
              </a:solidFill>
              <a:latin typeface="Georgia" panose="02040502050405020303" pitchFamily="18" charset="0"/>
            </a:rPr>
            <a:t>Age</a:t>
          </a:r>
          <a:r>
            <a:rPr lang="en-US" sz="1500" b="0" baseline="0">
              <a:solidFill>
                <a:schemeClr val="accent1">
                  <a:lumMod val="50000"/>
                </a:schemeClr>
              </a:solidFill>
              <a:latin typeface="Georgia" panose="02040502050405020303" pitchFamily="18" charset="0"/>
            </a:rPr>
            <a:t> Group By Total Annual Income</a:t>
          </a:r>
          <a:endParaRPr lang="en-NG" sz="1500" b="0">
            <a:solidFill>
              <a:schemeClr val="accent1">
                <a:lumMod val="50000"/>
              </a:schemeClr>
            </a:solidFill>
            <a:latin typeface="Georgia" panose="02040502050405020303" pitchFamily="18" charset="0"/>
          </a:endParaRPr>
        </a:p>
      </xdr:txBody>
    </xdr:sp>
    <xdr:clientData/>
  </xdr:twoCellAnchor>
  <xdr:twoCellAnchor>
    <xdr:from>
      <xdr:col>12</xdr:col>
      <xdr:colOff>429948</xdr:colOff>
      <xdr:row>2</xdr:row>
      <xdr:rowOff>139437</xdr:rowOff>
    </xdr:from>
    <xdr:to>
      <xdr:col>21</xdr:col>
      <xdr:colOff>95249</xdr:colOff>
      <xdr:row>4</xdr:row>
      <xdr:rowOff>71438</xdr:rowOff>
    </xdr:to>
    <xdr:sp macro="" textlink="">
      <xdr:nvSpPr>
        <xdr:cNvPr id="32" name="TextBox 31">
          <a:extLst>
            <a:ext uri="{FF2B5EF4-FFF2-40B4-BE49-F238E27FC236}">
              <a16:creationId xmlns:a16="http://schemas.microsoft.com/office/drawing/2014/main" id="{3F18F868-21B3-0F1F-AF93-4E586DBA0FF3}"/>
            </a:ext>
          </a:extLst>
        </xdr:cNvPr>
        <xdr:cNvSpPr txBox="1"/>
      </xdr:nvSpPr>
      <xdr:spPr>
        <a:xfrm>
          <a:off x="7716573" y="520437"/>
          <a:ext cx="5130270" cy="31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0">
              <a:solidFill>
                <a:schemeClr val="accent1">
                  <a:lumMod val="50000"/>
                </a:schemeClr>
              </a:solidFill>
              <a:latin typeface="Georgia" panose="02040502050405020303" pitchFamily="18" charset="0"/>
              <a:ea typeface="+mn-ea"/>
              <a:cs typeface="+mn-cs"/>
            </a:rPr>
            <a:t>Family</a:t>
          </a:r>
          <a:r>
            <a:rPr lang="en-US" sz="1600" b="0" baseline="0">
              <a:solidFill>
                <a:schemeClr val="accent1">
                  <a:lumMod val="50000"/>
                </a:schemeClr>
              </a:solidFill>
              <a:latin typeface="Georgia" panose="02040502050405020303" pitchFamily="18" charset="0"/>
            </a:rPr>
            <a:t> </a:t>
          </a:r>
          <a:r>
            <a:rPr lang="en-US" sz="1500" b="0" baseline="0">
              <a:solidFill>
                <a:schemeClr val="accent1">
                  <a:lumMod val="50000"/>
                </a:schemeClr>
              </a:solidFill>
              <a:latin typeface="Georgia" panose="02040502050405020303" pitchFamily="18" charset="0"/>
            </a:rPr>
            <a:t>Size By Avg Spending Score &amp; Total Customer </a:t>
          </a:r>
          <a:endParaRPr lang="en-NG" sz="1500" b="0">
            <a:solidFill>
              <a:schemeClr val="accent1">
                <a:lumMod val="50000"/>
              </a:schemeClr>
            </a:solidFill>
            <a:latin typeface="Georgia" panose="02040502050405020303" pitchFamily="18" charset="0"/>
          </a:endParaRPr>
        </a:p>
      </xdr:txBody>
    </xdr:sp>
    <xdr:clientData/>
  </xdr:twoCellAnchor>
  <xdr:twoCellAnchor>
    <xdr:from>
      <xdr:col>14</xdr:col>
      <xdr:colOff>63500</xdr:colOff>
      <xdr:row>14</xdr:row>
      <xdr:rowOff>135734</xdr:rowOff>
    </xdr:from>
    <xdr:to>
      <xdr:col>20</xdr:col>
      <xdr:colOff>444500</xdr:colOff>
      <xdr:row>16</xdr:row>
      <xdr:rowOff>34928</xdr:rowOff>
    </xdr:to>
    <xdr:sp macro="" textlink="">
      <xdr:nvSpPr>
        <xdr:cNvPr id="33" name="TextBox 32">
          <a:extLst>
            <a:ext uri="{FF2B5EF4-FFF2-40B4-BE49-F238E27FC236}">
              <a16:creationId xmlns:a16="http://schemas.microsoft.com/office/drawing/2014/main" id="{96A128F2-3A4F-3131-D776-1DD7EBC17823}"/>
            </a:ext>
          </a:extLst>
        </xdr:cNvPr>
        <xdr:cNvSpPr txBox="1"/>
      </xdr:nvSpPr>
      <xdr:spPr>
        <a:xfrm>
          <a:off x="8564563" y="2802734"/>
          <a:ext cx="4024312" cy="280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500" b="0">
              <a:solidFill>
                <a:schemeClr val="accent1">
                  <a:lumMod val="50000"/>
                </a:schemeClr>
              </a:solidFill>
              <a:latin typeface="Georgia" panose="02040502050405020303" pitchFamily="18" charset="0"/>
              <a:ea typeface="+mn-ea"/>
              <a:cs typeface="+mn-cs"/>
            </a:rPr>
            <a:t>Gender Distritubtion By Annual Income </a:t>
          </a:r>
          <a:endParaRPr lang="en-NG" sz="1500" b="0">
            <a:solidFill>
              <a:schemeClr val="accent1">
                <a:lumMod val="50000"/>
              </a:schemeClr>
            </a:solidFill>
            <a:latin typeface="Georgia" panose="02040502050405020303" pitchFamily="18" charset="0"/>
            <a:ea typeface="+mn-ea"/>
            <a:cs typeface="+mn-cs"/>
          </a:endParaRPr>
        </a:p>
      </xdr:txBody>
    </xdr:sp>
    <xdr:clientData/>
  </xdr:twoCellAnchor>
  <xdr:twoCellAnchor>
    <xdr:from>
      <xdr:col>4</xdr:col>
      <xdr:colOff>575732</xdr:colOff>
      <xdr:row>14</xdr:row>
      <xdr:rowOff>141290</xdr:rowOff>
    </xdr:from>
    <xdr:to>
      <xdr:col>12</xdr:col>
      <xdr:colOff>264582</xdr:colOff>
      <xdr:row>16</xdr:row>
      <xdr:rowOff>40484</xdr:rowOff>
    </xdr:to>
    <xdr:sp macro="" textlink="">
      <xdr:nvSpPr>
        <xdr:cNvPr id="34" name="TextBox 33">
          <a:extLst>
            <a:ext uri="{FF2B5EF4-FFF2-40B4-BE49-F238E27FC236}">
              <a16:creationId xmlns:a16="http://schemas.microsoft.com/office/drawing/2014/main" id="{8A8DF282-7262-0B08-3577-1C41B7262B08}"/>
            </a:ext>
          </a:extLst>
        </xdr:cNvPr>
        <xdr:cNvSpPr txBox="1"/>
      </xdr:nvSpPr>
      <xdr:spPr>
        <a:xfrm>
          <a:off x="3004607" y="2808290"/>
          <a:ext cx="4546600" cy="280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500" b="0">
              <a:solidFill>
                <a:schemeClr val="accent1">
                  <a:lumMod val="50000"/>
                </a:schemeClr>
              </a:solidFill>
              <a:latin typeface="Georgia" panose="02040502050405020303" pitchFamily="18" charset="0"/>
              <a:ea typeface="+mn-ea"/>
              <a:cs typeface="+mn-cs"/>
            </a:rPr>
            <a:t>Total Age Group Assessment </a:t>
          </a:r>
          <a:endParaRPr lang="en-NG" sz="1500" b="0">
            <a:solidFill>
              <a:schemeClr val="accent1">
                <a:lumMod val="50000"/>
              </a:schemeClr>
            </a:solidFill>
            <a:latin typeface="Georgia" panose="02040502050405020303" pitchFamily="18" charset="0"/>
            <a:ea typeface="+mn-ea"/>
            <a:cs typeface="+mn-cs"/>
          </a:endParaRPr>
        </a:p>
      </xdr:txBody>
    </xdr:sp>
    <xdr:clientData/>
  </xdr:twoCellAnchor>
  <xdr:twoCellAnchor>
    <xdr:from>
      <xdr:col>3</xdr:col>
      <xdr:colOff>296333</xdr:colOff>
      <xdr:row>24</xdr:row>
      <xdr:rowOff>29109</xdr:rowOff>
    </xdr:from>
    <xdr:to>
      <xdr:col>11</xdr:col>
      <xdr:colOff>476250</xdr:colOff>
      <xdr:row>25</xdr:row>
      <xdr:rowOff>118803</xdr:rowOff>
    </xdr:to>
    <xdr:sp macro="" textlink="">
      <xdr:nvSpPr>
        <xdr:cNvPr id="35" name="TextBox 34">
          <a:extLst>
            <a:ext uri="{FF2B5EF4-FFF2-40B4-BE49-F238E27FC236}">
              <a16:creationId xmlns:a16="http://schemas.microsoft.com/office/drawing/2014/main" id="{9D8A8D51-84DC-5500-E741-B63B2D424814}"/>
            </a:ext>
          </a:extLst>
        </xdr:cNvPr>
        <xdr:cNvSpPr txBox="1"/>
      </xdr:nvSpPr>
      <xdr:spPr>
        <a:xfrm>
          <a:off x="2117989" y="4601109"/>
          <a:ext cx="5037667" cy="280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0">
              <a:solidFill>
                <a:schemeClr val="accent1">
                  <a:lumMod val="50000"/>
                </a:schemeClr>
              </a:solidFill>
              <a:latin typeface="Georgia" panose="02040502050405020303" pitchFamily="18" charset="0"/>
              <a:ea typeface="+mn-ea"/>
              <a:cs typeface="+mn-cs"/>
            </a:rPr>
            <a:t>Spending Score Category By Avg Annual Income</a:t>
          </a:r>
          <a:endParaRPr lang="en-NG" sz="1500" b="0">
            <a:solidFill>
              <a:schemeClr val="accent1">
                <a:lumMod val="50000"/>
              </a:schemeClr>
            </a:solidFill>
            <a:latin typeface="Georgia" panose="02040502050405020303" pitchFamily="18" charset="0"/>
            <a:ea typeface="+mn-ea"/>
            <a:cs typeface="+mn-cs"/>
          </a:endParaRPr>
        </a:p>
      </xdr:txBody>
    </xdr:sp>
    <xdr:clientData/>
  </xdr:twoCellAnchor>
  <xdr:twoCellAnchor>
    <xdr:from>
      <xdr:col>12</xdr:col>
      <xdr:colOff>121704</xdr:colOff>
      <xdr:row>24</xdr:row>
      <xdr:rowOff>6883</xdr:rowOff>
    </xdr:from>
    <xdr:to>
      <xdr:col>20</xdr:col>
      <xdr:colOff>570173</xdr:colOff>
      <xdr:row>25</xdr:row>
      <xdr:rowOff>96577</xdr:rowOff>
    </xdr:to>
    <xdr:sp macro="" textlink="">
      <xdr:nvSpPr>
        <xdr:cNvPr id="36" name="TextBox 35">
          <a:extLst>
            <a:ext uri="{FF2B5EF4-FFF2-40B4-BE49-F238E27FC236}">
              <a16:creationId xmlns:a16="http://schemas.microsoft.com/office/drawing/2014/main" id="{69941CC7-AE82-2E34-1646-751CE2FB71C2}"/>
            </a:ext>
          </a:extLst>
        </xdr:cNvPr>
        <xdr:cNvSpPr txBox="1"/>
      </xdr:nvSpPr>
      <xdr:spPr>
        <a:xfrm>
          <a:off x="7408329" y="4578883"/>
          <a:ext cx="5306219" cy="280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0">
              <a:solidFill>
                <a:schemeClr val="accent1">
                  <a:lumMod val="50000"/>
                </a:schemeClr>
              </a:solidFill>
              <a:latin typeface="Georgia" panose="02040502050405020303" pitchFamily="18" charset="0"/>
              <a:ea typeface="+mn-ea"/>
              <a:cs typeface="+mn-cs"/>
            </a:rPr>
            <a:t>Top 5 Work Experience By Average Annual Income</a:t>
          </a:r>
          <a:endParaRPr lang="en-NG" sz="1500" b="0">
            <a:solidFill>
              <a:schemeClr val="accent1">
                <a:lumMod val="50000"/>
              </a:schemeClr>
            </a:solidFill>
            <a:latin typeface="Georgia" panose="02040502050405020303" pitchFamily="18" charset="0"/>
            <a:ea typeface="+mn-ea"/>
            <a:cs typeface="+mn-cs"/>
          </a:endParaRPr>
        </a:p>
      </xdr:txBody>
    </xdr:sp>
    <xdr:clientData/>
  </xdr:twoCellAnchor>
  <xdr:twoCellAnchor>
    <xdr:from>
      <xdr:col>20</xdr:col>
      <xdr:colOff>571500</xdr:colOff>
      <xdr:row>2</xdr:row>
      <xdr:rowOff>139437</xdr:rowOff>
    </xdr:from>
    <xdr:to>
      <xdr:col>25</xdr:col>
      <xdr:colOff>428625</xdr:colOff>
      <xdr:row>5</xdr:row>
      <xdr:rowOff>178594</xdr:rowOff>
    </xdr:to>
    <xdr:sp macro="" textlink="">
      <xdr:nvSpPr>
        <xdr:cNvPr id="37" name="TextBox 36">
          <a:extLst>
            <a:ext uri="{FF2B5EF4-FFF2-40B4-BE49-F238E27FC236}">
              <a16:creationId xmlns:a16="http://schemas.microsoft.com/office/drawing/2014/main" id="{0CD31AB4-E6C2-B3BA-C5AB-26B6345388DB}"/>
            </a:ext>
          </a:extLst>
        </xdr:cNvPr>
        <xdr:cNvSpPr txBox="1"/>
      </xdr:nvSpPr>
      <xdr:spPr>
        <a:xfrm>
          <a:off x="12715875" y="520437"/>
          <a:ext cx="2893219" cy="610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solidFill>
                <a:schemeClr val="accent1">
                  <a:lumMod val="50000"/>
                </a:schemeClr>
              </a:solidFill>
              <a:latin typeface="Georgia" panose="02040502050405020303" pitchFamily="18" charset="0"/>
            </a:rPr>
            <a:t> </a:t>
          </a:r>
          <a:r>
            <a:rPr lang="en-US" sz="1500" b="0">
              <a:solidFill>
                <a:schemeClr val="accent1">
                  <a:lumMod val="50000"/>
                </a:schemeClr>
              </a:solidFill>
              <a:latin typeface="Georgia" panose="02040502050405020303" pitchFamily="18" charset="0"/>
              <a:ea typeface="+mn-ea"/>
              <a:cs typeface="+mn-cs"/>
            </a:rPr>
            <a:t>Profession Assessment By Total Annual Income</a:t>
          </a:r>
          <a:endParaRPr lang="en-NG" sz="1500" b="0">
            <a:solidFill>
              <a:schemeClr val="accent1">
                <a:lumMod val="50000"/>
              </a:schemeClr>
            </a:solidFill>
            <a:latin typeface="Georgia" panose="02040502050405020303" pitchFamily="18" charset="0"/>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191861</xdr:colOff>
      <xdr:row>0</xdr:row>
      <xdr:rowOff>182336</xdr:rowOff>
    </xdr:from>
    <xdr:to>
      <xdr:col>10</xdr:col>
      <xdr:colOff>210247</xdr:colOff>
      <xdr:row>31</xdr:row>
      <xdr:rowOff>177236</xdr:rowOff>
    </xdr:to>
    <xdr:sp macro="" textlink="">
      <xdr:nvSpPr>
        <xdr:cNvPr id="2" name="Rectangle: Rounded Corners 1">
          <a:extLst>
            <a:ext uri="{FF2B5EF4-FFF2-40B4-BE49-F238E27FC236}">
              <a16:creationId xmlns:a16="http://schemas.microsoft.com/office/drawing/2014/main" id="{7B2F98B1-12CA-4A4F-A56D-90A2D6835FE1}"/>
            </a:ext>
          </a:extLst>
        </xdr:cNvPr>
        <xdr:cNvSpPr/>
      </xdr:nvSpPr>
      <xdr:spPr>
        <a:xfrm>
          <a:off x="191861" y="182336"/>
          <a:ext cx="6141600" cy="590040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GENERAL OBSERVATIONS</a:t>
          </a:r>
        </a:p>
        <a:p>
          <a:pPr algn="l"/>
          <a:r>
            <a:rPr lang="en-US" sz="1100" b="0" baseline="0"/>
            <a:t>1. Baby boomers have a total annual income of $25,892,178 </a:t>
          </a:r>
          <a:r>
            <a:rPr lang="en-US" sz="1100" b="0" baseline="0">
              <a:solidFill>
                <a:schemeClr val="lt1"/>
              </a:solidFill>
              <a:effectLst/>
              <a:latin typeface="+mn-lt"/>
              <a:ea typeface="+mn-ea"/>
              <a:cs typeface="+mn-cs"/>
            </a:rPr>
            <a:t>with a total number of 360 with a family size of 2 members(more predominant). These baby boomers are made up of a female to male ratio (56.08% vs 43.92%) having a work experience ranging from 0-1 and 7-9 years in the top three professions which are Artist, Healthcare and Entertainment.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mn-lt"/>
              <a:ea typeface="+mn-ea"/>
              <a:cs typeface="+mn-cs"/>
            </a:rPr>
            <a:t>2.  Gen A have a total annual income of $25,361,080 with a total number of 210 with a family size of 1 member(more predominant). These Gen A are made up of a female to male ratio (60.08% vs 39.92%) having a work experience ranging from 0-1, 6,8-9 years in the top three professions which are Artist, Healthcare and Doctor.</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mn-lt"/>
              <a:ea typeface="+mn-ea"/>
              <a:cs typeface="+mn-cs"/>
            </a:rPr>
            <a:t>3. Gen X have a total annual income of $33,504,512 with a total number of 315 with a family size of 2 members(more predominant). These Gen X are made up of a female to male ratio (64.55% vs 35.45%) having a work experience ranging from 0-1, 4,8-9 years in the top three professions which are Artist, Healthcare and Entertainment.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mn-lt"/>
              <a:ea typeface="+mn-ea"/>
              <a:cs typeface="+mn-cs"/>
            </a:rPr>
            <a:t>4. Gen Z</a:t>
          </a:r>
          <a:r>
            <a:rPr lang="en-US">
              <a:effectLst/>
            </a:rPr>
            <a:t> have a total annual income of $36,952,078 with a </a:t>
          </a:r>
          <a:r>
            <a:rPr lang="en-US" sz="1100" b="0" baseline="0">
              <a:solidFill>
                <a:schemeClr val="lt1"/>
              </a:solidFill>
              <a:effectLst/>
              <a:latin typeface="+mn-lt"/>
              <a:ea typeface="+mn-ea"/>
              <a:cs typeface="+mn-cs"/>
            </a:rPr>
            <a:t>total number </a:t>
          </a:r>
          <a:r>
            <a:rPr lang="en-US">
              <a:effectLst/>
            </a:rPr>
            <a:t> of 341 with a family size of 3 members(more predominant). These Gen</a:t>
          </a:r>
          <a:r>
            <a:rPr lang="en-US" baseline="0">
              <a:effectLst/>
            </a:rPr>
            <a:t> Z</a:t>
          </a:r>
          <a:r>
            <a:rPr lang="en-US">
              <a:effectLst/>
            </a:rPr>
            <a:t> are made up of a female to male ratio (57.04% vs 42.96%) having a work experience ranging from 0-1 and 6-8 years in the top three professions which are Artist, Healthcare and Entertainment.</a:t>
          </a: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5. </a:t>
          </a:r>
          <a:r>
            <a:rPr lang="en-US" sz="1100" b="0" baseline="0">
              <a:solidFill>
                <a:schemeClr val="lt1"/>
              </a:solidFill>
              <a:effectLst/>
              <a:latin typeface="+mn-lt"/>
              <a:ea typeface="+mn-ea"/>
              <a:cs typeface="+mn-cs"/>
            </a:rPr>
            <a:t>Greatest</a:t>
          </a:r>
          <a:r>
            <a:rPr lang="en-US" sz="1100">
              <a:solidFill>
                <a:schemeClr val="lt1"/>
              </a:solidFill>
              <a:effectLst/>
              <a:latin typeface="+mn-lt"/>
              <a:ea typeface="+mn-ea"/>
              <a:cs typeface="+mn-cs"/>
            </a:rPr>
            <a:t> have a total annual income of $5,976,616 with a </a:t>
          </a:r>
          <a:r>
            <a:rPr lang="en-US" sz="1100" b="0" baseline="0">
              <a:solidFill>
                <a:schemeClr val="lt1"/>
              </a:solidFill>
              <a:effectLst/>
              <a:latin typeface="+mn-lt"/>
              <a:ea typeface="+mn-ea"/>
              <a:cs typeface="+mn-cs"/>
            </a:rPr>
            <a:t>total number </a:t>
          </a:r>
          <a:r>
            <a:rPr lang="en-US" sz="1100">
              <a:solidFill>
                <a:schemeClr val="lt1"/>
              </a:solidFill>
              <a:effectLst/>
              <a:latin typeface="+mn-lt"/>
              <a:ea typeface="+mn-ea"/>
              <a:cs typeface="+mn-cs"/>
            </a:rPr>
            <a:t>of 48 with a family size of 2 members(more predominant). These Greatest are made up of a female to male ratio (58.30% vs 41.70%) having a work experience ranging from 0-1,</a:t>
          </a:r>
          <a:r>
            <a:rPr lang="en-US" sz="1100" baseline="0">
              <a:solidFill>
                <a:schemeClr val="lt1"/>
              </a:solidFill>
              <a:effectLst/>
              <a:latin typeface="+mn-lt"/>
              <a:ea typeface="+mn-ea"/>
              <a:cs typeface="+mn-cs"/>
            </a:rPr>
            <a:t> 4-5 and</a:t>
          </a:r>
          <a:r>
            <a:rPr lang="en-US" sz="1100">
              <a:solidFill>
                <a:schemeClr val="lt1"/>
              </a:solidFill>
              <a:effectLst/>
              <a:latin typeface="+mn-lt"/>
              <a:ea typeface="+mn-ea"/>
              <a:cs typeface="+mn-cs"/>
            </a:rPr>
            <a:t> 7 years in the top three professions which are Artist, Healthcare and Engineer.</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6. </a:t>
          </a:r>
          <a:r>
            <a:rPr lang="en-US" sz="1100" b="0" baseline="0">
              <a:solidFill>
                <a:schemeClr val="lt1"/>
              </a:solidFill>
              <a:effectLst/>
              <a:latin typeface="+mn-lt"/>
              <a:ea typeface="+mn-ea"/>
              <a:cs typeface="+mn-cs"/>
            </a:rPr>
            <a:t>Millenials</a:t>
          </a:r>
          <a:r>
            <a:rPr lang="en-US" sz="1100">
              <a:solidFill>
                <a:schemeClr val="lt1"/>
              </a:solidFill>
              <a:effectLst/>
              <a:latin typeface="+mn-lt"/>
              <a:ea typeface="+mn-ea"/>
              <a:cs typeface="+mn-cs"/>
            </a:rPr>
            <a:t> have a total annual income of $37,394,830 with a </a:t>
          </a:r>
          <a:r>
            <a:rPr lang="en-US" sz="1100" b="0" baseline="0">
              <a:solidFill>
                <a:schemeClr val="lt1"/>
              </a:solidFill>
              <a:effectLst/>
              <a:latin typeface="+mn-lt"/>
              <a:ea typeface="+mn-ea"/>
              <a:cs typeface="+mn-cs"/>
            </a:rPr>
            <a:t>total number </a:t>
          </a:r>
          <a:r>
            <a:rPr lang="en-US" sz="1100">
              <a:solidFill>
                <a:schemeClr val="lt1"/>
              </a:solidFill>
              <a:effectLst/>
              <a:latin typeface="+mn-lt"/>
              <a:ea typeface="+mn-ea"/>
              <a:cs typeface="+mn-cs"/>
            </a:rPr>
            <a:t>of 363 with a family size of 2 members(more predominant). These Greatest are made up of a female to male ratio (59.94% vs 40.06%) having a work experience ranging from 0-1,</a:t>
          </a:r>
          <a:r>
            <a:rPr lang="en-US" sz="1100" baseline="0">
              <a:solidFill>
                <a:schemeClr val="lt1"/>
              </a:solidFill>
              <a:effectLst/>
              <a:latin typeface="+mn-lt"/>
              <a:ea typeface="+mn-ea"/>
              <a:cs typeface="+mn-cs"/>
            </a:rPr>
            <a:t> 5-6 and</a:t>
          </a:r>
          <a:r>
            <a:rPr lang="en-US" sz="1100">
              <a:solidFill>
                <a:schemeClr val="lt1"/>
              </a:solidFill>
              <a:effectLst/>
              <a:latin typeface="+mn-lt"/>
              <a:ea typeface="+mn-ea"/>
              <a:cs typeface="+mn-cs"/>
            </a:rPr>
            <a:t> 9 years in the top three professions which are Artist, Healthcare and Entertainment.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7. </a:t>
          </a:r>
          <a:r>
            <a:rPr lang="en-US" sz="1100" b="0" baseline="0">
              <a:solidFill>
                <a:schemeClr val="lt1"/>
              </a:solidFill>
              <a:effectLst/>
              <a:latin typeface="+mn-lt"/>
              <a:ea typeface="+mn-ea"/>
              <a:cs typeface="+mn-cs"/>
            </a:rPr>
            <a:t>Silent </a:t>
          </a:r>
          <a:r>
            <a:rPr lang="en-US" sz="1100">
              <a:solidFill>
                <a:schemeClr val="lt1"/>
              </a:solidFill>
              <a:effectLst/>
              <a:latin typeface="+mn-lt"/>
              <a:ea typeface="+mn-ea"/>
              <a:cs typeface="+mn-cs"/>
            </a:rPr>
            <a:t>have a total annual income of $41,760,252 with  a</a:t>
          </a:r>
          <a:r>
            <a:rPr lang="en-US" sz="1100" baseline="0">
              <a:solidFill>
                <a:schemeClr val="lt1"/>
              </a:solidFill>
              <a:effectLst/>
              <a:latin typeface="+mn-lt"/>
              <a:ea typeface="+mn-ea"/>
              <a:cs typeface="+mn-cs"/>
            </a:rPr>
            <a:t> </a:t>
          </a:r>
          <a:r>
            <a:rPr lang="en-US" sz="1100" b="0" baseline="0">
              <a:solidFill>
                <a:schemeClr val="lt1"/>
              </a:solidFill>
              <a:effectLst/>
              <a:latin typeface="+mn-lt"/>
              <a:ea typeface="+mn-ea"/>
              <a:cs typeface="+mn-cs"/>
            </a:rPr>
            <a:t>total number </a:t>
          </a:r>
          <a:r>
            <a:rPr lang="en-US" sz="1100">
              <a:solidFill>
                <a:schemeClr val="lt1"/>
              </a:solidFill>
              <a:effectLst/>
              <a:latin typeface="+mn-lt"/>
              <a:ea typeface="+mn-ea"/>
              <a:cs typeface="+mn-cs"/>
            </a:rPr>
            <a:t>of 363 with a family size of 4 members(more predominant). These Greatest are made up of a female to male ratio (58.80% vs 41.20%) having a work experience ranging from 0-1,</a:t>
          </a:r>
          <a:r>
            <a:rPr lang="en-US" sz="1100" baseline="0">
              <a:solidFill>
                <a:schemeClr val="lt1"/>
              </a:solidFill>
              <a:effectLst/>
              <a:latin typeface="+mn-lt"/>
              <a:ea typeface="+mn-ea"/>
              <a:cs typeface="+mn-cs"/>
            </a:rPr>
            <a:t> 4, and</a:t>
          </a:r>
          <a:r>
            <a:rPr lang="en-US" sz="1100">
              <a:solidFill>
                <a:schemeClr val="lt1"/>
              </a:solidFill>
              <a:effectLst/>
              <a:latin typeface="+mn-lt"/>
              <a:ea typeface="+mn-ea"/>
              <a:cs typeface="+mn-cs"/>
            </a:rPr>
            <a:t> 8-9 years in the top three professions which are Artist, Entertainment</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and Engineer.</a:t>
          </a:r>
          <a:endParaRPr lang="en-NG">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NG">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NG">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NG">
            <a:effectLst/>
          </a:endParaRPr>
        </a:p>
        <a:p>
          <a:pPr algn="l"/>
          <a:endParaRPr lang="en-US" sz="1100" b="0" baseline="0"/>
        </a:p>
      </xdr:txBody>
    </xdr:sp>
    <xdr:clientData/>
  </xdr:twoCellAnchor>
  <xdr:twoCellAnchor editAs="oneCell">
    <xdr:from>
      <xdr:col>10</xdr:col>
      <xdr:colOff>0</xdr:colOff>
      <xdr:row>9</xdr:row>
      <xdr:rowOff>0</xdr:rowOff>
    </xdr:from>
    <xdr:to>
      <xdr:col>10</xdr:col>
      <xdr:colOff>304800</xdr:colOff>
      <xdr:row>10</xdr:row>
      <xdr:rowOff>114300</xdr:rowOff>
    </xdr:to>
    <xdr:sp macro="" textlink="">
      <xdr:nvSpPr>
        <xdr:cNvPr id="3" name="AutoShape 1" descr="Image result for costco logo">
          <a:extLst>
            <a:ext uri="{FF2B5EF4-FFF2-40B4-BE49-F238E27FC236}">
              <a16:creationId xmlns:a16="http://schemas.microsoft.com/office/drawing/2014/main" id="{704D99E6-A49B-4D29-BCD7-31D14B66CA54}"/>
            </a:ext>
          </a:extLst>
        </xdr:cNvPr>
        <xdr:cNvSpPr>
          <a:spLocks noChangeAspect="1" noChangeArrowheads="1"/>
        </xdr:cNvSpPr>
      </xdr:nvSpPr>
      <xdr:spPr bwMode="auto">
        <a:xfrm>
          <a:off x="609600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10</xdr:col>
      <xdr:colOff>474879</xdr:colOff>
      <xdr:row>1</xdr:row>
      <xdr:rowOff>8165</xdr:rowOff>
    </xdr:from>
    <xdr:to>
      <xdr:col>20</xdr:col>
      <xdr:colOff>494803</xdr:colOff>
      <xdr:row>32</xdr:row>
      <xdr:rowOff>3402</xdr:rowOff>
    </xdr:to>
    <xdr:sp macro="" textlink="">
      <xdr:nvSpPr>
        <xdr:cNvPr id="4" name="Rectangle: Rounded Corners 3">
          <a:extLst>
            <a:ext uri="{FF2B5EF4-FFF2-40B4-BE49-F238E27FC236}">
              <a16:creationId xmlns:a16="http://schemas.microsoft.com/office/drawing/2014/main" id="{F6FD7D04-0BA3-43A8-BBE6-E93F024080A6}"/>
            </a:ext>
          </a:extLst>
        </xdr:cNvPr>
        <xdr:cNvSpPr/>
      </xdr:nvSpPr>
      <xdr:spPr>
        <a:xfrm>
          <a:off x="6598093" y="198665"/>
          <a:ext cx="6143139" cy="5900737"/>
        </a:xfrm>
        <a:prstGeom prst="roundRect">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accent1">
                  <a:lumMod val="50000"/>
                </a:schemeClr>
              </a:solidFill>
            </a:rPr>
            <a:t>GENERAL RECOMMENDATIONS</a:t>
          </a:r>
        </a:p>
        <a:p>
          <a:pPr algn="l"/>
          <a:r>
            <a:rPr lang="en-US" sz="1100" b="0" baseline="0">
              <a:solidFill>
                <a:schemeClr val="accent1">
                  <a:lumMod val="50000"/>
                </a:schemeClr>
              </a:solidFill>
            </a:rPr>
            <a:t>1. Since income levels and predominant family sizes differ by age groups (e.g., Gen Z with 3-member families vs. Gen A with mostly singles), companies should customize offerings to fit lifestyle and household needs.</a:t>
          </a:r>
        </a:p>
        <a:p>
          <a:pPr algn="l"/>
          <a:endParaRPr lang="en-US" sz="1100" b="0" baseline="0">
            <a:solidFill>
              <a:schemeClr val="accent1">
                <a:lumMod val="50000"/>
              </a:schemeClr>
            </a:solidFill>
          </a:endParaRPr>
        </a:p>
        <a:p>
          <a:pPr algn="l"/>
          <a:r>
            <a:rPr lang="en-US" sz="1100" b="0" baseline="0">
              <a:solidFill>
                <a:schemeClr val="accent1">
                  <a:lumMod val="50000"/>
                </a:schemeClr>
              </a:solidFill>
            </a:rPr>
            <a:t>2. Across all age groups, females consistently outnumber males (55–65%). Marketing campaigns should emphasize female-driven preferences, while still including male-oriented messaging where relevant.</a:t>
          </a:r>
        </a:p>
        <a:p>
          <a:pPr algn="l"/>
          <a:endParaRPr lang="en-US" sz="1100" b="0" baseline="0">
            <a:solidFill>
              <a:schemeClr val="accent1">
                <a:lumMod val="50000"/>
              </a:schemeClr>
            </a:solidFill>
          </a:endParaRPr>
        </a:p>
        <a:p>
          <a:pPr algn="l"/>
          <a:r>
            <a:rPr lang="en-US" sz="1100" b="0" baseline="0">
              <a:solidFill>
                <a:schemeClr val="accent1">
                  <a:lumMod val="50000"/>
                </a:schemeClr>
              </a:solidFill>
            </a:rPr>
            <a:t>3.  The recurring prominence of Artists, Healthcare, and Entertainment professionals across multiple generations suggests these groups are key consumer clusters—making them strong candidates for targeted promotions, professional partnerships, and industry-specific offers.</a:t>
          </a:r>
        </a:p>
        <a:p>
          <a:pPr algn="l"/>
          <a:endParaRPr lang="en-US" sz="1100" b="0" baseline="0">
            <a:solidFill>
              <a:schemeClr val="accent1">
                <a:lumMod val="50000"/>
              </a:schemeClr>
            </a:solidFill>
          </a:endParaRPr>
        </a:p>
        <a:p>
          <a:pPr algn="l"/>
          <a:r>
            <a:rPr lang="en-US" sz="1100" b="0" baseline="0">
              <a:solidFill>
                <a:schemeClr val="accent1">
                  <a:lumMod val="50000"/>
                </a:schemeClr>
              </a:solidFill>
            </a:rPr>
            <a:t>4. High-income groups like the Silent age groups ($41M total) and Millennials ($37M total) may be prime for premium products, while lower-income groups (Greatest, Gen A) may be better suited for affordable or entry-level offerings.</a:t>
          </a:r>
        </a:p>
        <a:p>
          <a:pPr algn="l"/>
          <a:endParaRPr lang="en-US" sz="1100" b="0" baseline="0">
            <a:solidFill>
              <a:schemeClr val="accent1">
                <a:lumMod val="50000"/>
              </a:schemeClr>
            </a:solidFill>
          </a:endParaRPr>
        </a:p>
        <a:p>
          <a:pPr algn="l"/>
          <a:r>
            <a:rPr lang="en-US" sz="1100" b="0" baseline="0">
              <a:solidFill>
                <a:schemeClr val="accent1">
                  <a:lumMod val="50000"/>
                </a:schemeClr>
              </a:solidFill>
            </a:rPr>
            <a:t>5. Age Groups with larger family sizes (e.g., Silent and Gen Z) may require family-oriented bundles and services, while smaller family sizes (Gen A, Baby Boomers, Greatest) may prefer individual-focused solutions.</a:t>
          </a:r>
        </a:p>
        <a:p>
          <a:pPr algn="l"/>
          <a:endParaRPr lang="en-US" sz="1100" b="0" baseline="0">
            <a:solidFill>
              <a:schemeClr val="accent1">
                <a:lumMod val="50000"/>
              </a:schemeClr>
            </a:solidFill>
          </a:endParaRPr>
        </a:p>
        <a:p>
          <a:pPr algn="l"/>
          <a:r>
            <a:rPr lang="en-US" sz="1100" b="0" baseline="0">
              <a:solidFill>
                <a:schemeClr val="accent1">
                  <a:lumMod val="50000"/>
                </a:schemeClr>
              </a:solidFill>
            </a:rPr>
            <a:t>6. Since many age groups  have a strong proportion of individuals with 0–1 years of work experience, showing a significant entry-level segment that can be targeted with starter products, financial planning tools, and affordable lifestyle options.</a:t>
          </a:r>
        </a:p>
        <a:p>
          <a:pPr algn="l"/>
          <a:endParaRPr lang="en-US" sz="1100" b="0" baseline="0">
            <a:solidFill>
              <a:schemeClr val="accent1">
                <a:lumMod val="50000"/>
              </a:schemeClr>
            </a:solidFill>
          </a:endParaRPr>
        </a:p>
        <a:p>
          <a:pPr algn="l"/>
          <a:r>
            <a:rPr lang="en-US" sz="1100" b="0" baseline="0">
              <a:solidFill>
                <a:schemeClr val="accent1">
                  <a:lumMod val="50000"/>
                </a:schemeClr>
              </a:solidFill>
            </a:rPr>
            <a:t>7. Since most customers cluster in early (0–1 years) and mid-level (6–9 years) work experience, promotions that resonate with career starters and mid-career professionals (like skill development, lifestyle enhancement, and family-related services) will drive higher adoption.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657225</xdr:colOff>
      <xdr:row>2</xdr:row>
      <xdr:rowOff>42862</xdr:rowOff>
    </xdr:from>
    <xdr:to>
      <xdr:col>8</xdr:col>
      <xdr:colOff>561975</xdr:colOff>
      <xdr:row>16</xdr:row>
      <xdr:rowOff>119062</xdr:rowOff>
    </xdr:to>
    <xdr:graphicFrame macro="">
      <xdr:nvGraphicFramePr>
        <xdr:cNvPr id="2" name="Chart 1">
          <a:extLst>
            <a:ext uri="{FF2B5EF4-FFF2-40B4-BE49-F238E27FC236}">
              <a16:creationId xmlns:a16="http://schemas.microsoft.com/office/drawing/2014/main" id="{532BDC46-42E7-293D-2495-E10F1EF87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1123949</xdr:colOff>
      <xdr:row>2</xdr:row>
      <xdr:rowOff>185737</xdr:rowOff>
    </xdr:from>
    <xdr:to>
      <xdr:col>10</xdr:col>
      <xdr:colOff>38099</xdr:colOff>
      <xdr:row>17</xdr:row>
      <xdr:rowOff>71437</xdr:rowOff>
    </xdr:to>
    <xdr:graphicFrame macro="">
      <xdr:nvGraphicFramePr>
        <xdr:cNvPr id="2" name="Chart 1">
          <a:extLst>
            <a:ext uri="{FF2B5EF4-FFF2-40B4-BE49-F238E27FC236}">
              <a16:creationId xmlns:a16="http://schemas.microsoft.com/office/drawing/2014/main" id="{F9D7AA95-3287-4FA8-9AAC-6629EAE4F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371476</xdr:colOff>
      <xdr:row>2</xdr:row>
      <xdr:rowOff>185737</xdr:rowOff>
    </xdr:from>
    <xdr:to>
      <xdr:col>9</xdr:col>
      <xdr:colOff>161926</xdr:colOff>
      <xdr:row>17</xdr:row>
      <xdr:rowOff>71437</xdr:rowOff>
    </xdr:to>
    <xdr:graphicFrame macro="">
      <xdr:nvGraphicFramePr>
        <xdr:cNvPr id="2" name="Chart 1">
          <a:extLst>
            <a:ext uri="{FF2B5EF4-FFF2-40B4-BE49-F238E27FC236}">
              <a16:creationId xmlns:a16="http://schemas.microsoft.com/office/drawing/2014/main" id="{7884DA43-3532-4A1F-8C9F-0C3DC9DF7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400050</xdr:colOff>
      <xdr:row>1</xdr:row>
      <xdr:rowOff>176212</xdr:rowOff>
    </xdr:from>
    <xdr:to>
      <xdr:col>11</xdr:col>
      <xdr:colOff>428626</xdr:colOff>
      <xdr:row>16</xdr:row>
      <xdr:rowOff>61912</xdr:rowOff>
    </xdr:to>
    <xdr:graphicFrame macro="">
      <xdr:nvGraphicFramePr>
        <xdr:cNvPr id="2" name="Chart 1">
          <a:extLst>
            <a:ext uri="{FF2B5EF4-FFF2-40B4-BE49-F238E27FC236}">
              <a16:creationId xmlns:a16="http://schemas.microsoft.com/office/drawing/2014/main" id="{F3AE25CB-AE5B-4B87-B7A8-E01B5960B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514351</xdr:colOff>
      <xdr:row>3</xdr:row>
      <xdr:rowOff>52387</xdr:rowOff>
    </xdr:from>
    <xdr:to>
      <xdr:col>7</xdr:col>
      <xdr:colOff>314326</xdr:colOff>
      <xdr:row>17</xdr:row>
      <xdr:rowOff>128587</xdr:rowOff>
    </xdr:to>
    <xdr:graphicFrame macro="">
      <xdr:nvGraphicFramePr>
        <xdr:cNvPr id="2" name="Chart 1">
          <a:extLst>
            <a:ext uri="{FF2B5EF4-FFF2-40B4-BE49-F238E27FC236}">
              <a16:creationId xmlns:a16="http://schemas.microsoft.com/office/drawing/2014/main" id="{02072706-F247-4874-AF8A-FEA74FEDE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409575</xdr:colOff>
      <xdr:row>1</xdr:row>
      <xdr:rowOff>109537</xdr:rowOff>
    </xdr:from>
    <xdr:to>
      <xdr:col>13</xdr:col>
      <xdr:colOff>457200</xdr:colOff>
      <xdr:row>15</xdr:row>
      <xdr:rowOff>185737</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80109044-A0C1-3FD0-8A99-F0E22DBEAC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33775" y="290512"/>
              <a:ext cx="4914900" cy="260985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2</xdr:col>
      <xdr:colOff>657226</xdr:colOff>
      <xdr:row>1</xdr:row>
      <xdr:rowOff>147637</xdr:rowOff>
    </xdr:from>
    <xdr:to>
      <xdr:col>9</xdr:col>
      <xdr:colOff>200026</xdr:colOff>
      <xdr:row>16</xdr:row>
      <xdr:rowOff>33337</xdr:rowOff>
    </xdr:to>
    <xdr:graphicFrame macro="">
      <xdr:nvGraphicFramePr>
        <xdr:cNvPr id="2" name="Chart 1">
          <a:extLst>
            <a:ext uri="{FF2B5EF4-FFF2-40B4-BE49-F238E27FC236}">
              <a16:creationId xmlns:a16="http://schemas.microsoft.com/office/drawing/2014/main" id="{43470849-4A41-4A4E-BAC6-AB25C312C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YIBO DORCAS" refreshedDate="45976.278904976854" backgroundQuery="1" createdVersion="8" refreshedVersion="8" minRefreshableVersion="3" recordCount="0" supportSubquery="1" supportAdvancedDrill="1" xr:uid="{5997234A-B3A4-40A0-BEE1-8DF013685716}">
  <cacheSource type="external" connectionId="1"/>
  <cacheFields count="2">
    <cacheField name="[Table2].[Age Groups].[Age Groups]" caption="Age Groups" numFmtId="0" hierarchy="3" level="1">
      <sharedItems count="7">
        <s v="Baby Boomers"/>
        <s v="Gen A"/>
        <s v="Gen X"/>
        <s v="Gen Z"/>
        <s v="Greatest"/>
        <s v="Millenials"/>
        <s v="Silent"/>
      </sharedItems>
    </cacheField>
    <cacheField name="[Measures].[Sum of Annual Income ($)]" caption="Sum of Annual Income ($)" numFmtId="0" hierarchy="16" level="32767"/>
  </cacheFields>
  <cacheHierarchies count="25">
    <cacheHierarchy uniqueName="[Table2].[CustomerID]" caption="CustomerID" attribute="1" defaultMemberUniqueName="[Table2].[CustomerID].[All]" allUniqueName="[Table2].[CustomerID].[All]" dimensionUniqueName="[Table2]" displayFolder="" count="2" memberValueDatatype="20" unbalanced="0"/>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2" memberValueDatatype="20" unbalanced="0"/>
    <cacheHierarchy uniqueName="[Table2].[Age Groups]" caption="Age Groups" attribute="1" defaultMemberUniqueName="[Table2].[Age Groups].[All]" allUniqueName="[Table2].[Age Groups].[All]" dimensionUniqueName="[Table2]" displayFolder="" count="2" memberValueDatatype="130" unbalanced="0">
      <fieldsUsage count="2">
        <fieldUsage x="-1"/>
        <fieldUsage x="0"/>
      </fieldsUsage>
    </cacheHierarchy>
    <cacheHierarchy uniqueName="[Table2].[Annual Income ($)]" caption="Annual Income ($)" attribute="1" defaultMemberUniqueName="[Table2].[Annual Income ($)].[All]" allUniqueName="[Table2].[Annual Income ($)].[All]" dimensionUniqueName="[Table2]" displayFolder="" count="2" memberValueDatatype="20" unbalanced="0"/>
    <cacheHierarchy uniqueName="[Table2].[Spending Score (1-100)]" caption="Spending Score (1-100)" attribute="1" defaultMemberUniqueName="[Table2].[Spending Score (1-100)].[All]" allUniqueName="[Table2].[Spending Score (1-100)].[All]" dimensionUniqueName="[Table2]" displayFolder="" count="2" memberValueDatatype="20" unbalanced="0"/>
    <cacheHierarchy uniqueName="[Table2].[Spending Category]" caption="Spending Category" attribute="1" defaultMemberUniqueName="[Table2].[Spending Category].[All]" allUniqueName="[Table2].[Spending Category].[All]" dimensionUniqueName="[Table2]" displayFolder="" count="2" memberValueDatatype="130" unbalanced="0"/>
    <cacheHierarchy uniqueName="[Table2].[Profession]" caption="Profession" attribute="1" defaultMemberUniqueName="[Table2].[Profession].[All]" allUniqueName="[Table2].[Profession].[All]" dimensionUniqueName="[Table2]" displayFolder="" count="2" memberValueDatatype="130" unbalanced="0"/>
    <cacheHierarchy uniqueName="[Table2].[Work Experience]" caption="Work Experience" attribute="1" defaultMemberUniqueName="[Table2].[Work Experience].[All]" allUniqueName="[Table2].[Work Experience].[All]" dimensionUniqueName="[Table2]" displayFolder="" count="2" memberValueDatatype="20" unbalanced="0"/>
    <cacheHierarchy uniqueName="[Table2].[Work Experience2]" caption="Work Experience2" attribute="1" defaultMemberUniqueName="[Table2].[Work Experience2].[All]" allUniqueName="[Table2].[Work Experience2].[All]" dimensionUniqueName="[Table2]" displayFolder="" count="2" memberValueDatatype="130" unbalanced="0"/>
    <cacheHierarchy uniqueName="[Table2].[Family Size_second]" caption="Family Size_second" attribute="1" defaultMemberUniqueName="[Table2].[Family Size_second].[All]" allUniqueName="[Table2].[Family Size_second].[All]" dimensionUniqueName="[Table2]" displayFolder="" count="2" memberValueDatatype="130" unbalanced="0"/>
    <cacheHierarchy uniqueName="[Table2].[Family Size2]" caption="Family Size2" attribute="1" defaultMemberUniqueName="[Table2].[Family Size2].[All]" allUniqueName="[Table2].[Family Size2].[All]" dimensionUniqueName="[Table2]" displayFolder="" count="2"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ustomerID]" caption="Sum of Customer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2" count="0" hidden="1">
      <extLst>
        <ext xmlns:x15="http://schemas.microsoft.com/office/spreadsheetml/2010/11/main" uri="{B97F6D7D-B522-45F9-BDA1-12C45D357490}">
          <x15:cacheHierarchy aggregatedColumn="0"/>
        </ext>
      </extLst>
    </cacheHierarchy>
    <cacheHierarchy uniqueName="[Measures].[Sum of Annual Income ($)]" caption="Sum of Annual Income ($)" measure="1" displayFolder="" measureGroup="Table2"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Annual Income ($)]" caption="Average of Annual Income ($)" measure="1" displayFolder="" measureGroup="Table2" count="0" hidden="1">
      <extLst>
        <ext xmlns:x15="http://schemas.microsoft.com/office/spreadsheetml/2010/11/main" uri="{B97F6D7D-B522-45F9-BDA1-12C45D357490}">
          <x15:cacheHierarchy aggregatedColumn="4"/>
        </ext>
      </extLst>
    </cacheHierarchy>
    <cacheHierarchy uniqueName="[Measures].[Sum of Spending Score (1-100)]" caption="Sum of Spending Score (1-100)" measure="1" displayFolder="" measureGroup="Table2" count="0" hidden="1">
      <extLst>
        <ext xmlns:x15="http://schemas.microsoft.com/office/spreadsheetml/2010/11/main" uri="{B97F6D7D-B522-45F9-BDA1-12C45D357490}">
          <x15:cacheHierarchy aggregatedColumn="5"/>
        </ext>
      </extLst>
    </cacheHierarchy>
    <cacheHierarchy uniqueName="[Measures].[Count of Spending Score (1-100)]" caption="Count of Spending Score (1-100)" measure="1" displayFolder="" measureGroup="Table2" count="0" hidden="1">
      <extLst>
        <ext xmlns:x15="http://schemas.microsoft.com/office/spreadsheetml/2010/11/main" uri="{B97F6D7D-B522-45F9-BDA1-12C45D357490}">
          <x15:cacheHierarchy aggregatedColumn="5"/>
        </ext>
      </extLst>
    </cacheHierarchy>
    <cacheHierarchy uniqueName="[Measures].[Sum of Family Size2]" caption="Sum of Family Size2" measure="1" displayFolder="" measureGroup="Table2" count="0" hidden="1"/>
    <cacheHierarchy uniqueName="[Measures].[Count of Family Size2]" caption="Count of Family Size2" measure="1" displayFolder="" measureGroup="Table2" count="0" hidden="1"/>
    <cacheHierarchy uniqueName="[Measures].[Max of Annual Income ($)]" caption="Max of Annual Income ($)" measure="1" displayFolder="" measureGroup="Table2" count="0" hidden="1">
      <extLst>
        <ext xmlns:x15="http://schemas.microsoft.com/office/spreadsheetml/2010/11/main" uri="{B97F6D7D-B522-45F9-BDA1-12C45D357490}">
          <x15:cacheHierarchy aggregatedColumn="4"/>
        </ext>
      </extLst>
    </cacheHierarchy>
    <cacheHierarchy uniqueName="[Measures].[Count of Annual Income ($)]" caption="Count of Annual Income ($)" measure="1" displayFolder="" measureGroup="Table2" count="0" hidden="1">
      <extLst>
        <ext xmlns:x15="http://schemas.microsoft.com/office/spreadsheetml/2010/11/main" uri="{B97F6D7D-B522-45F9-BDA1-12C45D357490}">
          <x15:cacheHierarchy aggregatedColumn="4"/>
        </ext>
      </extLst>
    </cacheHierarchy>
    <cacheHierarchy uniqueName="[Measures].[Average of Spending Score (1-100)]" caption="Average of Spending Score (1-100)" measure="1" displayFolder="" measureGroup="Table2"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YIBO DORCAS" refreshedDate="45976.27890636574" backgroundQuery="1" createdVersion="8" refreshedVersion="8" minRefreshableVersion="3" recordCount="0" supportSubquery="1" supportAdvancedDrill="1" xr:uid="{1A15A9FE-8AC4-484C-8E1E-E75CB88E2815}">
  <cacheSource type="external" connectionId="1"/>
  <cacheFields count="2">
    <cacheField name="[Measures].[Count of CustomerID]" caption="Count of CustomerID" numFmtId="0" hierarchy="15" level="32767"/>
    <cacheField name="[Table2].[Age Groups].[Age Groups]" caption="Age Groups" numFmtId="0" hierarchy="3" level="1">
      <sharedItems count="7">
        <s v="Baby Boomers"/>
        <s v="Gen A"/>
        <s v="Gen X"/>
        <s v="Gen Z"/>
        <s v="Greatest"/>
        <s v="Millenials"/>
        <s v="Silent"/>
      </sharedItems>
    </cacheField>
  </cacheFields>
  <cacheHierarchies count="25">
    <cacheHierarchy uniqueName="[Table2].[CustomerID]" caption="CustomerID" attribute="1" defaultMemberUniqueName="[Table2].[CustomerID].[All]" allUniqueName="[Table2].[CustomerID].[All]" dimensionUniqueName="[Table2]" displayFolder="" count="2" memberValueDatatype="20" unbalanced="0"/>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2" memberValueDatatype="20" unbalanced="0"/>
    <cacheHierarchy uniqueName="[Table2].[Age Groups]" caption="Age Groups" attribute="1" defaultMemberUniqueName="[Table2].[Age Groups].[All]" allUniqueName="[Table2].[Age Groups].[All]" dimensionUniqueName="[Table2]" displayFolder="" count="2" memberValueDatatype="130" unbalanced="0">
      <fieldsUsage count="2">
        <fieldUsage x="-1"/>
        <fieldUsage x="1"/>
      </fieldsUsage>
    </cacheHierarchy>
    <cacheHierarchy uniqueName="[Table2].[Annual Income ($)]" caption="Annual Income ($)" attribute="1" defaultMemberUniqueName="[Table2].[Annual Income ($)].[All]" allUniqueName="[Table2].[Annual Income ($)].[All]" dimensionUniqueName="[Table2]" displayFolder="" count="2" memberValueDatatype="20" unbalanced="0"/>
    <cacheHierarchy uniqueName="[Table2].[Spending Score (1-100)]" caption="Spending Score (1-100)" attribute="1" defaultMemberUniqueName="[Table2].[Spending Score (1-100)].[All]" allUniqueName="[Table2].[Spending Score (1-100)].[All]" dimensionUniqueName="[Table2]" displayFolder="" count="2" memberValueDatatype="20" unbalanced="0"/>
    <cacheHierarchy uniqueName="[Table2].[Spending Category]" caption="Spending Category" attribute="1" defaultMemberUniqueName="[Table2].[Spending Category].[All]" allUniqueName="[Table2].[Spending Category].[All]" dimensionUniqueName="[Table2]" displayFolder="" count="2" memberValueDatatype="130" unbalanced="0"/>
    <cacheHierarchy uniqueName="[Table2].[Profession]" caption="Profession" attribute="1" defaultMemberUniqueName="[Table2].[Profession].[All]" allUniqueName="[Table2].[Profession].[All]" dimensionUniqueName="[Table2]" displayFolder="" count="2" memberValueDatatype="130" unbalanced="0"/>
    <cacheHierarchy uniqueName="[Table2].[Work Experience]" caption="Work Experience" attribute="1" defaultMemberUniqueName="[Table2].[Work Experience].[All]" allUniqueName="[Table2].[Work Experience].[All]" dimensionUniqueName="[Table2]" displayFolder="" count="2" memberValueDatatype="20" unbalanced="0"/>
    <cacheHierarchy uniqueName="[Table2].[Work Experience2]" caption="Work Experience2" attribute="1" defaultMemberUniqueName="[Table2].[Work Experience2].[All]" allUniqueName="[Table2].[Work Experience2].[All]" dimensionUniqueName="[Table2]" displayFolder="" count="2" memberValueDatatype="130" unbalanced="0"/>
    <cacheHierarchy uniqueName="[Table2].[Family Size_second]" caption="Family Size_second" attribute="1" defaultMemberUniqueName="[Table2].[Family Size_second].[All]" allUniqueName="[Table2].[Family Size_second].[All]" dimensionUniqueName="[Table2]" displayFolder="" count="2" memberValueDatatype="130" unbalanced="0"/>
    <cacheHierarchy uniqueName="[Table2].[Family Size2]" caption="Family Size2" attribute="1" defaultMemberUniqueName="[Table2].[Family Size2].[All]" allUniqueName="[Table2].[Family Size2].[All]" dimensionUniqueName="[Table2]" displayFolder="" count="2"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ustomerID]" caption="Sum of Customer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nnual Income ($)]" caption="Sum of Annual Income ($)" measure="1" displayFolder="" measureGroup="Table2" count="0" hidden="1">
      <extLst>
        <ext xmlns:x15="http://schemas.microsoft.com/office/spreadsheetml/2010/11/main" uri="{B97F6D7D-B522-45F9-BDA1-12C45D357490}">
          <x15:cacheHierarchy aggregatedColumn="4"/>
        </ext>
      </extLst>
    </cacheHierarchy>
    <cacheHierarchy uniqueName="[Measures].[Average of Annual Income ($)]" caption="Average of Annual Income ($)" measure="1" displayFolder="" measureGroup="Table2" count="0" hidden="1">
      <extLst>
        <ext xmlns:x15="http://schemas.microsoft.com/office/spreadsheetml/2010/11/main" uri="{B97F6D7D-B522-45F9-BDA1-12C45D357490}">
          <x15:cacheHierarchy aggregatedColumn="4"/>
        </ext>
      </extLst>
    </cacheHierarchy>
    <cacheHierarchy uniqueName="[Measures].[Sum of Spending Score (1-100)]" caption="Sum of Spending Score (1-100)" measure="1" displayFolder="" measureGroup="Table2" count="0" hidden="1">
      <extLst>
        <ext xmlns:x15="http://schemas.microsoft.com/office/spreadsheetml/2010/11/main" uri="{B97F6D7D-B522-45F9-BDA1-12C45D357490}">
          <x15:cacheHierarchy aggregatedColumn="5"/>
        </ext>
      </extLst>
    </cacheHierarchy>
    <cacheHierarchy uniqueName="[Measures].[Count of Spending Score (1-100)]" caption="Count of Spending Score (1-100)" measure="1" displayFolder="" measureGroup="Table2" count="0" hidden="1">
      <extLst>
        <ext xmlns:x15="http://schemas.microsoft.com/office/spreadsheetml/2010/11/main" uri="{B97F6D7D-B522-45F9-BDA1-12C45D357490}">
          <x15:cacheHierarchy aggregatedColumn="5"/>
        </ext>
      </extLst>
    </cacheHierarchy>
    <cacheHierarchy uniqueName="[Measures].[Sum of Family Size2]" caption="Sum of Family Size2" measure="1" displayFolder="" measureGroup="Table2" count="0" hidden="1"/>
    <cacheHierarchy uniqueName="[Measures].[Count of Family Size2]" caption="Count of Family Size2" measure="1" displayFolder="" measureGroup="Table2" count="0" hidden="1"/>
    <cacheHierarchy uniqueName="[Measures].[Max of Annual Income ($)]" caption="Max of Annual Income ($)" measure="1" displayFolder="" measureGroup="Table2" count="0" hidden="1">
      <extLst>
        <ext xmlns:x15="http://schemas.microsoft.com/office/spreadsheetml/2010/11/main" uri="{B97F6D7D-B522-45F9-BDA1-12C45D357490}">
          <x15:cacheHierarchy aggregatedColumn="4"/>
        </ext>
      </extLst>
    </cacheHierarchy>
    <cacheHierarchy uniqueName="[Measures].[Count of Annual Income ($)]" caption="Count of Annual Income ($)" measure="1" displayFolder="" measureGroup="Table2" count="0" hidden="1">
      <extLst>
        <ext xmlns:x15="http://schemas.microsoft.com/office/spreadsheetml/2010/11/main" uri="{B97F6D7D-B522-45F9-BDA1-12C45D357490}">
          <x15:cacheHierarchy aggregatedColumn="4"/>
        </ext>
      </extLst>
    </cacheHierarchy>
    <cacheHierarchy uniqueName="[Measures].[Average of Spending Score (1-100)]" caption="Average of Spending Score (1-100)" measure="1" displayFolder="" measureGroup="Table2"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YIBO DORCAS" refreshedDate="45976.278907060187" backgroundQuery="1" createdVersion="8" refreshedVersion="8" minRefreshableVersion="3" recordCount="0" supportSubquery="1" supportAdvancedDrill="1" xr:uid="{544AF6F1-98A3-48A3-9E19-ACD622E57117}">
  <cacheSource type="external" connectionId="1"/>
  <cacheFields count="5">
    <cacheField name="[Table2].[Family Size2].[Family Size2]" caption="Family Size2" numFmtId="0" hierarchy="11" level="1">
      <sharedItems containsSemiMixedTypes="0" containsString="0" containsNumber="1" containsInteger="1" minValue="1" maxValue="9" count="9">
        <n v="1"/>
        <n v="2"/>
        <n v="3"/>
        <n v="4"/>
        <n v="5"/>
        <n v="6"/>
        <n v="7"/>
        <n v="8"/>
        <n v="9"/>
      </sharedItems>
      <extLst>
        <ext xmlns:x15="http://schemas.microsoft.com/office/spreadsheetml/2010/11/main" uri="{4F2E5C28-24EA-4eb8-9CBF-B6C8F9C3D259}">
          <x15:cachedUniqueNames>
            <x15:cachedUniqueName index="0" name="[Table2].[Family Size2].&amp;[1]"/>
            <x15:cachedUniqueName index="1" name="[Table2].[Family Size2].&amp;[2]"/>
            <x15:cachedUniqueName index="2" name="[Table2].[Family Size2].&amp;[3]"/>
            <x15:cachedUniqueName index="3" name="[Table2].[Family Size2].&amp;[4]"/>
            <x15:cachedUniqueName index="4" name="[Table2].[Family Size2].&amp;[5]"/>
            <x15:cachedUniqueName index="5" name="[Table2].[Family Size2].&amp;[6]"/>
            <x15:cachedUniqueName index="6" name="[Table2].[Family Size2].&amp;[7]"/>
            <x15:cachedUniqueName index="7" name="[Table2].[Family Size2].&amp;[8]"/>
            <x15:cachedUniqueName index="8" name="[Table2].[Family Size2].&amp;[9]"/>
          </x15:cachedUniqueNames>
        </ext>
      </extLst>
    </cacheField>
    <cacheField name="[Table2].[Family Size_second].[Family Size_second]" caption="Family Size_second" numFmtId="0" hierarchy="10" level="1">
      <sharedItems count="9">
        <s v="1members"/>
        <s v="2members"/>
        <s v="3members"/>
        <s v="4members"/>
        <s v="5members"/>
        <s v="6members"/>
        <s v="7members"/>
        <s v="8members"/>
        <s v="9members"/>
      </sharedItems>
    </cacheField>
    <cacheField name="[Measures].[Average of Spending Score (1-100)]" caption="Average of Spending Score (1-100)" numFmtId="0" hierarchy="24" level="32767"/>
    <cacheField name="[Measures].[Count of CustomerID]" caption="Count of CustomerID" numFmtId="0" hierarchy="15" level="32767"/>
    <cacheField name="[Table2].[Age Groups].[Age Groups]" caption="Age Groups" numFmtId="0" hierarchy="3" level="1">
      <sharedItems containsSemiMixedTypes="0" containsNonDate="0" containsString="0"/>
    </cacheField>
  </cacheFields>
  <cacheHierarchies count="25">
    <cacheHierarchy uniqueName="[Table2].[CustomerID]" caption="CustomerID" attribute="1" defaultMemberUniqueName="[Table2].[CustomerID].[All]" allUniqueName="[Table2].[CustomerID].[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 Groups]" caption="Age Groups" attribute="1" defaultMemberUniqueName="[Table2].[Age Groups].[All]" allUniqueName="[Table2].[Age Groups].[All]" dimensionUniqueName="[Table2]" displayFolder="" count="2" memberValueDatatype="130" unbalanced="0">
      <fieldsUsage count="2">
        <fieldUsage x="-1"/>
        <fieldUsage x="4"/>
      </fieldsUsage>
    </cacheHierarchy>
    <cacheHierarchy uniqueName="[Table2].[Annual Income ($)]" caption="Annual Income ($)" attribute="1" defaultMemberUniqueName="[Table2].[Annual Income ($)].[All]" allUniqueName="[Table2].[Annual Income ($)].[All]" dimensionUniqueName="[Table2]" displayFolder="" count="0" memberValueDatatype="20" unbalanced="0"/>
    <cacheHierarchy uniqueName="[Table2].[Spending Score (1-100)]" caption="Spending Score (1-100)" attribute="1" defaultMemberUniqueName="[Table2].[Spending Score (1-100)].[All]" allUniqueName="[Table2].[Spending Score (1-100)].[All]" dimensionUniqueName="[Table2]" displayFolder="" count="0" memberValueDatatype="20" unbalanced="0"/>
    <cacheHierarchy uniqueName="[Table2].[Spending Category]" caption="Spending Category" attribute="1" defaultMemberUniqueName="[Table2].[Spending Category].[All]" allUniqueName="[Table2].[Spending Category].[All]" dimensionUniqueName="[Table2]" displayFolder="" count="0" memberValueDatatype="130" unbalanced="0"/>
    <cacheHierarchy uniqueName="[Table2].[Profession]" caption="Profession" attribute="1" defaultMemberUniqueName="[Table2].[Profession].[All]" allUniqueName="[Table2].[Profession].[All]" dimensionUniqueName="[Table2]" displayFolder="" count="0" memberValueDatatype="130" unbalanced="0"/>
    <cacheHierarchy uniqueName="[Table2].[Work Experience]" caption="Work Experience" attribute="1" defaultMemberUniqueName="[Table2].[Work Experience].[All]" allUniqueName="[Table2].[Work Experience].[All]" dimensionUniqueName="[Table2]" displayFolder="" count="0" memberValueDatatype="20" unbalanced="0"/>
    <cacheHierarchy uniqueName="[Table2].[Work Experience2]" caption="Work Experience2" attribute="1" defaultMemberUniqueName="[Table2].[Work Experience2].[All]" allUniqueName="[Table2].[Work Experience2].[All]" dimensionUniqueName="[Table2]" displayFolder="" count="2" memberValueDatatype="130" unbalanced="0"/>
    <cacheHierarchy uniqueName="[Table2].[Family Size_second]" caption="Family Size_second" attribute="1" defaultMemberUniqueName="[Table2].[Family Size_second].[All]" allUniqueName="[Table2].[Family Size_second].[All]" dimensionUniqueName="[Table2]" displayFolder="" count="2" memberValueDatatype="130" unbalanced="0">
      <fieldsUsage count="2">
        <fieldUsage x="-1"/>
        <fieldUsage x="1"/>
      </fieldsUsage>
    </cacheHierarchy>
    <cacheHierarchy uniqueName="[Table2].[Family Size2]" caption="Family Size2" attribute="1" defaultMemberUniqueName="[Table2].[Family Size2].[All]" allUniqueName="[Table2].[Family Size2].[All]" dimensionUniqueName="[Table2]" displayFolder="" count="2" memberValueDatatype="20" unbalanced="0">
      <fieldsUsage count="2">
        <fieldUsage x="-1"/>
        <fieldUsage x="0"/>
      </fieldsUsage>
    </cacheHierarchy>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ustomerID]" caption="Sum of Customer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2"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Annual Income ($)]" caption="Sum of Annual Income ($)" measure="1" displayFolder="" measureGroup="Table2" count="0" hidden="1">
      <extLst>
        <ext xmlns:x15="http://schemas.microsoft.com/office/spreadsheetml/2010/11/main" uri="{B97F6D7D-B522-45F9-BDA1-12C45D357490}">
          <x15:cacheHierarchy aggregatedColumn="4"/>
        </ext>
      </extLst>
    </cacheHierarchy>
    <cacheHierarchy uniqueName="[Measures].[Average of Annual Income ($)]" caption="Average of Annual Income ($)" measure="1" displayFolder="" measureGroup="Table2" count="0" hidden="1">
      <extLst>
        <ext xmlns:x15="http://schemas.microsoft.com/office/spreadsheetml/2010/11/main" uri="{B97F6D7D-B522-45F9-BDA1-12C45D357490}">
          <x15:cacheHierarchy aggregatedColumn="4"/>
        </ext>
      </extLst>
    </cacheHierarchy>
    <cacheHierarchy uniqueName="[Measures].[Sum of Spending Score (1-100)]" caption="Sum of Spending Score (1-100)" measure="1" displayFolder="" measureGroup="Table2" count="0" hidden="1">
      <extLst>
        <ext xmlns:x15="http://schemas.microsoft.com/office/spreadsheetml/2010/11/main" uri="{B97F6D7D-B522-45F9-BDA1-12C45D357490}">
          <x15:cacheHierarchy aggregatedColumn="5"/>
        </ext>
      </extLst>
    </cacheHierarchy>
    <cacheHierarchy uniqueName="[Measures].[Count of Spending Score (1-100)]" caption="Count of Spending Score (1-100)" measure="1" displayFolder="" measureGroup="Table2" count="0" hidden="1">
      <extLst>
        <ext xmlns:x15="http://schemas.microsoft.com/office/spreadsheetml/2010/11/main" uri="{B97F6D7D-B522-45F9-BDA1-12C45D357490}">
          <x15:cacheHierarchy aggregatedColumn="5"/>
        </ext>
      </extLst>
    </cacheHierarchy>
    <cacheHierarchy uniqueName="[Measures].[Sum of Family Size2]" caption="Sum of Family Size2" measure="1" displayFolder="" measureGroup="Table2" count="0" hidden="1"/>
    <cacheHierarchy uniqueName="[Measures].[Count of Family Size2]" caption="Count of Family Size2" measure="1" displayFolder="" measureGroup="Table2" count="0" hidden="1"/>
    <cacheHierarchy uniqueName="[Measures].[Max of Annual Income ($)]" caption="Max of Annual Income ($)" measure="1" displayFolder="" measureGroup="Table2" count="0" hidden="1">
      <extLst>
        <ext xmlns:x15="http://schemas.microsoft.com/office/spreadsheetml/2010/11/main" uri="{B97F6D7D-B522-45F9-BDA1-12C45D357490}">
          <x15:cacheHierarchy aggregatedColumn="4"/>
        </ext>
      </extLst>
    </cacheHierarchy>
    <cacheHierarchy uniqueName="[Measures].[Count of Annual Income ($)]" caption="Count of Annual Income ($)" measure="1" displayFolder="" measureGroup="Table2" count="0" hidden="1">
      <extLst>
        <ext xmlns:x15="http://schemas.microsoft.com/office/spreadsheetml/2010/11/main" uri="{B97F6D7D-B522-45F9-BDA1-12C45D357490}">
          <x15:cacheHierarchy aggregatedColumn="4"/>
        </ext>
      </extLst>
    </cacheHierarchy>
    <cacheHierarchy uniqueName="[Measures].[Average of Spending Score (1-100)]" caption="Average of Spending Score (1-100)" measure="1" displayFolder="" measureGroup="Table2"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YIBO DORCAS" refreshedDate="45976.27890798611" backgroundQuery="1" createdVersion="8" refreshedVersion="8" minRefreshableVersion="3" recordCount="0" supportSubquery="1" supportAdvancedDrill="1" xr:uid="{3A38DCF0-C337-4EAB-B8D1-F5F473303FDF}">
  <cacheSource type="external" connectionId="1"/>
  <cacheFields count="3">
    <cacheField name="[Table2].[Gender].[Gender]" caption="Gender" numFmtId="0" hierarchy="1" level="1">
      <sharedItems count="2">
        <s v="Female"/>
        <s v="Male"/>
      </sharedItems>
    </cacheField>
    <cacheField name="[Measures].[Sum of Annual Income ($)]" caption="Sum of Annual Income ($)" numFmtId="0" hierarchy="16" level="32767"/>
    <cacheField name="[Table2].[Age Groups].[Age Groups]" caption="Age Groups" numFmtId="0" hierarchy="3" level="1">
      <sharedItems containsSemiMixedTypes="0" containsNonDate="0" containsString="0"/>
    </cacheField>
  </cacheFields>
  <cacheHierarchies count="25">
    <cacheHierarchy uniqueName="[Table2].[CustomerID]" caption="CustomerID" attribute="1" defaultMemberUniqueName="[Table2].[CustomerID].[All]" allUniqueName="[Table2].[CustomerID].[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fieldsUsage count="2">
        <fieldUsage x="-1"/>
        <fieldUsage x="0"/>
      </fieldsUsage>
    </cacheHierarchy>
    <cacheHierarchy uniqueName="[Table2].[Age]" caption="Age" attribute="1" defaultMemberUniqueName="[Table2].[Age].[All]" allUniqueName="[Table2].[Age].[All]" dimensionUniqueName="[Table2]" displayFolder="" count="0" memberValueDatatype="20" unbalanced="0"/>
    <cacheHierarchy uniqueName="[Table2].[Age Groups]" caption="Age Groups" attribute="1" defaultMemberUniqueName="[Table2].[Age Groups].[All]" allUniqueName="[Table2].[Age Groups].[All]" dimensionUniqueName="[Table2]" displayFolder="" count="2" memberValueDatatype="130" unbalanced="0">
      <fieldsUsage count="2">
        <fieldUsage x="-1"/>
        <fieldUsage x="2"/>
      </fieldsUsage>
    </cacheHierarchy>
    <cacheHierarchy uniqueName="[Table2].[Annual Income ($)]" caption="Annual Income ($)" attribute="1" defaultMemberUniqueName="[Table2].[Annual Income ($)].[All]" allUniqueName="[Table2].[Annual Income ($)].[All]" dimensionUniqueName="[Table2]" displayFolder="" count="0" memberValueDatatype="20" unbalanced="0"/>
    <cacheHierarchy uniqueName="[Table2].[Spending Score (1-100)]" caption="Spending Score (1-100)" attribute="1" defaultMemberUniqueName="[Table2].[Spending Score (1-100)].[All]" allUniqueName="[Table2].[Spending Score (1-100)].[All]" dimensionUniqueName="[Table2]" displayFolder="" count="0" memberValueDatatype="20" unbalanced="0"/>
    <cacheHierarchy uniqueName="[Table2].[Spending Category]" caption="Spending Category" attribute="1" defaultMemberUniqueName="[Table2].[Spending Category].[All]" allUniqueName="[Table2].[Spending Category].[All]" dimensionUniqueName="[Table2]" displayFolder="" count="0" memberValueDatatype="130" unbalanced="0"/>
    <cacheHierarchy uniqueName="[Table2].[Profession]" caption="Profession" attribute="1" defaultMemberUniqueName="[Table2].[Profession].[All]" allUniqueName="[Table2].[Profession].[All]" dimensionUniqueName="[Table2]" displayFolder="" count="0" memberValueDatatype="130" unbalanced="0"/>
    <cacheHierarchy uniqueName="[Table2].[Work Experience]" caption="Work Experience" attribute="1" defaultMemberUniqueName="[Table2].[Work Experience].[All]" allUniqueName="[Table2].[Work Experience].[All]" dimensionUniqueName="[Table2]" displayFolder="" count="0" memberValueDatatype="20" unbalanced="0"/>
    <cacheHierarchy uniqueName="[Table2].[Work Experience2]" caption="Work Experience2" attribute="1" defaultMemberUniqueName="[Table2].[Work Experience2].[All]" allUniqueName="[Table2].[Work Experience2].[All]" dimensionUniqueName="[Table2]" displayFolder="" count="0" memberValueDatatype="130" unbalanced="0"/>
    <cacheHierarchy uniqueName="[Table2].[Family Size_second]" caption="Family Size_second" attribute="1" defaultMemberUniqueName="[Table2].[Family Size_second].[All]" allUniqueName="[Table2].[Family Size_second].[All]" dimensionUniqueName="[Table2]" displayFolder="" count="0" memberValueDatatype="130" unbalanced="0"/>
    <cacheHierarchy uniqueName="[Table2].[Family Size2]" caption="Family Size2" attribute="1" defaultMemberUniqueName="[Table2].[Family Size2].[All]" allUniqueName="[Table2].[Family Size2].[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ustomerID]" caption="Sum of Customer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2" count="0" hidden="1">
      <extLst>
        <ext xmlns:x15="http://schemas.microsoft.com/office/spreadsheetml/2010/11/main" uri="{B97F6D7D-B522-45F9-BDA1-12C45D357490}">
          <x15:cacheHierarchy aggregatedColumn="0"/>
        </ext>
      </extLst>
    </cacheHierarchy>
    <cacheHierarchy uniqueName="[Measures].[Sum of Annual Income ($)]" caption="Sum of Annual Income ($)" measure="1" displayFolder="" measureGroup="Table2"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Annual Income ($)]" caption="Average of Annual Income ($)" measure="1" displayFolder="" measureGroup="Table2" count="0" hidden="1">
      <extLst>
        <ext xmlns:x15="http://schemas.microsoft.com/office/spreadsheetml/2010/11/main" uri="{B97F6D7D-B522-45F9-BDA1-12C45D357490}">
          <x15:cacheHierarchy aggregatedColumn="4"/>
        </ext>
      </extLst>
    </cacheHierarchy>
    <cacheHierarchy uniqueName="[Measures].[Sum of Spending Score (1-100)]" caption="Sum of Spending Score (1-100)" measure="1" displayFolder="" measureGroup="Table2" count="0" hidden="1">
      <extLst>
        <ext xmlns:x15="http://schemas.microsoft.com/office/spreadsheetml/2010/11/main" uri="{B97F6D7D-B522-45F9-BDA1-12C45D357490}">
          <x15:cacheHierarchy aggregatedColumn="5"/>
        </ext>
      </extLst>
    </cacheHierarchy>
    <cacheHierarchy uniqueName="[Measures].[Count of Spending Score (1-100)]" caption="Count of Spending Score (1-100)" measure="1" displayFolder="" measureGroup="Table2" count="0" hidden="1">
      <extLst>
        <ext xmlns:x15="http://schemas.microsoft.com/office/spreadsheetml/2010/11/main" uri="{B97F6D7D-B522-45F9-BDA1-12C45D357490}">
          <x15:cacheHierarchy aggregatedColumn="5"/>
        </ext>
      </extLst>
    </cacheHierarchy>
    <cacheHierarchy uniqueName="[Measures].[Sum of Family Size2]" caption="Sum of Family Size2" measure="1" displayFolder="" measureGroup="Table2" count="0" hidden="1"/>
    <cacheHierarchy uniqueName="[Measures].[Count of Family Size2]" caption="Count of Family Size2" measure="1" displayFolder="" measureGroup="Table2" count="0" hidden="1"/>
    <cacheHierarchy uniqueName="[Measures].[Max of Annual Income ($)]" caption="Max of Annual Income ($)" measure="1" displayFolder="" measureGroup="Table2" count="0" hidden="1">
      <extLst>
        <ext xmlns:x15="http://schemas.microsoft.com/office/spreadsheetml/2010/11/main" uri="{B97F6D7D-B522-45F9-BDA1-12C45D357490}">
          <x15:cacheHierarchy aggregatedColumn="4"/>
        </ext>
      </extLst>
    </cacheHierarchy>
    <cacheHierarchy uniqueName="[Measures].[Count of Annual Income ($)]" caption="Count of Annual Income ($)" measure="1" displayFolder="" measureGroup="Table2" count="0" hidden="1">
      <extLst>
        <ext xmlns:x15="http://schemas.microsoft.com/office/spreadsheetml/2010/11/main" uri="{B97F6D7D-B522-45F9-BDA1-12C45D357490}">
          <x15:cacheHierarchy aggregatedColumn="4"/>
        </ext>
      </extLst>
    </cacheHierarchy>
    <cacheHierarchy uniqueName="[Measures].[Average of Spending Score (1-100)]" caption="Average of Spending Score (1-100)" measure="1" displayFolder="" measureGroup="Table2"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YIBO DORCAS" refreshedDate="45976.278908564818" backgroundQuery="1" createdVersion="8" refreshedVersion="8" minRefreshableVersion="3" recordCount="0" supportSubquery="1" supportAdvancedDrill="1" xr:uid="{9BE11961-81A6-442D-8A08-07678C61AF50}">
  <cacheSource type="external" connectionId="1"/>
  <cacheFields count="3">
    <cacheField name="[Table2].[Profession].[Profession]" caption="Profession" numFmtId="0" hierarchy="7" level="1">
      <sharedItems count="10">
        <s v="Artist"/>
        <s v="Doctor"/>
        <s v="Engineer"/>
        <s v="Entertainment"/>
        <s v="Executive"/>
        <s v="Healthcare"/>
        <s v="Homemaker"/>
        <s v="Lawyer"/>
        <s v="Marketing"/>
        <s v="UNKNOWN"/>
      </sharedItems>
    </cacheField>
    <cacheField name="[Measures].[Sum of Annual Income ($)]" caption="Sum of Annual Income ($)" numFmtId="0" hierarchy="16" level="32767"/>
    <cacheField name="[Table2].[Age Groups].[Age Groups]" caption="Age Groups" numFmtId="0" hierarchy="3" level="1">
      <sharedItems containsSemiMixedTypes="0" containsNonDate="0" containsString="0"/>
    </cacheField>
  </cacheFields>
  <cacheHierarchies count="25">
    <cacheHierarchy uniqueName="[Table2].[CustomerID]" caption="CustomerID" attribute="1" defaultMemberUniqueName="[Table2].[CustomerID].[All]" allUniqueName="[Table2].[CustomerID].[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 Groups]" caption="Age Groups" attribute="1" defaultMemberUniqueName="[Table2].[Age Groups].[All]" allUniqueName="[Table2].[Age Groups].[All]" dimensionUniqueName="[Table2]" displayFolder="" count="2" memberValueDatatype="130" unbalanced="0">
      <fieldsUsage count="2">
        <fieldUsage x="-1"/>
        <fieldUsage x="2"/>
      </fieldsUsage>
    </cacheHierarchy>
    <cacheHierarchy uniqueName="[Table2].[Annual Income ($)]" caption="Annual Income ($)" attribute="1" defaultMemberUniqueName="[Table2].[Annual Income ($)].[All]" allUniqueName="[Table2].[Annual Income ($)].[All]" dimensionUniqueName="[Table2]" displayFolder="" count="0" memberValueDatatype="20" unbalanced="0"/>
    <cacheHierarchy uniqueName="[Table2].[Spending Score (1-100)]" caption="Spending Score (1-100)" attribute="1" defaultMemberUniqueName="[Table2].[Spending Score (1-100)].[All]" allUniqueName="[Table2].[Spending Score (1-100)].[All]" dimensionUniqueName="[Table2]" displayFolder="" count="0" memberValueDatatype="20" unbalanced="0"/>
    <cacheHierarchy uniqueName="[Table2].[Spending Category]" caption="Spending Category" attribute="1" defaultMemberUniqueName="[Table2].[Spending Category].[All]" allUniqueName="[Table2].[Spending Category].[All]" dimensionUniqueName="[Table2]" displayFolder="" count="0" memberValueDatatype="130" unbalanced="0"/>
    <cacheHierarchy uniqueName="[Table2].[Profession]" caption="Profession" attribute="1" defaultMemberUniqueName="[Table2].[Profession].[All]" allUniqueName="[Table2].[Profession].[All]" dimensionUniqueName="[Table2]" displayFolder="" count="2" memberValueDatatype="130" unbalanced="0">
      <fieldsUsage count="2">
        <fieldUsage x="-1"/>
        <fieldUsage x="0"/>
      </fieldsUsage>
    </cacheHierarchy>
    <cacheHierarchy uniqueName="[Table2].[Work Experience]" caption="Work Experience" attribute="1" defaultMemberUniqueName="[Table2].[Work Experience].[All]" allUniqueName="[Table2].[Work Experience].[All]" dimensionUniqueName="[Table2]" displayFolder="" count="0" memberValueDatatype="20" unbalanced="0"/>
    <cacheHierarchy uniqueName="[Table2].[Work Experience2]" caption="Work Experience2" attribute="1" defaultMemberUniqueName="[Table2].[Work Experience2].[All]" allUniqueName="[Table2].[Work Experience2].[All]" dimensionUniqueName="[Table2]" displayFolder="" count="0" memberValueDatatype="130" unbalanced="0"/>
    <cacheHierarchy uniqueName="[Table2].[Family Size_second]" caption="Family Size_second" attribute="1" defaultMemberUniqueName="[Table2].[Family Size_second].[All]" allUniqueName="[Table2].[Family Size_second].[All]" dimensionUniqueName="[Table2]" displayFolder="" count="0" memberValueDatatype="130" unbalanced="0"/>
    <cacheHierarchy uniqueName="[Table2].[Family Size2]" caption="Family Size2" attribute="1" defaultMemberUniqueName="[Table2].[Family Size2].[All]" allUniqueName="[Table2].[Family Size2].[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ustomerID]" caption="Sum of Customer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2" count="0" hidden="1">
      <extLst>
        <ext xmlns:x15="http://schemas.microsoft.com/office/spreadsheetml/2010/11/main" uri="{B97F6D7D-B522-45F9-BDA1-12C45D357490}">
          <x15:cacheHierarchy aggregatedColumn="0"/>
        </ext>
      </extLst>
    </cacheHierarchy>
    <cacheHierarchy uniqueName="[Measures].[Sum of Annual Income ($)]" caption="Sum of Annual Income ($)" measure="1" displayFolder="" measureGroup="Table2"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Annual Income ($)]" caption="Average of Annual Income ($)" measure="1" displayFolder="" measureGroup="Table2" count="0" hidden="1">
      <extLst>
        <ext xmlns:x15="http://schemas.microsoft.com/office/spreadsheetml/2010/11/main" uri="{B97F6D7D-B522-45F9-BDA1-12C45D357490}">
          <x15:cacheHierarchy aggregatedColumn="4"/>
        </ext>
      </extLst>
    </cacheHierarchy>
    <cacheHierarchy uniqueName="[Measures].[Sum of Spending Score (1-100)]" caption="Sum of Spending Score (1-100)" measure="1" displayFolder="" measureGroup="Table2" count="0" hidden="1">
      <extLst>
        <ext xmlns:x15="http://schemas.microsoft.com/office/spreadsheetml/2010/11/main" uri="{B97F6D7D-B522-45F9-BDA1-12C45D357490}">
          <x15:cacheHierarchy aggregatedColumn="5"/>
        </ext>
      </extLst>
    </cacheHierarchy>
    <cacheHierarchy uniqueName="[Measures].[Count of Spending Score (1-100)]" caption="Count of Spending Score (1-100)" measure="1" displayFolder="" measureGroup="Table2" count="0" hidden="1">
      <extLst>
        <ext xmlns:x15="http://schemas.microsoft.com/office/spreadsheetml/2010/11/main" uri="{B97F6D7D-B522-45F9-BDA1-12C45D357490}">
          <x15:cacheHierarchy aggregatedColumn="5"/>
        </ext>
      </extLst>
    </cacheHierarchy>
    <cacheHierarchy uniqueName="[Measures].[Sum of Family Size2]" caption="Sum of Family Size2" measure="1" displayFolder="" measureGroup="Table2" count="0" hidden="1"/>
    <cacheHierarchy uniqueName="[Measures].[Count of Family Size2]" caption="Count of Family Size2" measure="1" displayFolder="" measureGroup="Table2" count="0" hidden="1"/>
    <cacheHierarchy uniqueName="[Measures].[Max of Annual Income ($)]" caption="Max of Annual Income ($)" measure="1" displayFolder="" measureGroup="Table2" count="0" hidden="1">
      <extLst>
        <ext xmlns:x15="http://schemas.microsoft.com/office/spreadsheetml/2010/11/main" uri="{B97F6D7D-B522-45F9-BDA1-12C45D357490}">
          <x15:cacheHierarchy aggregatedColumn="4"/>
        </ext>
      </extLst>
    </cacheHierarchy>
    <cacheHierarchy uniqueName="[Measures].[Count of Annual Income ($)]" caption="Count of Annual Income ($)" measure="1" displayFolder="" measureGroup="Table2" count="0" hidden="1">
      <extLst>
        <ext xmlns:x15="http://schemas.microsoft.com/office/spreadsheetml/2010/11/main" uri="{B97F6D7D-B522-45F9-BDA1-12C45D357490}">
          <x15:cacheHierarchy aggregatedColumn="4"/>
        </ext>
      </extLst>
    </cacheHierarchy>
    <cacheHierarchy uniqueName="[Measures].[Average of Spending Score (1-100)]" caption="Average of Spending Score (1-100)" measure="1" displayFolder="" measureGroup="Table2"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YIBO DORCAS" refreshedDate="45976.278909259257" backgroundQuery="1" createdVersion="8" refreshedVersion="8" minRefreshableVersion="3" recordCount="0" supportSubquery="1" supportAdvancedDrill="1" xr:uid="{722ADE2D-FFAE-422B-A6BF-6AF1239CBFBD}">
  <cacheSource type="external" connectionId="1"/>
  <cacheFields count="3">
    <cacheField name="[Table2].[Spending Category].[Spending Category]" caption="Spending Category" numFmtId="0" hierarchy="6" level="1">
      <sharedItems count="4">
        <s v="High"/>
        <s v="Low"/>
        <s v="Medium"/>
        <s v="Very High"/>
      </sharedItems>
    </cacheField>
    <cacheField name="[Measures].[Average of Annual Income ($)]" caption="Average of Annual Income ($)" numFmtId="0" hierarchy="17" level="32767"/>
    <cacheField name="[Table2].[Age Groups].[Age Groups]" caption="Age Groups" numFmtId="0" hierarchy="3" level="1">
      <sharedItems containsSemiMixedTypes="0" containsNonDate="0" containsString="0"/>
    </cacheField>
  </cacheFields>
  <cacheHierarchies count="25">
    <cacheHierarchy uniqueName="[Table2].[CustomerID]" caption="CustomerID" attribute="1" defaultMemberUniqueName="[Table2].[CustomerID].[All]" allUniqueName="[Table2].[CustomerID].[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 Groups]" caption="Age Groups" attribute="1" defaultMemberUniqueName="[Table2].[Age Groups].[All]" allUniqueName="[Table2].[Age Groups].[All]" dimensionUniqueName="[Table2]" displayFolder="" count="2" memberValueDatatype="130" unbalanced="0">
      <fieldsUsage count="2">
        <fieldUsage x="-1"/>
        <fieldUsage x="2"/>
      </fieldsUsage>
    </cacheHierarchy>
    <cacheHierarchy uniqueName="[Table2].[Annual Income ($)]" caption="Annual Income ($)" attribute="1" defaultMemberUniqueName="[Table2].[Annual Income ($)].[All]" allUniqueName="[Table2].[Annual Income ($)].[All]" dimensionUniqueName="[Table2]" displayFolder="" count="0" memberValueDatatype="20" unbalanced="0"/>
    <cacheHierarchy uniqueName="[Table2].[Spending Score (1-100)]" caption="Spending Score (1-100)" attribute="1" defaultMemberUniqueName="[Table2].[Spending Score (1-100)].[All]" allUniqueName="[Table2].[Spending Score (1-100)].[All]" dimensionUniqueName="[Table2]" displayFolder="" count="0" memberValueDatatype="20" unbalanced="0"/>
    <cacheHierarchy uniqueName="[Table2].[Spending Category]" caption="Spending Category" attribute="1" defaultMemberUniqueName="[Table2].[Spending Category].[All]" allUniqueName="[Table2].[Spending Category].[All]" dimensionUniqueName="[Table2]" displayFolder="" count="2" memberValueDatatype="130" unbalanced="0">
      <fieldsUsage count="2">
        <fieldUsage x="-1"/>
        <fieldUsage x="0"/>
      </fieldsUsage>
    </cacheHierarchy>
    <cacheHierarchy uniqueName="[Table2].[Profession]" caption="Profession" attribute="1" defaultMemberUniqueName="[Table2].[Profession].[All]" allUniqueName="[Table2].[Profession].[All]" dimensionUniqueName="[Table2]" displayFolder="" count="0" memberValueDatatype="130" unbalanced="0"/>
    <cacheHierarchy uniqueName="[Table2].[Work Experience]" caption="Work Experience" attribute="1" defaultMemberUniqueName="[Table2].[Work Experience].[All]" allUniqueName="[Table2].[Work Experience].[All]" dimensionUniqueName="[Table2]" displayFolder="" count="0" memberValueDatatype="20" unbalanced="0"/>
    <cacheHierarchy uniqueName="[Table2].[Work Experience2]" caption="Work Experience2" attribute="1" defaultMemberUniqueName="[Table2].[Work Experience2].[All]" allUniqueName="[Table2].[Work Experience2].[All]" dimensionUniqueName="[Table2]" displayFolder="" count="0" memberValueDatatype="130" unbalanced="0"/>
    <cacheHierarchy uniqueName="[Table2].[Family Size_second]" caption="Family Size_second" attribute="1" defaultMemberUniqueName="[Table2].[Family Size_second].[All]" allUniqueName="[Table2].[Family Size_second].[All]" dimensionUniqueName="[Table2]" displayFolder="" count="0" memberValueDatatype="130" unbalanced="0"/>
    <cacheHierarchy uniqueName="[Table2].[Family Size2]" caption="Family Size2" attribute="1" defaultMemberUniqueName="[Table2].[Family Size2].[All]" allUniqueName="[Table2].[Family Size2].[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ustomerID]" caption="Sum of Customer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2" count="0" hidden="1">
      <extLst>
        <ext xmlns:x15="http://schemas.microsoft.com/office/spreadsheetml/2010/11/main" uri="{B97F6D7D-B522-45F9-BDA1-12C45D357490}">
          <x15:cacheHierarchy aggregatedColumn="0"/>
        </ext>
      </extLst>
    </cacheHierarchy>
    <cacheHierarchy uniqueName="[Measures].[Sum of Annual Income ($)]" caption="Sum of Annual Income ($)" measure="1" displayFolder="" measureGroup="Table2" count="0" hidden="1">
      <extLst>
        <ext xmlns:x15="http://schemas.microsoft.com/office/spreadsheetml/2010/11/main" uri="{B97F6D7D-B522-45F9-BDA1-12C45D357490}">
          <x15:cacheHierarchy aggregatedColumn="4"/>
        </ext>
      </extLst>
    </cacheHierarchy>
    <cacheHierarchy uniqueName="[Measures].[Average of Annual Income ($)]" caption="Average of Annual Income ($)" measure="1" displayFolder="" measureGroup="Table2"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Spending Score (1-100)]" caption="Sum of Spending Score (1-100)" measure="1" displayFolder="" measureGroup="Table2" count="0" hidden="1">
      <extLst>
        <ext xmlns:x15="http://schemas.microsoft.com/office/spreadsheetml/2010/11/main" uri="{B97F6D7D-B522-45F9-BDA1-12C45D357490}">
          <x15:cacheHierarchy aggregatedColumn="5"/>
        </ext>
      </extLst>
    </cacheHierarchy>
    <cacheHierarchy uniqueName="[Measures].[Count of Spending Score (1-100)]" caption="Count of Spending Score (1-100)" measure="1" displayFolder="" measureGroup="Table2" count="0" hidden="1">
      <extLst>
        <ext xmlns:x15="http://schemas.microsoft.com/office/spreadsheetml/2010/11/main" uri="{B97F6D7D-B522-45F9-BDA1-12C45D357490}">
          <x15:cacheHierarchy aggregatedColumn="5"/>
        </ext>
      </extLst>
    </cacheHierarchy>
    <cacheHierarchy uniqueName="[Measures].[Sum of Family Size2]" caption="Sum of Family Size2" measure="1" displayFolder="" measureGroup="Table2" count="0" hidden="1"/>
    <cacheHierarchy uniqueName="[Measures].[Count of Family Size2]" caption="Count of Family Size2" measure="1" displayFolder="" measureGroup="Table2" count="0" hidden="1"/>
    <cacheHierarchy uniqueName="[Measures].[Max of Annual Income ($)]" caption="Max of Annual Income ($)" measure="1" displayFolder="" measureGroup="Table2" count="0" hidden="1">
      <extLst>
        <ext xmlns:x15="http://schemas.microsoft.com/office/spreadsheetml/2010/11/main" uri="{B97F6D7D-B522-45F9-BDA1-12C45D357490}">
          <x15:cacheHierarchy aggregatedColumn="4"/>
        </ext>
      </extLst>
    </cacheHierarchy>
    <cacheHierarchy uniqueName="[Measures].[Count of Annual Income ($)]" caption="Count of Annual Income ($)" measure="1" displayFolder="" measureGroup="Table2" count="0" hidden="1">
      <extLst>
        <ext xmlns:x15="http://schemas.microsoft.com/office/spreadsheetml/2010/11/main" uri="{B97F6D7D-B522-45F9-BDA1-12C45D357490}">
          <x15:cacheHierarchy aggregatedColumn="4"/>
        </ext>
      </extLst>
    </cacheHierarchy>
    <cacheHierarchy uniqueName="[Measures].[Average of Spending Score (1-100)]" caption="Average of Spending Score (1-100)" measure="1" displayFolder="" measureGroup="Table2"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YIBO DORCAS" refreshedDate="45976.278909837965" backgroundQuery="1" createdVersion="8" refreshedVersion="8" minRefreshableVersion="3" recordCount="0" supportSubquery="1" supportAdvancedDrill="1" xr:uid="{2C537639-9366-4CC9-A0A1-79E32BCC2955}">
  <cacheSource type="external" connectionId="1"/>
  <cacheFields count="4">
    <cacheField name="[Table2].[Work Experience].[Work Experience]" caption="Work Experience" numFmtId="0" hierarchy="8" level="1">
      <sharedItems containsSemiMixedTypes="0" containsString="0" containsNumber="1" containsInteger="1" minValue="0" maxValue="9" count="5">
        <n v="0"/>
        <n v="1"/>
        <n v="6"/>
        <n v="8"/>
        <n v="9"/>
      </sharedItems>
      <extLst>
        <ext xmlns:x15="http://schemas.microsoft.com/office/spreadsheetml/2010/11/main" uri="{4F2E5C28-24EA-4eb8-9CBF-B6C8F9C3D259}">
          <x15:cachedUniqueNames>
            <x15:cachedUniqueName index="0" name="[Table2].[Work Experience].&amp;[0]"/>
            <x15:cachedUniqueName index="1" name="[Table2].[Work Experience].&amp;[1]"/>
            <x15:cachedUniqueName index="2" name="[Table2].[Work Experience].&amp;[6]"/>
            <x15:cachedUniqueName index="3" name="[Table2].[Work Experience].&amp;[8]"/>
            <x15:cachedUniqueName index="4" name="[Table2].[Work Experience].&amp;[9]"/>
          </x15:cachedUniqueNames>
        </ext>
      </extLst>
    </cacheField>
    <cacheField name="[Table2].[Work Experience2].[Work Experience2]" caption="Work Experience2" numFmtId="0" hierarchy="9" level="1">
      <sharedItems count="5">
        <s v="0years"/>
        <s v="1years"/>
        <s v="6years"/>
        <s v="8years"/>
        <s v="9years"/>
      </sharedItems>
    </cacheField>
    <cacheField name="[Measures].[Average of Annual Income ($)]" caption="Average of Annual Income ($)" numFmtId="0" hierarchy="17" level="32767"/>
    <cacheField name="[Table2].[Age Groups].[Age Groups]" caption="Age Groups" numFmtId="0" hierarchy="3" level="1">
      <sharedItems containsSemiMixedTypes="0" containsNonDate="0" containsString="0"/>
    </cacheField>
  </cacheFields>
  <cacheHierarchies count="25">
    <cacheHierarchy uniqueName="[Table2].[CustomerID]" caption="CustomerID" attribute="1" defaultMemberUniqueName="[Table2].[CustomerID].[All]" allUniqueName="[Table2].[CustomerID].[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 Groups]" caption="Age Groups" attribute="1" defaultMemberUniqueName="[Table2].[Age Groups].[All]" allUniqueName="[Table2].[Age Groups].[All]" dimensionUniqueName="[Table2]" displayFolder="" count="2" memberValueDatatype="130" unbalanced="0">
      <fieldsUsage count="2">
        <fieldUsage x="-1"/>
        <fieldUsage x="3"/>
      </fieldsUsage>
    </cacheHierarchy>
    <cacheHierarchy uniqueName="[Table2].[Annual Income ($)]" caption="Annual Income ($)" attribute="1" defaultMemberUniqueName="[Table2].[Annual Income ($)].[All]" allUniqueName="[Table2].[Annual Income ($)].[All]" dimensionUniqueName="[Table2]" displayFolder="" count="0" memberValueDatatype="20" unbalanced="0"/>
    <cacheHierarchy uniqueName="[Table2].[Spending Score (1-100)]" caption="Spending Score (1-100)" attribute="1" defaultMemberUniqueName="[Table2].[Spending Score (1-100)].[All]" allUniqueName="[Table2].[Spending Score (1-100)].[All]" dimensionUniqueName="[Table2]" displayFolder="" count="0" memberValueDatatype="20" unbalanced="0"/>
    <cacheHierarchy uniqueName="[Table2].[Spending Category]" caption="Spending Category" attribute="1" defaultMemberUniqueName="[Table2].[Spending Category].[All]" allUniqueName="[Table2].[Spending Category].[All]" dimensionUniqueName="[Table2]" displayFolder="" count="0" memberValueDatatype="130" unbalanced="0"/>
    <cacheHierarchy uniqueName="[Table2].[Profession]" caption="Profession" attribute="1" defaultMemberUniqueName="[Table2].[Profession].[All]" allUniqueName="[Table2].[Profession].[All]" dimensionUniqueName="[Table2]" displayFolder="" count="0" memberValueDatatype="130" unbalanced="0"/>
    <cacheHierarchy uniqueName="[Table2].[Work Experience]" caption="Work Experience" attribute="1" defaultMemberUniqueName="[Table2].[Work Experience].[All]" allUniqueName="[Table2].[Work Experience].[All]" dimensionUniqueName="[Table2]" displayFolder="" count="2" memberValueDatatype="20" unbalanced="0">
      <fieldsUsage count="2">
        <fieldUsage x="-1"/>
        <fieldUsage x="0"/>
      </fieldsUsage>
    </cacheHierarchy>
    <cacheHierarchy uniqueName="[Table2].[Work Experience2]" caption="Work Experience2" attribute="1" defaultMemberUniqueName="[Table2].[Work Experience2].[All]" allUniqueName="[Table2].[Work Experience2].[All]" dimensionUniqueName="[Table2]" displayFolder="" count="2" memberValueDatatype="130" unbalanced="0">
      <fieldsUsage count="2">
        <fieldUsage x="-1"/>
        <fieldUsage x="1"/>
      </fieldsUsage>
    </cacheHierarchy>
    <cacheHierarchy uniqueName="[Table2].[Family Size_second]" caption="Family Size_second" attribute="1" defaultMemberUniqueName="[Table2].[Family Size_second].[All]" allUniqueName="[Table2].[Family Size_second].[All]" dimensionUniqueName="[Table2]" displayFolder="" count="0" memberValueDatatype="130" unbalanced="0"/>
    <cacheHierarchy uniqueName="[Table2].[Family Size2]" caption="Family Size2" attribute="1" defaultMemberUniqueName="[Table2].[Family Size2].[All]" allUniqueName="[Table2].[Family Size2].[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ustomerID]" caption="Sum of Customer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2" count="0" hidden="1">
      <extLst>
        <ext xmlns:x15="http://schemas.microsoft.com/office/spreadsheetml/2010/11/main" uri="{B97F6D7D-B522-45F9-BDA1-12C45D357490}">
          <x15:cacheHierarchy aggregatedColumn="0"/>
        </ext>
      </extLst>
    </cacheHierarchy>
    <cacheHierarchy uniqueName="[Measures].[Sum of Annual Income ($)]" caption="Sum of Annual Income ($)" measure="1" displayFolder="" measureGroup="Table2" count="0" hidden="1">
      <extLst>
        <ext xmlns:x15="http://schemas.microsoft.com/office/spreadsheetml/2010/11/main" uri="{B97F6D7D-B522-45F9-BDA1-12C45D357490}">
          <x15:cacheHierarchy aggregatedColumn="4"/>
        </ext>
      </extLst>
    </cacheHierarchy>
    <cacheHierarchy uniqueName="[Measures].[Average of Annual Income ($)]" caption="Average of Annual Income ($)" measure="1" displayFolder="" measureGroup="Table2"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Spending Score (1-100)]" caption="Sum of Spending Score (1-100)" measure="1" displayFolder="" measureGroup="Table2" count="0" hidden="1">
      <extLst>
        <ext xmlns:x15="http://schemas.microsoft.com/office/spreadsheetml/2010/11/main" uri="{B97F6D7D-B522-45F9-BDA1-12C45D357490}">
          <x15:cacheHierarchy aggregatedColumn="5"/>
        </ext>
      </extLst>
    </cacheHierarchy>
    <cacheHierarchy uniqueName="[Measures].[Count of Spending Score (1-100)]" caption="Count of Spending Score (1-100)" measure="1" displayFolder="" measureGroup="Table2" count="0" hidden="1">
      <extLst>
        <ext xmlns:x15="http://schemas.microsoft.com/office/spreadsheetml/2010/11/main" uri="{B97F6D7D-B522-45F9-BDA1-12C45D357490}">
          <x15:cacheHierarchy aggregatedColumn="5"/>
        </ext>
      </extLst>
    </cacheHierarchy>
    <cacheHierarchy uniqueName="[Measures].[Sum of Family Size2]" caption="Sum of Family Size2" measure="1" displayFolder="" measureGroup="Table2" count="0" hidden="1"/>
    <cacheHierarchy uniqueName="[Measures].[Count of Family Size2]" caption="Count of Family Size2" measure="1" displayFolder="" measureGroup="Table2" count="0" hidden="1"/>
    <cacheHierarchy uniqueName="[Measures].[Max of Annual Income ($)]" caption="Max of Annual Income ($)" measure="1" displayFolder="" measureGroup="Table2" count="0" hidden="1">
      <extLst>
        <ext xmlns:x15="http://schemas.microsoft.com/office/spreadsheetml/2010/11/main" uri="{B97F6D7D-B522-45F9-BDA1-12C45D357490}">
          <x15:cacheHierarchy aggregatedColumn="4"/>
        </ext>
      </extLst>
    </cacheHierarchy>
    <cacheHierarchy uniqueName="[Measures].[Count of Annual Income ($)]" caption="Count of Annual Income ($)" measure="1" displayFolder="" measureGroup="Table2" count="0" hidden="1">
      <extLst>
        <ext xmlns:x15="http://schemas.microsoft.com/office/spreadsheetml/2010/11/main" uri="{B97F6D7D-B522-45F9-BDA1-12C45D357490}">
          <x15:cacheHierarchy aggregatedColumn="4"/>
        </ext>
      </extLst>
    </cacheHierarchy>
    <cacheHierarchy uniqueName="[Measures].[Average of Spending Score (1-100)]" caption="Average of Spending Score (1-100)" measure="1" displayFolder="" measureGroup="Table2"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orca" refreshedDate="45919.727282175925" backgroundQuery="1" createdVersion="3" refreshedVersion="8" minRefreshableVersion="3" recordCount="0" supportSubquery="1" supportAdvancedDrill="1" xr:uid="{CD6740AD-C6DB-41A1-A182-29057E327939}">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Table2].[CustomerID]" caption="CustomerID" attribute="1" defaultMemberUniqueName="[Table2].[CustomerID].[All]" allUniqueName="[Table2].[CustomerID].[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Age Groups]" caption="Age Groups" attribute="1" defaultMemberUniqueName="[Table2].[Age Groups].[All]" allUniqueName="[Table2].[Age Groups].[All]" dimensionUniqueName="[Table2]" displayFolder="" count="2" memberValueDatatype="130" unbalanced="0"/>
    <cacheHierarchy uniqueName="[Table2].[Annual Income ($)]" caption="Annual Income ($)" attribute="1" defaultMemberUniqueName="[Table2].[Annual Income ($)].[All]" allUniqueName="[Table2].[Annual Income ($)].[All]" dimensionUniqueName="[Table2]" displayFolder="" count="0" memberValueDatatype="20" unbalanced="0"/>
    <cacheHierarchy uniqueName="[Table2].[Spending Score (1-100)]" caption="Spending Score (1-100)" attribute="1" defaultMemberUniqueName="[Table2].[Spending Score (1-100)].[All]" allUniqueName="[Table2].[Spending Score (1-100)].[All]" dimensionUniqueName="[Table2]" displayFolder="" count="0" memberValueDatatype="20" unbalanced="0"/>
    <cacheHierarchy uniqueName="[Table2].[Spending Category]" caption="Spending Category" attribute="1" defaultMemberUniqueName="[Table2].[Spending Category].[All]" allUniqueName="[Table2].[Spending Category].[All]" dimensionUniqueName="[Table2]" displayFolder="" count="0" memberValueDatatype="130" unbalanced="0"/>
    <cacheHierarchy uniqueName="[Table2].[Profession]" caption="Profession" attribute="1" defaultMemberUniqueName="[Table2].[Profession].[All]" allUniqueName="[Table2].[Profession].[All]" dimensionUniqueName="[Table2]" displayFolder="" count="2" memberValueDatatype="130" unbalanced="0"/>
    <cacheHierarchy uniqueName="[Table2].[Work Experience]" caption="Work Experience" attribute="1" defaultMemberUniqueName="[Table2].[Work Experience].[All]" allUniqueName="[Table2].[Work Experience].[All]" dimensionUniqueName="[Table2]" displayFolder="" count="0" memberValueDatatype="20" unbalanced="0"/>
    <cacheHierarchy uniqueName="[Table2].[Work Experience2]" caption="Work Experience2" attribute="1" defaultMemberUniqueName="[Table2].[Work Experience2].[All]" allUniqueName="[Table2].[Work Experience2].[All]" dimensionUniqueName="[Table2]" displayFolder="" count="0" memberValueDatatype="130" unbalanced="0"/>
    <cacheHierarchy uniqueName="[Table2].[Family Size_second]" caption="Family Size_second" attribute="1" defaultMemberUniqueName="[Table2].[Family Size_second].[All]" allUniqueName="[Table2].[Family Size_second].[All]" dimensionUniqueName="[Table2]" displayFolder="" count="0" memberValueDatatype="130" unbalanced="0"/>
    <cacheHierarchy uniqueName="[Table2].[Family Size2]" caption="Family Size2" attribute="1" defaultMemberUniqueName="[Table2].[Family Size2].[All]" allUniqueName="[Table2].[Family Size2].[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ustomerID]" caption="Sum of Customer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ID]" caption="Count of CustomerID" measure="1" displayFolder="" measureGroup="Table2" count="0" hidden="1">
      <extLst>
        <ext xmlns:x15="http://schemas.microsoft.com/office/spreadsheetml/2010/11/main" uri="{B97F6D7D-B522-45F9-BDA1-12C45D357490}">
          <x15:cacheHierarchy aggregatedColumn="0"/>
        </ext>
      </extLst>
    </cacheHierarchy>
    <cacheHierarchy uniqueName="[Measures].[Sum of Annual Income ($)]" caption="Sum of Annual Income ($)" measure="1" displayFolder="" measureGroup="Table2" count="0" hidden="1">
      <extLst>
        <ext xmlns:x15="http://schemas.microsoft.com/office/spreadsheetml/2010/11/main" uri="{B97F6D7D-B522-45F9-BDA1-12C45D357490}">
          <x15:cacheHierarchy aggregatedColumn="4"/>
        </ext>
      </extLst>
    </cacheHierarchy>
    <cacheHierarchy uniqueName="[Measures].[Average of Annual Income ($)]" caption="Average of Annual Income ($)" measure="1" displayFolder="" measureGroup="Table2" count="0" hidden="1">
      <extLst>
        <ext xmlns:x15="http://schemas.microsoft.com/office/spreadsheetml/2010/11/main" uri="{B97F6D7D-B522-45F9-BDA1-12C45D357490}">
          <x15:cacheHierarchy aggregatedColumn="4"/>
        </ext>
      </extLst>
    </cacheHierarchy>
    <cacheHierarchy uniqueName="[Measures].[Sum of Spending Score (1-100)]" caption="Sum of Spending Score (1-100)" measure="1" displayFolder="" measureGroup="Table2" count="0" hidden="1">
      <extLst>
        <ext xmlns:x15="http://schemas.microsoft.com/office/spreadsheetml/2010/11/main" uri="{B97F6D7D-B522-45F9-BDA1-12C45D357490}">
          <x15:cacheHierarchy aggregatedColumn="5"/>
        </ext>
      </extLst>
    </cacheHierarchy>
    <cacheHierarchy uniqueName="[Measures].[Count of Spending Score (1-100)]" caption="Count of Spending Score (1-100)" measure="1" displayFolder="" measureGroup="Table2" count="0" hidden="1">
      <extLst>
        <ext xmlns:x15="http://schemas.microsoft.com/office/spreadsheetml/2010/11/main" uri="{B97F6D7D-B522-45F9-BDA1-12C45D357490}">
          <x15:cacheHierarchy aggregatedColumn="5"/>
        </ext>
      </extLst>
    </cacheHierarchy>
    <cacheHierarchy uniqueName="[Measures].[Sum of Family Size2]" caption="Sum of Family Size2" measure="1" displayFolder="" measureGroup="Table2" count="0" hidden="1"/>
    <cacheHierarchy uniqueName="[Measures].[Count of Family Size2]" caption="Count of Family Size2" measure="1" displayFolder="" measureGroup="Table2" count="0" hidden="1"/>
    <cacheHierarchy uniqueName="[Measures].[Max of Annual Income ($)]" caption="Max of Annual Income ($)" measure="1" displayFolder="" measureGroup="Table2" count="0" hidden="1">
      <extLst>
        <ext xmlns:x15="http://schemas.microsoft.com/office/spreadsheetml/2010/11/main" uri="{B97F6D7D-B522-45F9-BDA1-12C45D357490}">
          <x15:cacheHierarchy aggregatedColumn="4"/>
        </ext>
      </extLst>
    </cacheHierarchy>
    <cacheHierarchy uniqueName="[Measures].[Count of Annual Income ($)]" caption="Count of Annual Income ($)" measure="1" displayFolder="" measureGroup="Table2" count="0" hidden="1">
      <extLst>
        <ext xmlns:x15="http://schemas.microsoft.com/office/spreadsheetml/2010/11/main" uri="{B97F6D7D-B522-45F9-BDA1-12C45D357490}">
          <x15:cacheHierarchy aggregatedColumn="4"/>
        </ext>
      </extLst>
    </cacheHierarchy>
    <cacheHierarchy uniqueName="[Measures].[Average of Spending Score (1-100)]" caption="Average of Spending Score (1-100)" measure="1" displayFolder="" measureGroup="Table2"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689552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F05DEE-4925-4AE8-9062-BCACF472425D}" name="PivotTable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Annual Income ($)" fld="1"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csv!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455570-1D53-4724-AEA8-35CA2F87B037}"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3:B11"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6"/>
    </i>
    <i>
      <x/>
    </i>
    <i>
      <x v="5"/>
    </i>
    <i>
      <x v="3"/>
    </i>
    <i>
      <x v="2"/>
    </i>
    <i>
      <x v="1"/>
    </i>
    <i>
      <x v="4"/>
    </i>
    <i t="grand">
      <x/>
    </i>
  </rowItems>
  <colItems count="1">
    <i/>
  </colItems>
  <dataFields count="1">
    <dataField name="Sum of Annual Income ($)" fld="1" baseField="0" baseItem="0" numFmtId="164"/>
  </dataFields>
  <chartFormats count="17">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6"/>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5"/>
          </reference>
        </references>
      </pivotArea>
    </chartFormat>
    <chartFormat chart="2" format="9">
      <pivotArea type="data" outline="0" fieldPosition="0">
        <references count="2">
          <reference field="4294967294" count="1" selected="0">
            <x v="0"/>
          </reference>
          <reference field="0" count="1" selected="0">
            <x v="3"/>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1"/>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2">
          <reference field="4294967294" count="1" selected="0">
            <x v="0"/>
          </reference>
          <reference field="0" count="1" selected="0">
            <x v="6"/>
          </reference>
        </references>
      </pivotArea>
    </chartFormat>
    <chartFormat chart="11" format="24">
      <pivotArea type="data" outline="0" fieldPosition="0">
        <references count="2">
          <reference field="4294967294" count="1" selected="0">
            <x v="0"/>
          </reference>
          <reference field="0" count="1" selected="0">
            <x v="0"/>
          </reference>
        </references>
      </pivotArea>
    </chartFormat>
    <chartFormat chart="11" format="25">
      <pivotArea type="data" outline="0" fieldPosition="0">
        <references count="2">
          <reference field="4294967294" count="1" selected="0">
            <x v="0"/>
          </reference>
          <reference field="0" count="1" selected="0">
            <x v="5"/>
          </reference>
        </references>
      </pivotArea>
    </chartFormat>
    <chartFormat chart="11" format="26">
      <pivotArea type="data" outline="0" fieldPosition="0">
        <references count="2">
          <reference field="4294967294" count="1" selected="0">
            <x v="0"/>
          </reference>
          <reference field="0" count="1" selected="0">
            <x v="3"/>
          </reference>
        </references>
      </pivotArea>
    </chartFormat>
    <chartFormat chart="11" format="27">
      <pivotArea type="data" outline="0" fieldPosition="0">
        <references count="2">
          <reference field="4294967294" count="1" selected="0">
            <x v="0"/>
          </reference>
          <reference field="0" count="1" selected="0">
            <x v="2"/>
          </reference>
        </references>
      </pivotArea>
    </chartFormat>
    <chartFormat chart="11" format="28">
      <pivotArea type="data" outline="0" fieldPosition="0">
        <references count="2">
          <reference field="4294967294" count="1" selected="0">
            <x v="0"/>
          </reference>
          <reference field="0" count="1" selected="0">
            <x v="1"/>
          </reference>
        </references>
      </pivotArea>
    </chartFormat>
    <chartFormat chart="11" format="29">
      <pivotArea type="data" outline="0" fieldPosition="0">
        <references count="2">
          <reference field="4294967294" count="1" selected="0">
            <x v="0"/>
          </reference>
          <reference field="0" count="1" selected="0">
            <x v="4"/>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csv!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016E33-3754-41C1-8FF0-BA7E96786D75}" name="PivotTable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3:B14"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5"/>
    </i>
    <i>
      <x v="3"/>
    </i>
    <i>
      <x v="2"/>
    </i>
    <i>
      <x v="1"/>
    </i>
    <i>
      <x v="4"/>
    </i>
    <i>
      <x v="7"/>
    </i>
    <i>
      <x v="8"/>
    </i>
    <i>
      <x v="6"/>
    </i>
    <i>
      <x v="9"/>
    </i>
    <i t="grand">
      <x/>
    </i>
  </rowItems>
  <colItems count="1">
    <i/>
  </colItems>
  <dataFields count="1">
    <dataField name="Sum of Annual Income ($)" fld="1" baseField="0" baseItem="0" numFmtId="164"/>
  </dataFields>
  <chartFormats count="22">
    <chartFormat chart="8" format="23" series="1">
      <pivotArea type="data" outline="0" fieldPosition="0">
        <references count="1">
          <reference field="4294967294" count="1" selected="0">
            <x v="0"/>
          </reference>
        </references>
      </pivotArea>
    </chartFormat>
    <chartFormat chart="8" format="24">
      <pivotArea type="data" outline="0" fieldPosition="0">
        <references count="2">
          <reference field="4294967294" count="1" selected="0">
            <x v="0"/>
          </reference>
          <reference field="0" count="1" selected="0">
            <x v="9"/>
          </reference>
        </references>
      </pivotArea>
    </chartFormat>
    <chartFormat chart="8" format="25">
      <pivotArea type="data" outline="0" fieldPosition="0">
        <references count="2">
          <reference field="4294967294" count="1" selected="0">
            <x v="0"/>
          </reference>
          <reference field="0" count="1" selected="0">
            <x v="4"/>
          </reference>
        </references>
      </pivotArea>
    </chartFormat>
    <chartFormat chart="8" format="26">
      <pivotArea type="data" outline="0" fieldPosition="0">
        <references count="2">
          <reference field="4294967294" count="1" selected="0">
            <x v="0"/>
          </reference>
          <reference field="0" count="1" selected="0">
            <x v="5"/>
          </reference>
        </references>
      </pivotArea>
    </chartFormat>
    <chartFormat chart="8" format="27">
      <pivotArea type="data" outline="0" fieldPosition="0">
        <references count="2">
          <reference field="4294967294" count="1" selected="0">
            <x v="0"/>
          </reference>
          <reference field="0" count="1" selected="0">
            <x v="1"/>
          </reference>
        </references>
      </pivotArea>
    </chartFormat>
    <chartFormat chart="8" format="28">
      <pivotArea type="data" outline="0" fieldPosition="0">
        <references count="2">
          <reference field="4294967294" count="1" selected="0">
            <x v="0"/>
          </reference>
          <reference field="0" count="1" selected="0">
            <x v="2"/>
          </reference>
        </references>
      </pivotArea>
    </chartFormat>
    <chartFormat chart="8" format="29">
      <pivotArea type="data" outline="0" fieldPosition="0">
        <references count="2">
          <reference field="4294967294" count="1" selected="0">
            <x v="0"/>
          </reference>
          <reference field="0" count="1" selected="0">
            <x v="7"/>
          </reference>
        </references>
      </pivotArea>
    </chartFormat>
    <chartFormat chart="8" format="30">
      <pivotArea type="data" outline="0" fieldPosition="0">
        <references count="2">
          <reference field="4294967294" count="1" selected="0">
            <x v="0"/>
          </reference>
          <reference field="0" count="1" selected="0">
            <x v="3"/>
          </reference>
        </references>
      </pivotArea>
    </chartFormat>
    <chartFormat chart="8" format="31">
      <pivotArea type="data" outline="0" fieldPosition="0">
        <references count="2">
          <reference field="4294967294" count="1" selected="0">
            <x v="0"/>
          </reference>
          <reference field="0" count="1" selected="0">
            <x v="0"/>
          </reference>
        </references>
      </pivotArea>
    </chartFormat>
    <chartFormat chart="8" format="32">
      <pivotArea type="data" outline="0" fieldPosition="0">
        <references count="2">
          <reference field="4294967294" count="1" selected="0">
            <x v="0"/>
          </reference>
          <reference field="0" count="1" selected="0">
            <x v="6"/>
          </reference>
        </references>
      </pivotArea>
    </chartFormat>
    <chartFormat chart="8" format="33">
      <pivotArea type="data" outline="0" fieldPosition="0">
        <references count="2">
          <reference field="4294967294" count="1" selected="0">
            <x v="0"/>
          </reference>
          <reference field="0" count="1" selected="0">
            <x v="8"/>
          </reference>
        </references>
      </pivotArea>
    </chartFormat>
    <chartFormat chart="12" format="46" series="1">
      <pivotArea type="data" outline="0" fieldPosition="0">
        <references count="1">
          <reference field="4294967294" count="1" selected="0">
            <x v="0"/>
          </reference>
        </references>
      </pivotArea>
    </chartFormat>
    <chartFormat chart="12" format="47">
      <pivotArea type="data" outline="0" fieldPosition="0">
        <references count="2">
          <reference field="4294967294" count="1" selected="0">
            <x v="0"/>
          </reference>
          <reference field="0" count="1" selected="0">
            <x v="0"/>
          </reference>
        </references>
      </pivotArea>
    </chartFormat>
    <chartFormat chart="12" format="48">
      <pivotArea type="data" outline="0" fieldPosition="0">
        <references count="2">
          <reference field="4294967294" count="1" selected="0">
            <x v="0"/>
          </reference>
          <reference field="0" count="1" selected="0">
            <x v="5"/>
          </reference>
        </references>
      </pivotArea>
    </chartFormat>
    <chartFormat chart="12" format="49">
      <pivotArea type="data" outline="0" fieldPosition="0">
        <references count="2">
          <reference field="4294967294" count="1" selected="0">
            <x v="0"/>
          </reference>
          <reference field="0" count="1" selected="0">
            <x v="3"/>
          </reference>
        </references>
      </pivotArea>
    </chartFormat>
    <chartFormat chart="12" format="50">
      <pivotArea type="data" outline="0" fieldPosition="0">
        <references count="2">
          <reference field="4294967294" count="1" selected="0">
            <x v="0"/>
          </reference>
          <reference field="0" count="1" selected="0">
            <x v="2"/>
          </reference>
        </references>
      </pivotArea>
    </chartFormat>
    <chartFormat chart="12" format="51">
      <pivotArea type="data" outline="0" fieldPosition="0">
        <references count="2">
          <reference field="4294967294" count="1" selected="0">
            <x v="0"/>
          </reference>
          <reference field="0" count="1" selected="0">
            <x v="1"/>
          </reference>
        </references>
      </pivotArea>
    </chartFormat>
    <chartFormat chart="12" format="52">
      <pivotArea type="data" outline="0" fieldPosition="0">
        <references count="2">
          <reference field="4294967294" count="1" selected="0">
            <x v="0"/>
          </reference>
          <reference field="0" count="1" selected="0">
            <x v="4"/>
          </reference>
        </references>
      </pivotArea>
    </chartFormat>
    <chartFormat chart="12" format="53">
      <pivotArea type="data" outline="0" fieldPosition="0">
        <references count="2">
          <reference field="4294967294" count="1" selected="0">
            <x v="0"/>
          </reference>
          <reference field="0" count="1" selected="0">
            <x v="7"/>
          </reference>
        </references>
      </pivotArea>
    </chartFormat>
    <chartFormat chart="12" format="54">
      <pivotArea type="data" outline="0" fieldPosition="0">
        <references count="2">
          <reference field="4294967294" count="1" selected="0">
            <x v="0"/>
          </reference>
          <reference field="0" count="1" selected="0">
            <x v="8"/>
          </reference>
        </references>
      </pivotArea>
    </chartFormat>
    <chartFormat chart="12" format="55">
      <pivotArea type="data" outline="0" fieldPosition="0">
        <references count="2">
          <reference field="4294967294" count="1" selected="0">
            <x v="0"/>
          </reference>
          <reference field="0" count="1" selected="0">
            <x v="6"/>
          </reference>
        </references>
      </pivotArea>
    </chartFormat>
    <chartFormat chart="12" format="56">
      <pivotArea type="data" outline="0" fieldPosition="0">
        <references count="2">
          <reference field="4294967294" count="1" selected="0">
            <x v="0"/>
          </reference>
          <reference field="0" count="1" selected="0">
            <x v="9"/>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csv!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8D3C28-9009-49C6-99D2-986CD6B31A9E}"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3:C13" firstHeaderRow="0" firstDataRow="1" firstDataCol="1"/>
  <pivotFields count="5">
    <pivotField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1"/>
            </reference>
          </references>
        </pivotArea>
      </autoSortScope>
    </pivotField>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0">
    <i>
      <x v="1"/>
    </i>
    <i>
      <x v="2"/>
    </i>
    <i>
      <x/>
    </i>
    <i>
      <x v="3"/>
    </i>
    <i>
      <x v="4"/>
    </i>
    <i>
      <x v="5"/>
    </i>
    <i>
      <x v="6"/>
    </i>
    <i>
      <x v="7"/>
    </i>
    <i>
      <x v="8"/>
    </i>
    <i t="grand">
      <x/>
    </i>
  </rowItems>
  <colFields count="1">
    <field x="-2"/>
  </colFields>
  <colItems count="2">
    <i>
      <x/>
    </i>
    <i i="1">
      <x v="1"/>
    </i>
  </colItems>
  <dataFields count="2">
    <dataField name="Count of CustomerID" fld="3" subtotal="count" baseField="0" baseItem="0"/>
    <dataField name="Average of Spending Score (1-100)" fld="2" subtotal="average" baseField="0" baseItem="0" numFmtId="1"/>
  </dataFields>
  <chartFormats count="30">
    <chartFormat chart="10" format="45" series="1">
      <pivotArea type="data" outline="0" fieldPosition="0">
        <references count="1">
          <reference field="4294967294" count="1" selected="0">
            <x v="1"/>
          </reference>
        </references>
      </pivotArea>
    </chartFormat>
    <chartFormat chart="10" format="57">
      <pivotArea type="data" outline="0" fieldPosition="0">
        <references count="2">
          <reference field="4294967294" count="1" selected="0">
            <x v="1"/>
          </reference>
          <reference field="1" count="1" selected="0">
            <x v="1"/>
          </reference>
        </references>
      </pivotArea>
    </chartFormat>
    <chartFormat chart="10" format="58">
      <pivotArea type="data" outline="0" fieldPosition="0">
        <references count="2">
          <reference field="4294967294" count="1" selected="0">
            <x v="1"/>
          </reference>
          <reference field="1" count="1" selected="0">
            <x v="2"/>
          </reference>
        </references>
      </pivotArea>
    </chartFormat>
    <chartFormat chart="10" format="59">
      <pivotArea type="data" outline="0" fieldPosition="0">
        <references count="2">
          <reference field="4294967294" count="1" selected="0">
            <x v="1"/>
          </reference>
          <reference field="1" count="1" selected="0">
            <x v="0"/>
          </reference>
        </references>
      </pivotArea>
    </chartFormat>
    <chartFormat chart="10" format="60">
      <pivotArea type="data" outline="0" fieldPosition="0">
        <references count="2">
          <reference field="4294967294" count="1" selected="0">
            <x v="1"/>
          </reference>
          <reference field="1" count="1" selected="0">
            <x v="3"/>
          </reference>
        </references>
      </pivotArea>
    </chartFormat>
    <chartFormat chart="10" format="61">
      <pivotArea type="data" outline="0" fieldPosition="0">
        <references count="2">
          <reference field="4294967294" count="1" selected="0">
            <x v="1"/>
          </reference>
          <reference field="1" count="1" selected="0">
            <x v="4"/>
          </reference>
        </references>
      </pivotArea>
    </chartFormat>
    <chartFormat chart="10" format="62">
      <pivotArea type="data" outline="0" fieldPosition="0">
        <references count="2">
          <reference field="4294967294" count="1" selected="0">
            <x v="1"/>
          </reference>
          <reference field="1" count="1" selected="0">
            <x v="5"/>
          </reference>
        </references>
      </pivotArea>
    </chartFormat>
    <chartFormat chart="10" format="63">
      <pivotArea type="data" outline="0" fieldPosition="0">
        <references count="2">
          <reference field="4294967294" count="1" selected="0">
            <x v="1"/>
          </reference>
          <reference field="1" count="1" selected="0">
            <x v="6"/>
          </reference>
        </references>
      </pivotArea>
    </chartFormat>
    <chartFormat chart="10" format="64">
      <pivotArea type="data" outline="0" fieldPosition="0">
        <references count="2">
          <reference field="4294967294" count="1" selected="0">
            <x v="1"/>
          </reference>
          <reference field="1" count="1" selected="0">
            <x v="7"/>
          </reference>
        </references>
      </pivotArea>
    </chartFormat>
    <chartFormat chart="16" format="65" series="1">
      <pivotArea type="data" outline="0" fieldPosition="0">
        <references count="1">
          <reference field="4294967294" count="1" selected="0">
            <x v="1"/>
          </reference>
        </references>
      </pivotArea>
    </chartFormat>
    <chartFormat chart="16" format="66">
      <pivotArea type="data" outline="0" fieldPosition="0">
        <references count="2">
          <reference field="4294967294" count="1" selected="0">
            <x v="1"/>
          </reference>
          <reference field="1" count="1" selected="0">
            <x v="1"/>
          </reference>
        </references>
      </pivotArea>
    </chartFormat>
    <chartFormat chart="16" format="67">
      <pivotArea type="data" outline="0" fieldPosition="0">
        <references count="2">
          <reference field="4294967294" count="1" selected="0">
            <x v="1"/>
          </reference>
          <reference field="1" count="1" selected="0">
            <x v="2"/>
          </reference>
        </references>
      </pivotArea>
    </chartFormat>
    <chartFormat chart="16" format="68">
      <pivotArea type="data" outline="0" fieldPosition="0">
        <references count="2">
          <reference field="4294967294" count="1" selected="0">
            <x v="1"/>
          </reference>
          <reference field="1" count="1" selected="0">
            <x v="0"/>
          </reference>
        </references>
      </pivotArea>
    </chartFormat>
    <chartFormat chart="16" format="69">
      <pivotArea type="data" outline="0" fieldPosition="0">
        <references count="2">
          <reference field="4294967294" count="1" selected="0">
            <x v="1"/>
          </reference>
          <reference field="1" count="1" selected="0">
            <x v="3"/>
          </reference>
        </references>
      </pivotArea>
    </chartFormat>
    <chartFormat chart="16" format="70">
      <pivotArea type="data" outline="0" fieldPosition="0">
        <references count="2">
          <reference field="4294967294" count="1" selected="0">
            <x v="1"/>
          </reference>
          <reference field="1" count="1" selected="0">
            <x v="4"/>
          </reference>
        </references>
      </pivotArea>
    </chartFormat>
    <chartFormat chart="16" format="71">
      <pivotArea type="data" outline="0" fieldPosition="0">
        <references count="2">
          <reference field="4294967294" count="1" selected="0">
            <x v="1"/>
          </reference>
          <reference field="1" count="1" selected="0">
            <x v="5"/>
          </reference>
        </references>
      </pivotArea>
    </chartFormat>
    <chartFormat chart="16" format="72">
      <pivotArea type="data" outline="0" fieldPosition="0">
        <references count="2">
          <reference field="4294967294" count="1" selected="0">
            <x v="1"/>
          </reference>
          <reference field="1" count="1" selected="0">
            <x v="6"/>
          </reference>
        </references>
      </pivotArea>
    </chartFormat>
    <chartFormat chart="16" format="73">
      <pivotArea type="data" outline="0" fieldPosition="0">
        <references count="2">
          <reference field="4294967294" count="1" selected="0">
            <x v="1"/>
          </reference>
          <reference field="1" count="1" selected="0">
            <x v="7"/>
          </reference>
        </references>
      </pivotArea>
    </chartFormat>
    <chartFormat chart="10" format="65" series="1">
      <pivotArea type="data" outline="0" fieldPosition="0">
        <references count="1">
          <reference field="4294967294" count="1" selected="0">
            <x v="0"/>
          </reference>
        </references>
      </pivotArea>
    </chartFormat>
    <chartFormat chart="21" format="76" series="1">
      <pivotArea type="data" outline="0" fieldPosition="0">
        <references count="1">
          <reference field="4294967294" count="1" selected="0">
            <x v="1"/>
          </reference>
        </references>
      </pivotArea>
    </chartFormat>
    <chartFormat chart="21" format="77">
      <pivotArea type="data" outline="0" fieldPosition="0">
        <references count="2">
          <reference field="4294967294" count="1" selected="0">
            <x v="1"/>
          </reference>
          <reference field="1" count="1" selected="0">
            <x v="3"/>
          </reference>
        </references>
      </pivotArea>
    </chartFormat>
    <chartFormat chart="21" format="78">
      <pivotArea type="data" outline="0" fieldPosition="0">
        <references count="2">
          <reference field="4294967294" count="1" selected="0">
            <x v="1"/>
          </reference>
          <reference field="1" count="1" selected="0">
            <x v="4"/>
          </reference>
        </references>
      </pivotArea>
    </chartFormat>
    <chartFormat chart="21" format="79">
      <pivotArea type="data" outline="0" fieldPosition="0">
        <references count="2">
          <reference field="4294967294" count="1" selected="0">
            <x v="1"/>
          </reference>
          <reference field="1" count="1" selected="0">
            <x v="2"/>
          </reference>
        </references>
      </pivotArea>
    </chartFormat>
    <chartFormat chart="21" format="80">
      <pivotArea type="data" outline="0" fieldPosition="0">
        <references count="2">
          <reference field="4294967294" count="1" selected="0">
            <x v="1"/>
          </reference>
          <reference field="1" count="1" selected="0">
            <x v="1"/>
          </reference>
        </references>
      </pivotArea>
    </chartFormat>
    <chartFormat chart="21" format="81">
      <pivotArea type="data" outline="0" fieldPosition="0">
        <references count="2">
          <reference field="4294967294" count="1" selected="0">
            <x v="1"/>
          </reference>
          <reference field="1" count="1" selected="0">
            <x v="6"/>
          </reference>
        </references>
      </pivotArea>
    </chartFormat>
    <chartFormat chart="21" format="82">
      <pivotArea type="data" outline="0" fieldPosition="0">
        <references count="2">
          <reference field="4294967294" count="1" selected="0">
            <x v="1"/>
          </reference>
          <reference field="1" count="1" selected="0">
            <x v="5"/>
          </reference>
        </references>
      </pivotArea>
    </chartFormat>
    <chartFormat chart="21" format="83">
      <pivotArea type="data" outline="0" fieldPosition="0">
        <references count="2">
          <reference field="4294967294" count="1" selected="0">
            <x v="1"/>
          </reference>
          <reference field="1" count="1" selected="0">
            <x v="0"/>
          </reference>
        </references>
      </pivotArea>
    </chartFormat>
    <chartFormat chart="21" format="84">
      <pivotArea type="data" outline="0" fieldPosition="0">
        <references count="2">
          <reference field="4294967294" count="1" selected="0">
            <x v="1"/>
          </reference>
          <reference field="1" count="1" selected="0">
            <x v="7"/>
          </reference>
        </references>
      </pivotArea>
    </chartFormat>
    <chartFormat chart="21" format="85" series="1">
      <pivotArea type="data" outline="0" fieldPosition="0">
        <references count="1">
          <reference field="4294967294" count="1" selected="0">
            <x v="0"/>
          </reference>
        </references>
      </pivotArea>
    </chartFormat>
    <chartFormat chart="21" format="86">
      <pivotArea type="data" outline="0" fieldPosition="0">
        <references count="2">
          <reference field="4294967294" count="1" selected="0">
            <x v="0"/>
          </reference>
          <reference field="1" count="1" selected="0">
            <x v="6"/>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csv!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F14B56-A7E0-4F57-832D-BC679F709C22}" name="PivotTable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A3:B9" firstHeaderRow="1" firstDataRow="1" firstDataCol="1"/>
  <pivotFields count="4">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v="2"/>
    </i>
    <i>
      <x v="3"/>
    </i>
    <i>
      <x v="4"/>
    </i>
    <i>
      <x v="1"/>
    </i>
    <i>
      <x/>
    </i>
    <i t="grand">
      <x/>
    </i>
  </rowItems>
  <colItems count="1">
    <i/>
  </colItems>
  <dataFields count="1">
    <dataField name="Average of Annual Income ($)" fld="2" subtotal="average" baseField="0" baseItem="0" numFmtId="164"/>
  </dataFields>
  <chartFormats count="12">
    <chartFormat chart="14" format="68" series="1">
      <pivotArea type="data" outline="0" fieldPosition="0">
        <references count="1">
          <reference field="4294967294" count="1" selected="0">
            <x v="0"/>
          </reference>
        </references>
      </pivotArea>
    </chartFormat>
    <chartFormat chart="14" format="70">
      <pivotArea type="data" outline="0" fieldPosition="0">
        <references count="2">
          <reference field="4294967294" count="1" selected="0">
            <x v="0"/>
          </reference>
          <reference field="1" count="1" selected="0">
            <x v="1"/>
          </reference>
        </references>
      </pivotArea>
    </chartFormat>
    <chartFormat chart="14" format="71">
      <pivotArea type="data" outline="0" fieldPosition="0">
        <references count="2">
          <reference field="4294967294" count="1" selected="0">
            <x v="0"/>
          </reference>
          <reference field="1" count="1" selected="0">
            <x v="0"/>
          </reference>
        </references>
      </pivotArea>
    </chartFormat>
    <chartFormat chart="14" format="72">
      <pivotArea type="data" outline="0" fieldPosition="0">
        <references count="2">
          <reference field="4294967294" count="1" selected="0">
            <x v="0"/>
          </reference>
          <reference field="1" count="1" selected="0">
            <x v="3"/>
          </reference>
        </references>
      </pivotArea>
    </chartFormat>
    <chartFormat chart="14" format="73">
      <pivotArea type="data" outline="0" fieldPosition="0">
        <references count="2">
          <reference field="4294967294" count="1" selected="0">
            <x v="0"/>
          </reference>
          <reference field="1" count="1" selected="0">
            <x v="4"/>
          </reference>
        </references>
      </pivotArea>
    </chartFormat>
    <chartFormat chart="14" format="74">
      <pivotArea type="data" outline="0" fieldPosition="0">
        <references count="2">
          <reference field="4294967294" count="1" selected="0">
            <x v="0"/>
          </reference>
          <reference field="1" count="1" selected="0">
            <x v="2"/>
          </reference>
        </references>
      </pivotArea>
    </chartFormat>
    <chartFormat chart="23" format="81" series="1">
      <pivotArea type="data" outline="0" fieldPosition="0">
        <references count="1">
          <reference field="4294967294" count="1" selected="0">
            <x v="0"/>
          </reference>
        </references>
      </pivotArea>
    </chartFormat>
    <chartFormat chart="23" format="82">
      <pivotArea type="data" outline="0" fieldPosition="0">
        <references count="2">
          <reference field="4294967294" count="1" selected="0">
            <x v="0"/>
          </reference>
          <reference field="1" count="1" selected="0">
            <x v="1"/>
          </reference>
        </references>
      </pivotArea>
    </chartFormat>
    <chartFormat chart="23" format="83">
      <pivotArea type="data" outline="0" fieldPosition="0">
        <references count="2">
          <reference field="4294967294" count="1" selected="0">
            <x v="0"/>
          </reference>
          <reference field="1" count="1" selected="0">
            <x v="0"/>
          </reference>
        </references>
      </pivotArea>
    </chartFormat>
    <chartFormat chart="23" format="84">
      <pivotArea type="data" outline="0" fieldPosition="0">
        <references count="2">
          <reference field="4294967294" count="1" selected="0">
            <x v="0"/>
          </reference>
          <reference field="1" count="1" selected="0">
            <x v="3"/>
          </reference>
        </references>
      </pivotArea>
    </chartFormat>
    <chartFormat chart="23" format="85">
      <pivotArea type="data" outline="0" fieldPosition="0">
        <references count="2">
          <reference field="4294967294" count="1" selected="0">
            <x v="0"/>
          </reference>
          <reference field="1" count="1" selected="0">
            <x v="4"/>
          </reference>
        </references>
      </pivotArea>
    </chartFormat>
    <chartFormat chart="23" format="86">
      <pivotArea type="data" outline="0" fieldPosition="0">
        <references count="2">
          <reference field="4294967294" count="1" selected="0">
            <x v="0"/>
          </reference>
          <reference field="1" count="1" selected="0">
            <x v="2"/>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16">
      <autoFilter ref="A1">
        <filterColumn colId="0">
          <top10 val="5" filterVal="5"/>
        </filterColumn>
      </autoFilter>
    </filter>
    <filter fld="1" type="count" id="2" iMeasureHier="16">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csv!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C5C7C9-B789-425E-A2A4-54437FE7CBA9}" name="PivotTable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3:B8"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Annual Income ($)" fld="1" subtotal="average" baseField="0" baseItem="0" numFmtId="164"/>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csv!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DCBD96-3862-4D8C-AB55-5987DCEE55B2}"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3:B11" firstHeaderRow="1" firstDataRow="1" firstDataCol="1"/>
  <pivotFields count="2">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1"/>
  </rowFields>
  <rowItems count="8">
    <i>
      <x v="6"/>
    </i>
    <i>
      <x v="5"/>
    </i>
    <i>
      <x/>
    </i>
    <i>
      <x v="3"/>
    </i>
    <i>
      <x v="2"/>
    </i>
    <i>
      <x v="1"/>
    </i>
    <i>
      <x v="4"/>
    </i>
    <i t="grand">
      <x/>
    </i>
  </rowItems>
  <colItems count="1">
    <i/>
  </colItems>
  <dataFields count="1">
    <dataField name="Count of CustomerID" fld="0" subtotal="count" baseField="0" baseItem="0"/>
  </dataFields>
  <chartFormats count="16">
    <chartFormat chart="14" format="63" series="1">
      <pivotArea type="data" outline="0" fieldPosition="0">
        <references count="1">
          <reference field="4294967294" count="1" selected="0">
            <x v="0"/>
          </reference>
        </references>
      </pivotArea>
    </chartFormat>
    <chartFormat chart="14" format="64">
      <pivotArea type="data" outline="0" fieldPosition="0">
        <references count="2">
          <reference field="4294967294" count="1" selected="0">
            <x v="0"/>
          </reference>
          <reference field="1" count="1" selected="0">
            <x v="6"/>
          </reference>
        </references>
      </pivotArea>
    </chartFormat>
    <chartFormat chart="14" format="65">
      <pivotArea type="data" outline="0" fieldPosition="0">
        <references count="2">
          <reference field="4294967294" count="1" selected="0">
            <x v="0"/>
          </reference>
          <reference field="1" count="1" selected="0">
            <x v="5"/>
          </reference>
        </references>
      </pivotArea>
    </chartFormat>
    <chartFormat chart="14" format="66">
      <pivotArea type="data" outline="0" fieldPosition="0">
        <references count="2">
          <reference field="4294967294" count="1" selected="0">
            <x v="0"/>
          </reference>
          <reference field="1" count="1" selected="0">
            <x v="0"/>
          </reference>
        </references>
      </pivotArea>
    </chartFormat>
    <chartFormat chart="14" format="67">
      <pivotArea type="data" outline="0" fieldPosition="0">
        <references count="2">
          <reference field="4294967294" count="1" selected="0">
            <x v="0"/>
          </reference>
          <reference field="1" count="1" selected="0">
            <x v="3"/>
          </reference>
        </references>
      </pivotArea>
    </chartFormat>
    <chartFormat chart="14" format="68">
      <pivotArea type="data" outline="0" fieldPosition="0">
        <references count="2">
          <reference field="4294967294" count="1" selected="0">
            <x v="0"/>
          </reference>
          <reference field="1" count="1" selected="0">
            <x v="2"/>
          </reference>
        </references>
      </pivotArea>
    </chartFormat>
    <chartFormat chart="14" format="69">
      <pivotArea type="data" outline="0" fieldPosition="0">
        <references count="2">
          <reference field="4294967294" count="1" selected="0">
            <x v="0"/>
          </reference>
          <reference field="1" count="1" selected="0">
            <x v="1"/>
          </reference>
        </references>
      </pivotArea>
    </chartFormat>
    <chartFormat chart="14" format="70">
      <pivotArea type="data" outline="0" fieldPosition="0">
        <references count="2">
          <reference field="4294967294" count="1" selected="0">
            <x v="0"/>
          </reference>
          <reference field="1" count="1" selected="0">
            <x v="4"/>
          </reference>
        </references>
      </pivotArea>
    </chartFormat>
    <chartFormat chart="17" format="79" series="1">
      <pivotArea type="data" outline="0" fieldPosition="0">
        <references count="1">
          <reference field="4294967294" count="1" selected="0">
            <x v="0"/>
          </reference>
        </references>
      </pivotArea>
    </chartFormat>
    <chartFormat chart="17" format="80">
      <pivotArea type="data" outline="0" fieldPosition="0">
        <references count="2">
          <reference field="4294967294" count="1" selected="0">
            <x v="0"/>
          </reference>
          <reference field="1" count="1" selected="0">
            <x v="6"/>
          </reference>
        </references>
      </pivotArea>
    </chartFormat>
    <chartFormat chart="17" format="81">
      <pivotArea type="data" outline="0" fieldPosition="0">
        <references count="2">
          <reference field="4294967294" count="1" selected="0">
            <x v="0"/>
          </reference>
          <reference field="1" count="1" selected="0">
            <x v="5"/>
          </reference>
        </references>
      </pivotArea>
    </chartFormat>
    <chartFormat chart="17" format="82">
      <pivotArea type="data" outline="0" fieldPosition="0">
        <references count="2">
          <reference field="4294967294" count="1" selected="0">
            <x v="0"/>
          </reference>
          <reference field="1" count="1" selected="0">
            <x v="0"/>
          </reference>
        </references>
      </pivotArea>
    </chartFormat>
    <chartFormat chart="17" format="83">
      <pivotArea type="data" outline="0" fieldPosition="0">
        <references count="2">
          <reference field="4294967294" count="1" selected="0">
            <x v="0"/>
          </reference>
          <reference field="1" count="1" selected="0">
            <x v="3"/>
          </reference>
        </references>
      </pivotArea>
    </chartFormat>
    <chartFormat chart="17" format="84">
      <pivotArea type="data" outline="0" fieldPosition="0">
        <references count="2">
          <reference field="4294967294" count="1" selected="0">
            <x v="0"/>
          </reference>
          <reference field="1" count="1" selected="0">
            <x v="2"/>
          </reference>
        </references>
      </pivotArea>
    </chartFormat>
    <chartFormat chart="17" format="85">
      <pivotArea type="data" outline="0" fieldPosition="0">
        <references count="2">
          <reference field="4294967294" count="1" selected="0">
            <x v="0"/>
          </reference>
          <reference field="1" count="1" selected="0">
            <x v="1"/>
          </reference>
        </references>
      </pivotArea>
    </chartFormat>
    <chartFormat chart="17" format="86">
      <pivotArea type="data" outline="0" fieldPosition="0">
        <references count="2">
          <reference field="4294967294" count="1" selected="0">
            <x v="0"/>
          </reference>
          <reference field="1" count="1" selected="0">
            <x v="4"/>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csv!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DA4967CD-728B-4381-AE2B-6A5EDB78EDFD}" sourceName="[Table2].[Age Groups]">
  <pivotTables>
    <pivotTable tabId="5" name="PivotTable1"/>
    <pivotTable tabId="8" name="PivotTable1"/>
    <pivotTable tabId="7" name="PivotTable1"/>
    <pivotTable tabId="4" name="PivotTable1"/>
    <pivotTable tabId="6" name="PivotTable1"/>
    <pivotTable tabId="9" name="PivotTable1"/>
    <pivotTable tabId="10" name="PivotTable1"/>
  </pivotTables>
  <data>
    <olap pivotCacheId="168955275">
      <levels count="2">
        <level uniqueName="[Table2].[Age Groups].[(All)]" sourceCaption="(All)" count="0"/>
        <level uniqueName="[Table2].[Age Groups].[Age Groups]" sourceCaption="Age Groups" count="7">
          <ranges>
            <range startItem="0">
              <i n="[Table2].[Age Groups].&amp;[Baby Boomers]" c="Baby Boomers"/>
              <i n="[Table2].[Age Groups].&amp;[Gen A]" c="Gen A"/>
              <i n="[Table2].[Age Groups].&amp;[Gen X]" c="Gen X"/>
              <i n="[Table2].[Age Groups].&amp;[Gen Z]" c="Gen Z"/>
              <i n="[Table2].[Age Groups].&amp;[Greatest]" c="Greatest"/>
              <i n="[Table2].[Age Groups].&amp;[Millenials]" c="Millenials"/>
              <i n="[Table2].[Age Groups].&amp;[Silent]" c="Silent"/>
            </range>
          </ranges>
        </level>
      </levels>
      <selections count="1">
        <selection n="[Table2].[Age Group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s" xr10:uid="{569D6BF4-1693-4E5C-BC49-1A44C6F2D5AC}" cache="Slicer_Age_Groups" caption="Age Groups" columnCount="7" showCaption="0" level="1" style="Costco"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11734C-72E8-4140-8797-BA6940A3DBD6}" name="Table2" displayName="Table2" ref="A1:M2001" totalsRowShown="0">
  <autoFilter ref="A1:M2001" xr:uid="{FC11734C-72E8-4140-8797-BA6940A3DBD6}"/>
  <tableColumns count="13">
    <tableColumn id="1" xr3:uid="{F5FEF278-EA6C-4F90-AF52-15CC0B19FF8C}" name="CustomerID"/>
    <tableColumn id="2" xr3:uid="{EB0286A1-1EE7-4E34-B604-EDC81E27D711}" name="Gender"/>
    <tableColumn id="3" xr3:uid="{2D25C5B5-68DD-4841-9830-9B8106C09515}" name="Age"/>
    <tableColumn id="9" xr3:uid="{E0071154-ACC8-4B51-89B6-EF5B7D881383}" name="Age Groups" dataDxfId="5">
      <calculatedColumnFormula array="1">_xlfn.IFS(Table2[[#This Row],[Age]]&lt;=11,"Gen A",Table2[[#This Row],[Age]]&lt;=27,"Gen Z",Table2[[#This Row],[Age]]&lt;=43,"Millenials",Table2[[#This Row],[Age]]&lt;=59,"Gen X",Table2[[#This Row],[Age]]&lt;=78,"Baby Boomers",Table2[[#This Row],[Age]]&lt;=96,"Silent",Table2[[#This Row],[Age]]&gt;=97,"Greatest")</calculatedColumnFormula>
    </tableColumn>
    <tableColumn id="4" xr3:uid="{F9BF7B92-4DE3-44EF-9613-3C18013B3C5F}" name="Annual Income ($)" dataDxfId="4"/>
    <tableColumn id="5" xr3:uid="{A239BD42-96A1-4C42-B70D-647A53912C78}" name="Spending Score (1-100)"/>
    <tableColumn id="10" xr3:uid="{F7B30DCC-8D60-495C-A676-F2DB0FFCFB16}" name="Spending Category" dataDxfId="3">
      <calculatedColumnFormula array="1">_xlfn.IFS(Table2[[#This Row],[Spending Score (1-100)]]&lt;=25,"Low",Table2[[#This Row],[Spending Score (1-100)]]&lt;=50,"Medium",Table2[[#This Row],[Spending Score (1-100)]]&lt;=75,"High",Table2[[#This Row],[Spending Score (1-100)]]&lt;=100,"Very High")</calculatedColumnFormula>
    </tableColumn>
    <tableColumn id="6" xr3:uid="{C442A225-96B0-40FE-BE3C-76457B733A23}" name="Profession"/>
    <tableColumn id="7" xr3:uid="{F08357F2-CB67-4E3B-BA0A-E5ACDC9273F4}" name="Work Experience"/>
    <tableColumn id="12" xr3:uid="{32C688F8-CBCC-4AA9-A04A-40A0F60EFA7E}" name="Work Experience2" dataDxfId="2">
      <calculatedColumnFormula>CONCATENATE(Table2[[#This Row],[Work Experience]],"years")</calculatedColumnFormula>
    </tableColumn>
    <tableColumn id="11" xr3:uid="{3ED905ED-F2D3-4747-AAE7-98F265E44F8C}" name="Family Size_second" dataDxfId="1">
      <calculatedColumnFormula>CONCATENATE(Table2[[#This Row],[Family Size2]],"members")</calculatedColumnFormula>
    </tableColumn>
    <tableColumn id="13" xr3:uid="{26895F7E-C17A-4DE3-8F0E-B5807C2AEF69}" name="Family Size_member" dataDxfId="0">
      <calculatedColumnFormula>CONCATENATE(Table2[[#This Row],[Family Size2]],"members")</calculatedColumnFormula>
    </tableColumn>
    <tableColumn id="8" xr3:uid="{654BC65F-961D-4A9C-BA1F-0651E1077312}" name="Family Size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F0000"/>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D136B-B016-409B-B755-AF8E80D01C63}">
  <dimension ref="A1:H2001"/>
  <sheetViews>
    <sheetView zoomScale="90" zoomScaleNormal="90" workbookViewId="0">
      <selection activeCell="O23" sqref="O23"/>
    </sheetView>
  </sheetViews>
  <sheetFormatPr defaultRowHeight="14.25"/>
  <cols>
    <col min="1" max="1" width="11.125" customWidth="1"/>
    <col min="2" max="2" width="14.625" customWidth="1"/>
    <col min="3" max="3" width="13.25" customWidth="1"/>
    <col min="4" max="4" width="18.75" customWidth="1"/>
    <col min="5" max="5" width="25.25" customWidth="1"/>
    <col min="6" max="6" width="14.875" customWidth="1"/>
    <col min="7" max="7" width="20.875" customWidth="1"/>
    <col min="8" max="8" width="12.125" customWidth="1"/>
  </cols>
  <sheetData>
    <row r="1" spans="1:8">
      <c r="A1" t="s">
        <v>0</v>
      </c>
      <c r="B1" t="s">
        <v>1</v>
      </c>
      <c r="C1" t="s">
        <v>2</v>
      </c>
      <c r="D1" t="s">
        <v>3</v>
      </c>
      <c r="E1" t="s">
        <v>4</v>
      </c>
      <c r="F1" t="s">
        <v>5</v>
      </c>
      <c r="G1" t="s">
        <v>6</v>
      </c>
      <c r="H1" t="s">
        <v>7</v>
      </c>
    </row>
    <row r="2" spans="1:8">
      <c r="A2">
        <v>1</v>
      </c>
      <c r="B2" t="s">
        <v>8</v>
      </c>
      <c r="C2">
        <v>19</v>
      </c>
      <c r="D2">
        <v>15000</v>
      </c>
      <c r="E2">
        <v>39</v>
      </c>
      <c r="F2" t="s">
        <v>9</v>
      </c>
      <c r="G2">
        <v>1</v>
      </c>
      <c r="H2">
        <v>4</v>
      </c>
    </row>
    <row r="3" spans="1:8">
      <c r="A3">
        <v>2</v>
      </c>
      <c r="B3" t="s">
        <v>8</v>
      </c>
      <c r="C3">
        <v>21</v>
      </c>
      <c r="D3">
        <v>35000</v>
      </c>
      <c r="E3">
        <v>81</v>
      </c>
      <c r="F3" t="s">
        <v>10</v>
      </c>
      <c r="G3">
        <v>3</v>
      </c>
      <c r="H3">
        <v>3</v>
      </c>
    </row>
    <row r="4" spans="1:8">
      <c r="A4">
        <v>3</v>
      </c>
      <c r="B4" t="s">
        <v>11</v>
      </c>
      <c r="C4">
        <v>20</v>
      </c>
      <c r="D4">
        <v>86000</v>
      </c>
      <c r="E4">
        <v>6</v>
      </c>
      <c r="F4" t="s">
        <v>10</v>
      </c>
      <c r="G4">
        <v>1</v>
      </c>
      <c r="H4">
        <v>1</v>
      </c>
    </row>
    <row r="5" spans="1:8">
      <c r="A5">
        <v>4</v>
      </c>
      <c r="B5" t="s">
        <v>11</v>
      </c>
      <c r="C5">
        <v>23</v>
      </c>
      <c r="D5">
        <v>59000</v>
      </c>
      <c r="E5">
        <v>77</v>
      </c>
      <c r="F5" t="s">
        <v>12</v>
      </c>
      <c r="G5">
        <v>0</v>
      </c>
      <c r="H5">
        <v>2</v>
      </c>
    </row>
    <row r="6" spans="1:8">
      <c r="A6">
        <v>5</v>
      </c>
      <c r="B6" t="s">
        <v>11</v>
      </c>
      <c r="C6">
        <v>31</v>
      </c>
      <c r="D6">
        <v>38000</v>
      </c>
      <c r="E6">
        <v>40</v>
      </c>
      <c r="F6" t="s">
        <v>13</v>
      </c>
      <c r="G6">
        <v>2</v>
      </c>
      <c r="H6">
        <v>6</v>
      </c>
    </row>
    <row r="7" spans="1:8">
      <c r="A7">
        <v>6</v>
      </c>
      <c r="B7" t="s">
        <v>11</v>
      </c>
      <c r="C7">
        <v>22</v>
      </c>
      <c r="D7">
        <v>58000</v>
      </c>
      <c r="E7">
        <v>76</v>
      </c>
      <c r="F7" t="s">
        <v>14</v>
      </c>
      <c r="G7">
        <v>0</v>
      </c>
      <c r="H7">
        <v>2</v>
      </c>
    </row>
    <row r="8" spans="1:8">
      <c r="A8">
        <v>7</v>
      </c>
      <c r="B8" t="s">
        <v>11</v>
      </c>
      <c r="C8">
        <v>35</v>
      </c>
      <c r="D8">
        <v>31000</v>
      </c>
      <c r="E8">
        <v>6</v>
      </c>
      <c r="F8" t="s">
        <v>9</v>
      </c>
      <c r="G8">
        <v>1</v>
      </c>
      <c r="H8">
        <v>3</v>
      </c>
    </row>
    <row r="9" spans="1:8">
      <c r="A9">
        <v>8</v>
      </c>
      <c r="B9" t="s">
        <v>11</v>
      </c>
      <c r="C9">
        <v>23</v>
      </c>
      <c r="D9">
        <v>84000</v>
      </c>
      <c r="E9">
        <v>94</v>
      </c>
      <c r="F9" t="s">
        <v>9</v>
      </c>
      <c r="G9">
        <v>1</v>
      </c>
      <c r="H9">
        <v>3</v>
      </c>
    </row>
    <row r="10" spans="1:8">
      <c r="A10">
        <v>9</v>
      </c>
      <c r="B10" t="s">
        <v>8</v>
      </c>
      <c r="C10">
        <v>64</v>
      </c>
      <c r="D10">
        <v>97000</v>
      </c>
      <c r="E10">
        <v>3</v>
      </c>
      <c r="F10" t="s">
        <v>10</v>
      </c>
      <c r="G10">
        <v>0</v>
      </c>
      <c r="H10">
        <v>3</v>
      </c>
    </row>
    <row r="11" spans="1:8">
      <c r="A11">
        <v>10</v>
      </c>
      <c r="B11" t="s">
        <v>11</v>
      </c>
      <c r="C11">
        <v>30</v>
      </c>
      <c r="D11">
        <v>98000</v>
      </c>
      <c r="E11">
        <v>72</v>
      </c>
      <c r="F11" t="s">
        <v>14</v>
      </c>
      <c r="G11">
        <v>1</v>
      </c>
      <c r="H11">
        <v>4</v>
      </c>
    </row>
    <row r="12" spans="1:8">
      <c r="A12">
        <v>11</v>
      </c>
      <c r="B12" t="s">
        <v>8</v>
      </c>
      <c r="C12">
        <v>67</v>
      </c>
      <c r="D12">
        <v>7000</v>
      </c>
      <c r="E12">
        <v>14</v>
      </c>
      <c r="F12" t="s">
        <v>10</v>
      </c>
      <c r="G12">
        <v>1</v>
      </c>
      <c r="H12">
        <v>3</v>
      </c>
    </row>
    <row r="13" spans="1:8">
      <c r="A13">
        <v>12</v>
      </c>
      <c r="B13" t="s">
        <v>11</v>
      </c>
      <c r="C13">
        <v>35</v>
      </c>
      <c r="D13">
        <v>93000</v>
      </c>
      <c r="E13">
        <v>99</v>
      </c>
      <c r="F13" t="s">
        <v>9</v>
      </c>
      <c r="G13">
        <v>4</v>
      </c>
      <c r="H13">
        <v>4</v>
      </c>
    </row>
    <row r="14" spans="1:8">
      <c r="A14">
        <v>13</v>
      </c>
      <c r="B14" t="s">
        <v>11</v>
      </c>
      <c r="C14">
        <v>58</v>
      </c>
      <c r="D14">
        <v>80000</v>
      </c>
      <c r="E14">
        <v>15</v>
      </c>
      <c r="F14" t="s">
        <v>15</v>
      </c>
      <c r="G14">
        <v>0</v>
      </c>
      <c r="H14">
        <v>5</v>
      </c>
    </row>
    <row r="15" spans="1:8">
      <c r="A15">
        <v>14</v>
      </c>
      <c r="B15" t="s">
        <v>11</v>
      </c>
      <c r="C15">
        <v>24</v>
      </c>
      <c r="D15">
        <v>91000</v>
      </c>
      <c r="E15">
        <v>77</v>
      </c>
      <c r="F15" t="s">
        <v>12</v>
      </c>
      <c r="G15">
        <v>1</v>
      </c>
      <c r="H15">
        <v>1</v>
      </c>
    </row>
    <row r="16" spans="1:8">
      <c r="A16">
        <v>15</v>
      </c>
      <c r="B16" t="s">
        <v>8</v>
      </c>
      <c r="C16">
        <v>37</v>
      </c>
      <c r="D16">
        <v>19000</v>
      </c>
      <c r="E16">
        <v>13</v>
      </c>
      <c r="F16" t="s">
        <v>16</v>
      </c>
      <c r="G16">
        <v>0</v>
      </c>
      <c r="H16">
        <v>1</v>
      </c>
    </row>
    <row r="17" spans="1:8">
      <c r="A17">
        <v>16</v>
      </c>
      <c r="B17" t="s">
        <v>8</v>
      </c>
      <c r="C17">
        <v>22</v>
      </c>
      <c r="D17">
        <v>51000</v>
      </c>
      <c r="E17">
        <v>79</v>
      </c>
      <c r="F17" t="s">
        <v>9</v>
      </c>
      <c r="G17">
        <v>1</v>
      </c>
      <c r="H17">
        <v>2</v>
      </c>
    </row>
    <row r="18" spans="1:8">
      <c r="A18">
        <v>17</v>
      </c>
      <c r="B18" t="s">
        <v>11</v>
      </c>
      <c r="C18">
        <v>35</v>
      </c>
      <c r="D18">
        <v>29000</v>
      </c>
      <c r="E18">
        <v>35</v>
      </c>
      <c r="F18" t="s">
        <v>17</v>
      </c>
      <c r="G18">
        <v>9</v>
      </c>
      <c r="H18">
        <v>5</v>
      </c>
    </row>
    <row r="19" spans="1:8">
      <c r="A19">
        <v>18</v>
      </c>
      <c r="B19" t="s">
        <v>8</v>
      </c>
      <c r="C19">
        <v>20</v>
      </c>
      <c r="D19">
        <v>89000</v>
      </c>
      <c r="E19">
        <v>66</v>
      </c>
      <c r="F19" t="s">
        <v>9</v>
      </c>
      <c r="G19">
        <v>1</v>
      </c>
      <c r="H19">
        <v>6</v>
      </c>
    </row>
    <row r="20" spans="1:8">
      <c r="A20">
        <v>19</v>
      </c>
      <c r="B20" t="s">
        <v>8</v>
      </c>
      <c r="C20">
        <v>52</v>
      </c>
      <c r="D20">
        <v>20000</v>
      </c>
      <c r="E20">
        <v>29</v>
      </c>
      <c r="F20" t="s">
        <v>13</v>
      </c>
      <c r="G20">
        <v>1</v>
      </c>
      <c r="H20">
        <v>4</v>
      </c>
    </row>
    <row r="21" spans="1:8">
      <c r="A21">
        <v>20</v>
      </c>
      <c r="B21" t="s">
        <v>11</v>
      </c>
      <c r="C21">
        <v>35</v>
      </c>
      <c r="D21">
        <v>62000</v>
      </c>
      <c r="E21">
        <v>98</v>
      </c>
      <c r="F21" t="s">
        <v>14</v>
      </c>
      <c r="G21">
        <v>0</v>
      </c>
      <c r="H21">
        <v>1</v>
      </c>
    </row>
    <row r="22" spans="1:8">
      <c r="A22">
        <v>21</v>
      </c>
      <c r="B22" t="s">
        <v>8</v>
      </c>
      <c r="C22">
        <v>35</v>
      </c>
      <c r="D22">
        <v>96000</v>
      </c>
      <c r="E22">
        <v>35</v>
      </c>
      <c r="F22" t="s">
        <v>17</v>
      </c>
      <c r="G22">
        <v>12</v>
      </c>
      <c r="H22">
        <v>1</v>
      </c>
    </row>
    <row r="23" spans="1:8">
      <c r="A23">
        <v>22</v>
      </c>
      <c r="B23" t="s">
        <v>8</v>
      </c>
      <c r="C23">
        <v>25</v>
      </c>
      <c r="D23">
        <v>4000</v>
      </c>
      <c r="E23">
        <v>73</v>
      </c>
      <c r="F23" t="s">
        <v>9</v>
      </c>
      <c r="G23">
        <v>3</v>
      </c>
      <c r="H23">
        <v>4</v>
      </c>
    </row>
    <row r="24" spans="1:8">
      <c r="A24">
        <v>23</v>
      </c>
      <c r="B24" t="s">
        <v>11</v>
      </c>
      <c r="C24">
        <v>46</v>
      </c>
      <c r="D24">
        <v>42000</v>
      </c>
      <c r="E24">
        <v>5</v>
      </c>
      <c r="F24" t="s">
        <v>14</v>
      </c>
      <c r="G24">
        <v>13</v>
      </c>
      <c r="H24">
        <v>2</v>
      </c>
    </row>
    <row r="25" spans="1:8">
      <c r="A25">
        <v>24</v>
      </c>
      <c r="B25" t="s">
        <v>8</v>
      </c>
      <c r="C25">
        <v>31</v>
      </c>
      <c r="D25">
        <v>71000</v>
      </c>
      <c r="E25">
        <v>73</v>
      </c>
      <c r="F25" t="s">
        <v>14</v>
      </c>
      <c r="G25">
        <v>5</v>
      </c>
      <c r="H25">
        <v>2</v>
      </c>
    </row>
    <row r="26" spans="1:8">
      <c r="A26">
        <v>25</v>
      </c>
      <c r="B26" t="s">
        <v>11</v>
      </c>
      <c r="C26">
        <v>54</v>
      </c>
      <c r="D26">
        <v>67000</v>
      </c>
      <c r="E26">
        <v>14</v>
      </c>
      <c r="F26" t="s">
        <v>15</v>
      </c>
      <c r="G26">
        <v>1</v>
      </c>
      <c r="H26">
        <v>3</v>
      </c>
    </row>
    <row r="27" spans="1:8">
      <c r="A27">
        <v>26</v>
      </c>
      <c r="B27" t="s">
        <v>8</v>
      </c>
      <c r="C27">
        <v>29</v>
      </c>
      <c r="D27">
        <v>52000</v>
      </c>
      <c r="E27">
        <v>82</v>
      </c>
      <c r="F27" t="s">
        <v>14</v>
      </c>
      <c r="G27">
        <v>1</v>
      </c>
      <c r="H27">
        <v>3</v>
      </c>
    </row>
    <row r="28" spans="1:8">
      <c r="A28">
        <v>27</v>
      </c>
      <c r="B28" t="s">
        <v>11</v>
      </c>
      <c r="C28">
        <v>45</v>
      </c>
      <c r="D28">
        <v>68000</v>
      </c>
      <c r="E28">
        <v>32</v>
      </c>
      <c r="F28" t="s">
        <v>9</v>
      </c>
      <c r="G28">
        <v>9</v>
      </c>
      <c r="H28">
        <v>8</v>
      </c>
    </row>
    <row r="29" spans="1:8">
      <c r="A29">
        <v>28</v>
      </c>
      <c r="B29" t="s">
        <v>8</v>
      </c>
      <c r="C29">
        <v>35</v>
      </c>
      <c r="D29">
        <v>78000</v>
      </c>
      <c r="E29">
        <v>61</v>
      </c>
      <c r="F29" t="s">
        <v>14</v>
      </c>
      <c r="G29">
        <v>1</v>
      </c>
      <c r="H29">
        <v>3</v>
      </c>
    </row>
    <row r="30" spans="1:8">
      <c r="A30">
        <v>29</v>
      </c>
      <c r="B30" t="s">
        <v>11</v>
      </c>
      <c r="C30">
        <v>40</v>
      </c>
      <c r="D30">
        <v>18000</v>
      </c>
      <c r="E30">
        <v>31</v>
      </c>
      <c r="F30" t="s">
        <v>14</v>
      </c>
      <c r="G30">
        <v>0</v>
      </c>
      <c r="H30">
        <v>1</v>
      </c>
    </row>
    <row r="31" spans="1:8">
      <c r="A31">
        <v>30</v>
      </c>
      <c r="B31" t="s">
        <v>11</v>
      </c>
      <c r="C31">
        <v>23</v>
      </c>
      <c r="D31">
        <v>20000</v>
      </c>
      <c r="E31">
        <v>87</v>
      </c>
      <c r="F31" t="s">
        <v>14</v>
      </c>
      <c r="G31">
        <v>5</v>
      </c>
      <c r="H31">
        <v>4</v>
      </c>
    </row>
    <row r="32" spans="1:8">
      <c r="A32">
        <v>31</v>
      </c>
      <c r="B32" t="s">
        <v>8</v>
      </c>
      <c r="C32">
        <v>60</v>
      </c>
      <c r="D32">
        <v>39000</v>
      </c>
      <c r="E32">
        <v>4</v>
      </c>
      <c r="F32" t="s">
        <v>14</v>
      </c>
      <c r="G32">
        <v>0</v>
      </c>
      <c r="H32">
        <v>3</v>
      </c>
    </row>
    <row r="33" spans="1:8">
      <c r="A33">
        <v>32</v>
      </c>
      <c r="B33" t="s">
        <v>11</v>
      </c>
      <c r="C33">
        <v>21</v>
      </c>
      <c r="D33">
        <v>34000</v>
      </c>
      <c r="E33">
        <v>73</v>
      </c>
      <c r="F33" t="s">
        <v>16</v>
      </c>
      <c r="G33">
        <v>1</v>
      </c>
      <c r="H33">
        <v>2</v>
      </c>
    </row>
    <row r="34" spans="1:8">
      <c r="A34">
        <v>33</v>
      </c>
      <c r="B34" t="s">
        <v>8</v>
      </c>
      <c r="C34">
        <v>53</v>
      </c>
      <c r="D34">
        <v>59000</v>
      </c>
      <c r="E34">
        <v>4</v>
      </c>
      <c r="F34" t="s">
        <v>9</v>
      </c>
      <c r="G34">
        <v>1</v>
      </c>
      <c r="H34">
        <v>3</v>
      </c>
    </row>
    <row r="35" spans="1:8">
      <c r="A35">
        <v>34</v>
      </c>
      <c r="B35" t="s">
        <v>8</v>
      </c>
      <c r="C35">
        <v>18</v>
      </c>
      <c r="D35">
        <v>62000</v>
      </c>
      <c r="E35">
        <v>92</v>
      </c>
      <c r="F35" t="s">
        <v>17</v>
      </c>
      <c r="G35">
        <v>9</v>
      </c>
      <c r="H35">
        <v>7</v>
      </c>
    </row>
    <row r="36" spans="1:8">
      <c r="A36">
        <v>35</v>
      </c>
      <c r="B36" t="s">
        <v>11</v>
      </c>
      <c r="C36">
        <v>49</v>
      </c>
      <c r="D36">
        <v>91000</v>
      </c>
      <c r="E36">
        <v>14</v>
      </c>
      <c r="F36" t="s">
        <v>12</v>
      </c>
      <c r="G36">
        <v>1</v>
      </c>
      <c r="H36">
        <v>2</v>
      </c>
    </row>
    <row r="37" spans="1:8">
      <c r="A37">
        <v>36</v>
      </c>
      <c r="B37" t="s">
        <v>11</v>
      </c>
      <c r="C37">
        <v>21</v>
      </c>
      <c r="D37">
        <v>95000</v>
      </c>
      <c r="E37">
        <v>81</v>
      </c>
      <c r="F37" t="s">
        <v>9</v>
      </c>
      <c r="G37">
        <v>3</v>
      </c>
      <c r="H37">
        <v>4</v>
      </c>
    </row>
    <row r="38" spans="1:8">
      <c r="A38">
        <v>37</v>
      </c>
      <c r="B38" t="s">
        <v>11</v>
      </c>
      <c r="C38">
        <v>42</v>
      </c>
      <c r="D38">
        <v>14000</v>
      </c>
      <c r="E38">
        <v>17</v>
      </c>
      <c r="F38" t="s">
        <v>16</v>
      </c>
      <c r="G38">
        <v>5</v>
      </c>
      <c r="H38">
        <v>1</v>
      </c>
    </row>
    <row r="39" spans="1:8">
      <c r="A39">
        <v>38</v>
      </c>
      <c r="B39" t="s">
        <v>11</v>
      </c>
      <c r="C39">
        <v>30</v>
      </c>
      <c r="D39">
        <v>62000</v>
      </c>
      <c r="E39">
        <v>73</v>
      </c>
      <c r="F39" t="s">
        <v>9</v>
      </c>
      <c r="G39">
        <v>1</v>
      </c>
      <c r="H39">
        <v>5</v>
      </c>
    </row>
    <row r="40" spans="1:8">
      <c r="A40">
        <v>39</v>
      </c>
      <c r="B40" t="s">
        <v>11</v>
      </c>
      <c r="C40">
        <v>36</v>
      </c>
      <c r="D40">
        <v>9000</v>
      </c>
      <c r="E40">
        <v>26</v>
      </c>
      <c r="F40" t="s">
        <v>14</v>
      </c>
      <c r="G40">
        <v>8</v>
      </c>
      <c r="H40">
        <v>2</v>
      </c>
    </row>
    <row r="41" spans="1:8">
      <c r="A41">
        <v>40</v>
      </c>
      <c r="B41" t="s">
        <v>11</v>
      </c>
      <c r="C41">
        <v>20</v>
      </c>
      <c r="D41">
        <v>69000</v>
      </c>
      <c r="E41">
        <v>75</v>
      </c>
      <c r="F41" t="s">
        <v>14</v>
      </c>
      <c r="G41">
        <v>8</v>
      </c>
      <c r="H41">
        <v>2</v>
      </c>
    </row>
    <row r="42" spans="1:8">
      <c r="A42">
        <v>41</v>
      </c>
      <c r="B42" t="s">
        <v>11</v>
      </c>
      <c r="C42">
        <v>65</v>
      </c>
      <c r="D42">
        <v>25000</v>
      </c>
      <c r="E42">
        <v>35</v>
      </c>
      <c r="F42" t="s">
        <v>14</v>
      </c>
      <c r="G42">
        <v>4</v>
      </c>
      <c r="H42">
        <v>1</v>
      </c>
    </row>
    <row r="43" spans="1:8">
      <c r="A43">
        <v>42</v>
      </c>
      <c r="B43" t="s">
        <v>8</v>
      </c>
      <c r="C43">
        <v>24</v>
      </c>
      <c r="D43">
        <v>85000</v>
      </c>
      <c r="E43">
        <v>92</v>
      </c>
      <c r="F43" t="s">
        <v>9</v>
      </c>
      <c r="G43">
        <v>0</v>
      </c>
      <c r="H43">
        <v>2</v>
      </c>
    </row>
    <row r="44" spans="1:8">
      <c r="A44">
        <v>43</v>
      </c>
      <c r="B44" t="s">
        <v>8</v>
      </c>
      <c r="C44">
        <v>48</v>
      </c>
      <c r="D44">
        <v>22000</v>
      </c>
      <c r="E44">
        <v>36</v>
      </c>
      <c r="F44" t="s">
        <v>14</v>
      </c>
      <c r="G44">
        <v>14</v>
      </c>
      <c r="H44">
        <v>3</v>
      </c>
    </row>
    <row r="45" spans="1:8">
      <c r="A45">
        <v>44</v>
      </c>
      <c r="B45" t="s">
        <v>11</v>
      </c>
      <c r="C45">
        <v>31</v>
      </c>
      <c r="D45">
        <v>33000</v>
      </c>
      <c r="E45">
        <v>61</v>
      </c>
      <c r="F45" t="s">
        <v>14</v>
      </c>
      <c r="G45">
        <v>1</v>
      </c>
      <c r="H45">
        <v>2</v>
      </c>
    </row>
    <row r="46" spans="1:8">
      <c r="A46">
        <v>45</v>
      </c>
      <c r="B46" t="s">
        <v>11</v>
      </c>
      <c r="C46">
        <v>49</v>
      </c>
      <c r="D46">
        <v>72000</v>
      </c>
      <c r="E46">
        <v>28</v>
      </c>
      <c r="F46" t="s">
        <v>10</v>
      </c>
      <c r="G46">
        <v>8</v>
      </c>
      <c r="H46">
        <v>1</v>
      </c>
    </row>
    <row r="47" spans="1:8">
      <c r="A47">
        <v>46</v>
      </c>
      <c r="B47" t="s">
        <v>11</v>
      </c>
      <c r="C47">
        <v>24</v>
      </c>
      <c r="D47">
        <v>3000</v>
      </c>
      <c r="E47">
        <v>65</v>
      </c>
      <c r="F47" t="s">
        <v>12</v>
      </c>
      <c r="G47">
        <v>4</v>
      </c>
      <c r="H47">
        <v>2</v>
      </c>
    </row>
    <row r="48" spans="1:8">
      <c r="A48">
        <v>47</v>
      </c>
      <c r="B48" t="s">
        <v>11</v>
      </c>
      <c r="C48">
        <v>50</v>
      </c>
      <c r="D48">
        <v>52000</v>
      </c>
      <c r="E48">
        <v>55</v>
      </c>
      <c r="F48" t="s">
        <v>14</v>
      </c>
      <c r="G48">
        <v>0</v>
      </c>
      <c r="H48">
        <v>4</v>
      </c>
    </row>
    <row r="49" spans="1:8">
      <c r="A49">
        <v>48</v>
      </c>
      <c r="B49" t="s">
        <v>11</v>
      </c>
      <c r="C49">
        <v>27</v>
      </c>
      <c r="D49">
        <v>71000</v>
      </c>
      <c r="E49">
        <v>47</v>
      </c>
      <c r="F49" t="s">
        <v>9</v>
      </c>
      <c r="G49">
        <v>12</v>
      </c>
      <c r="H49">
        <v>1</v>
      </c>
    </row>
    <row r="50" spans="1:8">
      <c r="A50">
        <v>49</v>
      </c>
      <c r="B50" t="s">
        <v>11</v>
      </c>
      <c r="C50">
        <v>29</v>
      </c>
      <c r="D50">
        <v>78000</v>
      </c>
      <c r="E50">
        <v>42</v>
      </c>
      <c r="F50" t="s">
        <v>9</v>
      </c>
      <c r="G50">
        <v>0</v>
      </c>
      <c r="H50">
        <v>4</v>
      </c>
    </row>
    <row r="51" spans="1:8">
      <c r="A51">
        <v>50</v>
      </c>
      <c r="B51" t="s">
        <v>11</v>
      </c>
      <c r="C51">
        <v>31</v>
      </c>
      <c r="D51">
        <v>25000</v>
      </c>
      <c r="E51">
        <v>42</v>
      </c>
      <c r="F51" t="s">
        <v>10</v>
      </c>
      <c r="G51">
        <v>1</v>
      </c>
      <c r="H51">
        <v>1</v>
      </c>
    </row>
    <row r="52" spans="1:8">
      <c r="A52">
        <v>51</v>
      </c>
      <c r="B52" t="s">
        <v>11</v>
      </c>
      <c r="C52">
        <v>49</v>
      </c>
      <c r="D52">
        <v>88000</v>
      </c>
      <c r="E52">
        <v>52</v>
      </c>
      <c r="F52" t="s">
        <v>14</v>
      </c>
      <c r="G52">
        <v>1</v>
      </c>
      <c r="H52">
        <v>2</v>
      </c>
    </row>
    <row r="53" spans="1:8">
      <c r="A53">
        <v>52</v>
      </c>
      <c r="B53" t="s">
        <v>8</v>
      </c>
      <c r="C53">
        <v>33</v>
      </c>
      <c r="D53">
        <v>97000</v>
      </c>
      <c r="E53">
        <v>60</v>
      </c>
      <c r="F53" t="s">
        <v>14</v>
      </c>
      <c r="G53">
        <v>1</v>
      </c>
      <c r="H53">
        <v>2</v>
      </c>
    </row>
    <row r="54" spans="1:8">
      <c r="A54">
        <v>53</v>
      </c>
      <c r="B54" t="s">
        <v>11</v>
      </c>
      <c r="C54">
        <v>31</v>
      </c>
      <c r="D54">
        <v>74000</v>
      </c>
      <c r="E54">
        <v>54</v>
      </c>
      <c r="F54" t="s">
        <v>14</v>
      </c>
      <c r="G54">
        <v>1</v>
      </c>
      <c r="H54">
        <v>1</v>
      </c>
    </row>
    <row r="55" spans="1:8">
      <c r="A55">
        <v>54</v>
      </c>
      <c r="B55" t="s">
        <v>8</v>
      </c>
      <c r="C55">
        <v>59</v>
      </c>
      <c r="D55">
        <v>68000</v>
      </c>
      <c r="E55">
        <v>60</v>
      </c>
      <c r="F55" t="s">
        <v>13</v>
      </c>
      <c r="G55">
        <v>0</v>
      </c>
      <c r="H55">
        <v>2</v>
      </c>
    </row>
    <row r="56" spans="1:8">
      <c r="A56">
        <v>55</v>
      </c>
      <c r="B56" t="s">
        <v>11</v>
      </c>
      <c r="C56">
        <v>50</v>
      </c>
      <c r="D56">
        <v>18000</v>
      </c>
      <c r="E56">
        <v>45</v>
      </c>
      <c r="F56" t="s">
        <v>18</v>
      </c>
      <c r="G56">
        <v>1</v>
      </c>
      <c r="H56">
        <v>1</v>
      </c>
    </row>
    <row r="57" spans="1:8">
      <c r="A57">
        <v>56</v>
      </c>
      <c r="B57" t="s">
        <v>8</v>
      </c>
      <c r="C57">
        <v>47</v>
      </c>
      <c r="D57">
        <v>95000</v>
      </c>
      <c r="E57">
        <v>41</v>
      </c>
      <c r="F57" t="s">
        <v>14</v>
      </c>
      <c r="G57">
        <v>14</v>
      </c>
      <c r="H57">
        <v>2</v>
      </c>
    </row>
    <row r="58" spans="1:8">
      <c r="A58">
        <v>57</v>
      </c>
      <c r="B58" t="s">
        <v>11</v>
      </c>
      <c r="C58">
        <v>51</v>
      </c>
      <c r="D58">
        <v>71000</v>
      </c>
      <c r="E58">
        <v>50</v>
      </c>
      <c r="F58" t="s">
        <v>9</v>
      </c>
      <c r="G58">
        <v>9</v>
      </c>
      <c r="H58">
        <v>4</v>
      </c>
    </row>
    <row r="59" spans="1:8">
      <c r="A59">
        <v>58</v>
      </c>
      <c r="B59" t="s">
        <v>8</v>
      </c>
      <c r="C59">
        <v>69</v>
      </c>
      <c r="D59">
        <v>8000</v>
      </c>
      <c r="E59">
        <v>46</v>
      </c>
      <c r="F59" t="s">
        <v>16</v>
      </c>
      <c r="G59">
        <v>8</v>
      </c>
      <c r="H59">
        <v>2</v>
      </c>
    </row>
    <row r="60" spans="1:8">
      <c r="A60">
        <v>59</v>
      </c>
      <c r="B60" t="s">
        <v>11</v>
      </c>
      <c r="C60">
        <v>27</v>
      </c>
      <c r="D60">
        <v>57000</v>
      </c>
      <c r="E60">
        <v>51</v>
      </c>
      <c r="F60" t="s">
        <v>14</v>
      </c>
      <c r="G60">
        <v>1</v>
      </c>
      <c r="H60">
        <v>3</v>
      </c>
    </row>
    <row r="61" spans="1:8">
      <c r="A61">
        <v>60</v>
      </c>
      <c r="B61" t="s">
        <v>8</v>
      </c>
      <c r="C61">
        <v>53</v>
      </c>
      <c r="D61">
        <v>89000</v>
      </c>
      <c r="E61">
        <v>46</v>
      </c>
      <c r="F61" t="s">
        <v>12</v>
      </c>
      <c r="G61">
        <v>1</v>
      </c>
      <c r="H61">
        <v>6</v>
      </c>
    </row>
    <row r="62" spans="1:8">
      <c r="A62">
        <v>61</v>
      </c>
      <c r="B62" t="s">
        <v>8</v>
      </c>
      <c r="C62">
        <v>70</v>
      </c>
      <c r="D62">
        <v>84000</v>
      </c>
      <c r="E62">
        <v>56</v>
      </c>
      <c r="F62" t="s">
        <v>14</v>
      </c>
      <c r="G62">
        <v>0</v>
      </c>
      <c r="H62">
        <v>2</v>
      </c>
    </row>
    <row r="63" spans="1:8">
      <c r="A63">
        <v>62</v>
      </c>
      <c r="B63" t="s">
        <v>8</v>
      </c>
      <c r="C63">
        <v>19</v>
      </c>
      <c r="D63">
        <v>50000</v>
      </c>
      <c r="E63">
        <v>55</v>
      </c>
      <c r="F63" t="s">
        <v>14</v>
      </c>
      <c r="G63">
        <v>9</v>
      </c>
      <c r="H63">
        <v>2</v>
      </c>
    </row>
    <row r="64" spans="1:8">
      <c r="A64">
        <v>63</v>
      </c>
      <c r="B64" t="s">
        <v>11</v>
      </c>
      <c r="C64">
        <v>67</v>
      </c>
      <c r="D64">
        <v>50000</v>
      </c>
      <c r="E64">
        <v>52</v>
      </c>
      <c r="F64" t="s">
        <v>12</v>
      </c>
      <c r="G64">
        <v>0</v>
      </c>
      <c r="H64">
        <v>3</v>
      </c>
    </row>
    <row r="65" spans="1:8">
      <c r="A65">
        <v>64</v>
      </c>
      <c r="B65" t="s">
        <v>11</v>
      </c>
      <c r="C65">
        <v>54</v>
      </c>
      <c r="D65">
        <v>48000</v>
      </c>
      <c r="E65">
        <v>59</v>
      </c>
      <c r="F65" t="s">
        <v>12</v>
      </c>
      <c r="G65">
        <v>1</v>
      </c>
      <c r="H65">
        <v>2</v>
      </c>
    </row>
    <row r="66" spans="1:8">
      <c r="A66">
        <v>65</v>
      </c>
      <c r="B66" t="s">
        <v>8</v>
      </c>
      <c r="C66">
        <v>63</v>
      </c>
      <c r="D66">
        <v>63000</v>
      </c>
      <c r="E66">
        <v>51</v>
      </c>
      <c r="F66" t="s">
        <v>12</v>
      </c>
      <c r="G66">
        <v>7</v>
      </c>
      <c r="H66">
        <v>2</v>
      </c>
    </row>
    <row r="67" spans="1:8">
      <c r="A67">
        <v>66</v>
      </c>
      <c r="B67" t="s">
        <v>8</v>
      </c>
      <c r="C67">
        <v>18</v>
      </c>
      <c r="D67">
        <v>9000</v>
      </c>
      <c r="E67">
        <v>59</v>
      </c>
      <c r="F67" t="s">
        <v>13</v>
      </c>
      <c r="G67">
        <v>0</v>
      </c>
      <c r="H67">
        <v>2</v>
      </c>
    </row>
    <row r="68" spans="1:8">
      <c r="A68">
        <v>67</v>
      </c>
      <c r="B68" t="s">
        <v>11</v>
      </c>
      <c r="C68">
        <v>43</v>
      </c>
      <c r="D68">
        <v>3000</v>
      </c>
      <c r="E68">
        <v>50</v>
      </c>
      <c r="F68" t="s">
        <v>16</v>
      </c>
      <c r="G68">
        <v>0</v>
      </c>
      <c r="H68">
        <v>2</v>
      </c>
    </row>
    <row r="69" spans="1:8">
      <c r="A69">
        <v>68</v>
      </c>
      <c r="B69" t="s">
        <v>11</v>
      </c>
      <c r="C69">
        <v>68</v>
      </c>
      <c r="D69">
        <v>82000</v>
      </c>
      <c r="E69">
        <v>48</v>
      </c>
      <c r="F69" t="s">
        <v>14</v>
      </c>
      <c r="G69">
        <v>8</v>
      </c>
      <c r="H69">
        <v>4</v>
      </c>
    </row>
    <row r="70" spans="1:8">
      <c r="A70">
        <v>69</v>
      </c>
      <c r="B70" t="s">
        <v>8</v>
      </c>
      <c r="C70">
        <v>19</v>
      </c>
      <c r="D70">
        <v>81000</v>
      </c>
      <c r="E70">
        <v>59</v>
      </c>
      <c r="F70" t="s">
        <v>14</v>
      </c>
      <c r="G70">
        <v>0</v>
      </c>
      <c r="H70">
        <v>4</v>
      </c>
    </row>
    <row r="71" spans="1:8">
      <c r="A71">
        <v>70</v>
      </c>
      <c r="B71" t="s">
        <v>11</v>
      </c>
      <c r="C71">
        <v>32</v>
      </c>
      <c r="D71">
        <v>97000</v>
      </c>
      <c r="E71">
        <v>47</v>
      </c>
      <c r="F71" t="s">
        <v>17</v>
      </c>
      <c r="G71">
        <v>2</v>
      </c>
      <c r="H71">
        <v>2</v>
      </c>
    </row>
    <row r="72" spans="1:8">
      <c r="A72">
        <v>71</v>
      </c>
      <c r="B72" t="s">
        <v>8</v>
      </c>
      <c r="C72">
        <v>70</v>
      </c>
      <c r="D72">
        <v>91000</v>
      </c>
      <c r="E72">
        <v>55</v>
      </c>
      <c r="F72" t="s">
        <v>9</v>
      </c>
      <c r="G72">
        <v>8</v>
      </c>
      <c r="H72">
        <v>2</v>
      </c>
    </row>
    <row r="73" spans="1:8">
      <c r="A73">
        <v>72</v>
      </c>
      <c r="B73" t="s">
        <v>11</v>
      </c>
      <c r="C73">
        <v>47</v>
      </c>
      <c r="D73">
        <v>9000</v>
      </c>
      <c r="E73">
        <v>42</v>
      </c>
      <c r="F73" t="s">
        <v>13</v>
      </c>
      <c r="G73">
        <v>8</v>
      </c>
      <c r="H73">
        <v>2</v>
      </c>
    </row>
    <row r="74" spans="1:8">
      <c r="A74">
        <v>73</v>
      </c>
      <c r="B74" t="s">
        <v>11</v>
      </c>
      <c r="C74">
        <v>60</v>
      </c>
      <c r="D74">
        <v>44000</v>
      </c>
      <c r="E74">
        <v>49</v>
      </c>
      <c r="F74" t="s">
        <v>14</v>
      </c>
      <c r="G74">
        <v>0</v>
      </c>
      <c r="H74">
        <v>5</v>
      </c>
    </row>
    <row r="75" spans="1:8">
      <c r="A75">
        <v>74</v>
      </c>
      <c r="B75" t="s">
        <v>11</v>
      </c>
      <c r="C75">
        <v>60</v>
      </c>
      <c r="D75">
        <v>10000</v>
      </c>
      <c r="E75">
        <v>56</v>
      </c>
      <c r="F75" t="s">
        <v>9</v>
      </c>
      <c r="G75">
        <v>8</v>
      </c>
      <c r="H75">
        <v>4</v>
      </c>
    </row>
    <row r="76" spans="1:8">
      <c r="A76">
        <v>75</v>
      </c>
      <c r="B76" t="s">
        <v>8</v>
      </c>
      <c r="C76">
        <v>59</v>
      </c>
      <c r="D76">
        <v>89000</v>
      </c>
      <c r="E76">
        <v>47</v>
      </c>
      <c r="F76" t="s">
        <v>14</v>
      </c>
      <c r="G76">
        <v>0</v>
      </c>
      <c r="H76">
        <v>4</v>
      </c>
    </row>
    <row r="77" spans="1:8">
      <c r="A77">
        <v>76</v>
      </c>
      <c r="B77" t="s">
        <v>8</v>
      </c>
      <c r="C77">
        <v>26</v>
      </c>
      <c r="D77">
        <v>49000</v>
      </c>
      <c r="E77">
        <v>54</v>
      </c>
      <c r="F77" t="s">
        <v>17</v>
      </c>
      <c r="G77">
        <v>0</v>
      </c>
      <c r="H77">
        <v>3</v>
      </c>
    </row>
    <row r="78" spans="1:8">
      <c r="A78">
        <v>77</v>
      </c>
      <c r="B78" t="s">
        <v>11</v>
      </c>
      <c r="C78">
        <v>45</v>
      </c>
      <c r="D78">
        <v>67000</v>
      </c>
      <c r="E78">
        <v>53</v>
      </c>
      <c r="F78" t="s">
        <v>16</v>
      </c>
      <c r="G78">
        <v>0</v>
      </c>
      <c r="H78">
        <v>2</v>
      </c>
    </row>
    <row r="79" spans="1:8">
      <c r="A79">
        <v>78</v>
      </c>
      <c r="B79" t="s">
        <v>8</v>
      </c>
      <c r="C79">
        <v>40</v>
      </c>
      <c r="D79">
        <v>99000</v>
      </c>
      <c r="E79">
        <v>48</v>
      </c>
      <c r="F79" t="s">
        <v>14</v>
      </c>
      <c r="G79">
        <v>4</v>
      </c>
      <c r="H79">
        <v>3</v>
      </c>
    </row>
    <row r="80" spans="1:8">
      <c r="A80">
        <v>79</v>
      </c>
      <c r="B80" t="s">
        <v>11</v>
      </c>
      <c r="C80">
        <v>23</v>
      </c>
      <c r="D80">
        <v>97000</v>
      </c>
      <c r="E80">
        <v>52</v>
      </c>
      <c r="F80" t="s">
        <v>10</v>
      </c>
      <c r="G80">
        <v>2</v>
      </c>
      <c r="H80">
        <v>2</v>
      </c>
    </row>
    <row r="81" spans="1:8">
      <c r="A81">
        <v>80</v>
      </c>
      <c r="B81" t="s">
        <v>11</v>
      </c>
      <c r="C81">
        <v>49</v>
      </c>
      <c r="D81">
        <v>98000</v>
      </c>
      <c r="E81">
        <v>42</v>
      </c>
      <c r="G81">
        <v>1</v>
      </c>
      <c r="H81">
        <v>1</v>
      </c>
    </row>
    <row r="82" spans="1:8">
      <c r="A82">
        <v>81</v>
      </c>
      <c r="B82" t="s">
        <v>8</v>
      </c>
      <c r="C82">
        <v>57</v>
      </c>
      <c r="D82">
        <v>52000</v>
      </c>
      <c r="E82">
        <v>51</v>
      </c>
      <c r="F82" t="s">
        <v>9</v>
      </c>
      <c r="G82">
        <v>0</v>
      </c>
      <c r="H82">
        <v>4</v>
      </c>
    </row>
    <row r="83" spans="1:8">
      <c r="A83">
        <v>82</v>
      </c>
      <c r="B83" t="s">
        <v>8</v>
      </c>
      <c r="C83">
        <v>38</v>
      </c>
      <c r="D83">
        <v>61000</v>
      </c>
      <c r="E83">
        <v>55</v>
      </c>
      <c r="F83" t="s">
        <v>9</v>
      </c>
      <c r="G83">
        <v>6</v>
      </c>
      <c r="H83">
        <v>3</v>
      </c>
    </row>
    <row r="84" spans="1:8">
      <c r="A84">
        <v>83</v>
      </c>
      <c r="B84" t="s">
        <v>8</v>
      </c>
      <c r="C84">
        <v>67</v>
      </c>
      <c r="D84">
        <v>120000</v>
      </c>
      <c r="E84">
        <v>41</v>
      </c>
      <c r="F84" t="s">
        <v>14</v>
      </c>
      <c r="G84">
        <v>8</v>
      </c>
      <c r="H84">
        <v>1</v>
      </c>
    </row>
    <row r="85" spans="1:8">
      <c r="A85">
        <v>84</v>
      </c>
      <c r="B85" t="s">
        <v>11</v>
      </c>
      <c r="C85">
        <v>46</v>
      </c>
      <c r="D85">
        <v>34000</v>
      </c>
      <c r="E85">
        <v>44</v>
      </c>
      <c r="F85" t="s">
        <v>13</v>
      </c>
      <c r="G85">
        <v>8</v>
      </c>
      <c r="H85">
        <v>4</v>
      </c>
    </row>
    <row r="86" spans="1:8">
      <c r="A86">
        <v>85</v>
      </c>
      <c r="B86" t="s">
        <v>11</v>
      </c>
      <c r="C86">
        <v>21</v>
      </c>
      <c r="D86">
        <v>24000</v>
      </c>
      <c r="E86">
        <v>57</v>
      </c>
      <c r="F86" t="s">
        <v>18</v>
      </c>
      <c r="G86">
        <v>1</v>
      </c>
      <c r="H86">
        <v>3</v>
      </c>
    </row>
    <row r="87" spans="1:8">
      <c r="A87">
        <v>86</v>
      </c>
      <c r="B87" t="s">
        <v>8</v>
      </c>
      <c r="C87">
        <v>48</v>
      </c>
      <c r="D87">
        <v>31000</v>
      </c>
      <c r="E87">
        <v>46</v>
      </c>
      <c r="F87" t="s">
        <v>9</v>
      </c>
      <c r="G87">
        <v>7</v>
      </c>
      <c r="H87">
        <v>5</v>
      </c>
    </row>
    <row r="88" spans="1:8">
      <c r="A88">
        <v>87</v>
      </c>
      <c r="B88" t="s">
        <v>11</v>
      </c>
      <c r="C88">
        <v>55</v>
      </c>
      <c r="D88">
        <v>11000</v>
      </c>
      <c r="E88">
        <v>58</v>
      </c>
      <c r="F88" t="s">
        <v>14</v>
      </c>
      <c r="G88">
        <v>0</v>
      </c>
      <c r="H88">
        <v>3</v>
      </c>
    </row>
    <row r="89" spans="1:8">
      <c r="A89">
        <v>88</v>
      </c>
      <c r="B89" t="s">
        <v>11</v>
      </c>
      <c r="C89">
        <v>22</v>
      </c>
      <c r="D89">
        <v>55000</v>
      </c>
      <c r="E89">
        <v>55</v>
      </c>
      <c r="F89" t="s">
        <v>14</v>
      </c>
      <c r="G89">
        <v>5</v>
      </c>
      <c r="H89">
        <v>2</v>
      </c>
    </row>
    <row r="90" spans="1:8">
      <c r="A90">
        <v>89</v>
      </c>
      <c r="B90" t="s">
        <v>11</v>
      </c>
      <c r="C90">
        <v>34</v>
      </c>
      <c r="D90">
        <v>76000</v>
      </c>
      <c r="E90">
        <v>60</v>
      </c>
      <c r="F90" t="s">
        <v>13</v>
      </c>
      <c r="G90">
        <v>7</v>
      </c>
      <c r="H90">
        <v>3</v>
      </c>
    </row>
    <row r="91" spans="1:8">
      <c r="A91">
        <v>90</v>
      </c>
      <c r="B91" t="s">
        <v>11</v>
      </c>
      <c r="C91">
        <v>50</v>
      </c>
      <c r="D91">
        <v>56000</v>
      </c>
      <c r="E91">
        <v>46</v>
      </c>
      <c r="F91" t="s">
        <v>16</v>
      </c>
      <c r="G91">
        <v>0</v>
      </c>
      <c r="H91">
        <v>2</v>
      </c>
    </row>
    <row r="92" spans="1:8">
      <c r="A92">
        <v>91</v>
      </c>
      <c r="B92" t="s">
        <v>11</v>
      </c>
      <c r="C92">
        <v>68</v>
      </c>
      <c r="D92">
        <v>46000</v>
      </c>
      <c r="E92">
        <v>55</v>
      </c>
      <c r="F92" t="s">
        <v>13</v>
      </c>
      <c r="G92">
        <v>0</v>
      </c>
      <c r="H92">
        <v>3</v>
      </c>
    </row>
    <row r="93" spans="1:8">
      <c r="A93">
        <v>92</v>
      </c>
      <c r="B93" t="s">
        <v>8</v>
      </c>
      <c r="C93">
        <v>18</v>
      </c>
      <c r="D93">
        <v>36000</v>
      </c>
      <c r="E93">
        <v>41</v>
      </c>
      <c r="F93" t="s">
        <v>14</v>
      </c>
      <c r="G93">
        <v>1</v>
      </c>
      <c r="H93">
        <v>4</v>
      </c>
    </row>
    <row r="94" spans="1:8">
      <c r="A94">
        <v>93</v>
      </c>
      <c r="B94" t="s">
        <v>8</v>
      </c>
      <c r="C94">
        <v>48</v>
      </c>
      <c r="D94">
        <v>88000</v>
      </c>
      <c r="E94">
        <v>49</v>
      </c>
      <c r="F94" t="s">
        <v>14</v>
      </c>
      <c r="G94">
        <v>1</v>
      </c>
      <c r="H94">
        <v>2</v>
      </c>
    </row>
    <row r="95" spans="1:8">
      <c r="A95">
        <v>94</v>
      </c>
      <c r="B95" t="s">
        <v>11</v>
      </c>
      <c r="C95">
        <v>40</v>
      </c>
      <c r="D95">
        <v>31000</v>
      </c>
      <c r="E95">
        <v>40</v>
      </c>
      <c r="F95" t="s">
        <v>13</v>
      </c>
      <c r="G95">
        <v>1</v>
      </c>
      <c r="H95">
        <v>2</v>
      </c>
    </row>
    <row r="96" spans="1:8">
      <c r="A96">
        <v>95</v>
      </c>
      <c r="B96" t="s">
        <v>11</v>
      </c>
      <c r="C96">
        <v>32</v>
      </c>
      <c r="D96">
        <v>24000</v>
      </c>
      <c r="E96">
        <v>42</v>
      </c>
      <c r="F96" t="s">
        <v>14</v>
      </c>
      <c r="G96">
        <v>0</v>
      </c>
      <c r="H96">
        <v>1</v>
      </c>
    </row>
    <row r="97" spans="1:8">
      <c r="A97">
        <v>96</v>
      </c>
      <c r="B97" t="s">
        <v>8</v>
      </c>
      <c r="C97">
        <v>24</v>
      </c>
      <c r="D97">
        <v>80000</v>
      </c>
      <c r="E97">
        <v>52</v>
      </c>
      <c r="F97" t="s">
        <v>14</v>
      </c>
      <c r="G97">
        <v>10</v>
      </c>
      <c r="H97">
        <v>1</v>
      </c>
    </row>
    <row r="98" spans="1:8">
      <c r="A98">
        <v>97</v>
      </c>
      <c r="B98" t="s">
        <v>11</v>
      </c>
      <c r="C98">
        <v>47</v>
      </c>
      <c r="D98">
        <v>2000</v>
      </c>
      <c r="E98">
        <v>47</v>
      </c>
      <c r="F98" t="s">
        <v>14</v>
      </c>
      <c r="G98">
        <v>0</v>
      </c>
      <c r="H98">
        <v>1</v>
      </c>
    </row>
    <row r="99" spans="1:8">
      <c r="A99">
        <v>98</v>
      </c>
      <c r="B99" t="s">
        <v>11</v>
      </c>
      <c r="C99">
        <v>27</v>
      </c>
      <c r="D99">
        <v>67000</v>
      </c>
      <c r="E99">
        <v>50</v>
      </c>
      <c r="F99" t="s">
        <v>14</v>
      </c>
      <c r="G99">
        <v>0</v>
      </c>
      <c r="H99">
        <v>2</v>
      </c>
    </row>
    <row r="100" spans="1:8">
      <c r="A100">
        <v>99</v>
      </c>
      <c r="B100" t="s">
        <v>8</v>
      </c>
      <c r="C100">
        <v>48</v>
      </c>
      <c r="D100">
        <v>58000</v>
      </c>
      <c r="E100">
        <v>42</v>
      </c>
      <c r="F100" t="s">
        <v>16</v>
      </c>
      <c r="G100">
        <v>1</v>
      </c>
      <c r="H100">
        <v>2</v>
      </c>
    </row>
    <row r="101" spans="1:8">
      <c r="A101">
        <v>100</v>
      </c>
      <c r="B101" t="s">
        <v>8</v>
      </c>
      <c r="C101">
        <v>20</v>
      </c>
      <c r="D101">
        <v>80000</v>
      </c>
      <c r="E101">
        <v>49</v>
      </c>
      <c r="F101" t="s">
        <v>10</v>
      </c>
      <c r="G101">
        <v>3</v>
      </c>
      <c r="H101">
        <v>3</v>
      </c>
    </row>
    <row r="102" spans="1:8">
      <c r="A102">
        <v>101</v>
      </c>
      <c r="B102" t="s">
        <v>11</v>
      </c>
      <c r="C102">
        <v>23</v>
      </c>
      <c r="D102">
        <v>65000</v>
      </c>
      <c r="E102">
        <v>41</v>
      </c>
      <c r="F102" t="s">
        <v>14</v>
      </c>
      <c r="G102">
        <v>0</v>
      </c>
      <c r="H102">
        <v>4</v>
      </c>
    </row>
    <row r="103" spans="1:8">
      <c r="A103">
        <v>102</v>
      </c>
      <c r="B103" t="s">
        <v>11</v>
      </c>
      <c r="C103">
        <v>49</v>
      </c>
      <c r="D103">
        <v>4000</v>
      </c>
      <c r="E103">
        <v>48</v>
      </c>
      <c r="F103" t="s">
        <v>15</v>
      </c>
      <c r="G103">
        <v>1</v>
      </c>
      <c r="H103">
        <v>7</v>
      </c>
    </row>
    <row r="104" spans="1:8">
      <c r="A104">
        <v>103</v>
      </c>
      <c r="B104" t="s">
        <v>8</v>
      </c>
      <c r="C104">
        <v>67</v>
      </c>
      <c r="D104">
        <v>98000</v>
      </c>
      <c r="E104">
        <v>59</v>
      </c>
      <c r="F104" t="s">
        <v>14</v>
      </c>
      <c r="G104">
        <v>0</v>
      </c>
      <c r="H104">
        <v>3</v>
      </c>
    </row>
    <row r="105" spans="1:8">
      <c r="A105">
        <v>104</v>
      </c>
      <c r="B105" t="s">
        <v>8</v>
      </c>
      <c r="C105">
        <v>26</v>
      </c>
      <c r="D105">
        <v>52000</v>
      </c>
      <c r="E105">
        <v>55</v>
      </c>
      <c r="F105" t="s">
        <v>15</v>
      </c>
      <c r="G105">
        <v>0</v>
      </c>
      <c r="H105">
        <v>5</v>
      </c>
    </row>
    <row r="106" spans="1:8">
      <c r="A106">
        <v>105</v>
      </c>
      <c r="B106" t="s">
        <v>8</v>
      </c>
      <c r="C106">
        <v>49</v>
      </c>
      <c r="D106">
        <v>86000</v>
      </c>
      <c r="E106">
        <v>56</v>
      </c>
      <c r="F106" t="s">
        <v>9</v>
      </c>
      <c r="G106">
        <v>10</v>
      </c>
      <c r="H106">
        <v>2</v>
      </c>
    </row>
    <row r="107" spans="1:8">
      <c r="A107">
        <v>106</v>
      </c>
      <c r="B107" t="s">
        <v>11</v>
      </c>
      <c r="C107">
        <v>21</v>
      </c>
      <c r="D107">
        <v>82000</v>
      </c>
      <c r="E107">
        <v>42</v>
      </c>
      <c r="F107" t="s">
        <v>16</v>
      </c>
      <c r="G107">
        <v>1</v>
      </c>
      <c r="H107">
        <v>2</v>
      </c>
    </row>
    <row r="108" spans="1:8">
      <c r="A108">
        <v>107</v>
      </c>
      <c r="B108" t="s">
        <v>11</v>
      </c>
      <c r="C108">
        <v>66</v>
      </c>
      <c r="D108">
        <v>43000</v>
      </c>
      <c r="E108">
        <v>50</v>
      </c>
      <c r="F108" t="s">
        <v>17</v>
      </c>
      <c r="G108">
        <v>3</v>
      </c>
      <c r="H108">
        <v>2</v>
      </c>
    </row>
    <row r="109" spans="1:8">
      <c r="A109">
        <v>108</v>
      </c>
      <c r="B109" t="s">
        <v>8</v>
      </c>
      <c r="C109">
        <v>54</v>
      </c>
      <c r="D109">
        <v>78000</v>
      </c>
      <c r="E109">
        <v>46</v>
      </c>
      <c r="F109" t="s">
        <v>12</v>
      </c>
      <c r="G109">
        <v>1</v>
      </c>
      <c r="H109">
        <v>1</v>
      </c>
    </row>
    <row r="110" spans="1:8">
      <c r="A110">
        <v>109</v>
      </c>
      <c r="B110" t="s">
        <v>8</v>
      </c>
      <c r="C110">
        <v>68</v>
      </c>
      <c r="D110">
        <v>13000</v>
      </c>
      <c r="E110">
        <v>43</v>
      </c>
      <c r="F110" t="s">
        <v>9</v>
      </c>
      <c r="G110">
        <v>6</v>
      </c>
      <c r="H110">
        <v>5</v>
      </c>
    </row>
    <row r="111" spans="1:8">
      <c r="A111">
        <v>110</v>
      </c>
      <c r="B111" t="s">
        <v>8</v>
      </c>
      <c r="C111">
        <v>66</v>
      </c>
      <c r="D111">
        <v>13000</v>
      </c>
      <c r="E111">
        <v>48</v>
      </c>
      <c r="F111" t="s">
        <v>9</v>
      </c>
      <c r="G111">
        <v>9</v>
      </c>
      <c r="H111">
        <v>3</v>
      </c>
    </row>
    <row r="112" spans="1:8">
      <c r="A112">
        <v>111</v>
      </c>
      <c r="B112" t="s">
        <v>8</v>
      </c>
      <c r="C112">
        <v>65</v>
      </c>
      <c r="D112">
        <v>34000</v>
      </c>
      <c r="E112">
        <v>52</v>
      </c>
      <c r="F112" t="s">
        <v>13</v>
      </c>
      <c r="G112">
        <v>4</v>
      </c>
      <c r="H112">
        <v>4</v>
      </c>
    </row>
    <row r="113" spans="1:8">
      <c r="A113">
        <v>112</v>
      </c>
      <c r="B113" t="s">
        <v>11</v>
      </c>
      <c r="C113">
        <v>19</v>
      </c>
      <c r="D113">
        <v>25000</v>
      </c>
      <c r="E113">
        <v>54</v>
      </c>
      <c r="F113" t="s">
        <v>14</v>
      </c>
      <c r="G113">
        <v>0</v>
      </c>
      <c r="H113">
        <v>1</v>
      </c>
    </row>
    <row r="114" spans="1:8">
      <c r="A114">
        <v>113</v>
      </c>
      <c r="B114" t="s">
        <v>11</v>
      </c>
      <c r="C114">
        <v>38</v>
      </c>
      <c r="D114">
        <v>71000</v>
      </c>
      <c r="E114">
        <v>42</v>
      </c>
      <c r="F114" t="s">
        <v>16</v>
      </c>
      <c r="G114">
        <v>1</v>
      </c>
      <c r="H114">
        <v>5</v>
      </c>
    </row>
    <row r="115" spans="1:8">
      <c r="A115">
        <v>114</v>
      </c>
      <c r="B115" t="s">
        <v>8</v>
      </c>
      <c r="C115">
        <v>19</v>
      </c>
      <c r="D115">
        <v>2000</v>
      </c>
      <c r="E115">
        <v>46</v>
      </c>
      <c r="F115" t="s">
        <v>14</v>
      </c>
      <c r="G115">
        <v>1</v>
      </c>
      <c r="H115">
        <v>1</v>
      </c>
    </row>
    <row r="116" spans="1:8">
      <c r="A116">
        <v>115</v>
      </c>
      <c r="B116" t="s">
        <v>11</v>
      </c>
      <c r="C116">
        <v>18</v>
      </c>
      <c r="D116">
        <v>97000</v>
      </c>
      <c r="E116">
        <v>48</v>
      </c>
      <c r="F116" t="s">
        <v>15</v>
      </c>
      <c r="G116">
        <v>0</v>
      </c>
      <c r="H116">
        <v>3</v>
      </c>
    </row>
    <row r="117" spans="1:8">
      <c r="A117">
        <v>116</v>
      </c>
      <c r="B117" t="s">
        <v>11</v>
      </c>
      <c r="C117">
        <v>19</v>
      </c>
      <c r="D117">
        <v>51000</v>
      </c>
      <c r="E117">
        <v>50</v>
      </c>
      <c r="F117" t="s">
        <v>15</v>
      </c>
      <c r="G117">
        <v>8</v>
      </c>
      <c r="H117">
        <v>4</v>
      </c>
    </row>
    <row r="118" spans="1:8">
      <c r="A118">
        <v>117</v>
      </c>
      <c r="B118" t="s">
        <v>11</v>
      </c>
      <c r="C118">
        <v>63</v>
      </c>
      <c r="D118">
        <v>9000</v>
      </c>
      <c r="E118">
        <v>43</v>
      </c>
      <c r="F118" t="s">
        <v>12</v>
      </c>
      <c r="G118">
        <v>1</v>
      </c>
      <c r="H118">
        <v>1</v>
      </c>
    </row>
    <row r="119" spans="1:8">
      <c r="A119">
        <v>118</v>
      </c>
      <c r="B119" t="s">
        <v>11</v>
      </c>
      <c r="C119">
        <v>49</v>
      </c>
      <c r="D119">
        <v>79000</v>
      </c>
      <c r="E119">
        <v>59</v>
      </c>
      <c r="F119" t="s">
        <v>14</v>
      </c>
      <c r="G119">
        <v>0</v>
      </c>
      <c r="H119">
        <v>2</v>
      </c>
    </row>
    <row r="120" spans="1:8">
      <c r="A120">
        <v>119</v>
      </c>
      <c r="B120" t="s">
        <v>11</v>
      </c>
      <c r="C120">
        <v>51</v>
      </c>
      <c r="D120">
        <v>84000</v>
      </c>
      <c r="E120">
        <v>43</v>
      </c>
      <c r="G120">
        <v>2</v>
      </c>
      <c r="H120">
        <v>7</v>
      </c>
    </row>
    <row r="121" spans="1:8">
      <c r="A121">
        <v>120</v>
      </c>
      <c r="B121" t="s">
        <v>11</v>
      </c>
      <c r="C121">
        <v>50</v>
      </c>
      <c r="D121">
        <v>87000</v>
      </c>
      <c r="E121">
        <v>57</v>
      </c>
      <c r="F121" t="s">
        <v>14</v>
      </c>
      <c r="G121">
        <v>1</v>
      </c>
      <c r="H121">
        <v>2</v>
      </c>
    </row>
    <row r="122" spans="1:8">
      <c r="A122">
        <v>121</v>
      </c>
      <c r="B122" t="s">
        <v>8</v>
      </c>
      <c r="C122">
        <v>27</v>
      </c>
      <c r="D122">
        <v>36000</v>
      </c>
      <c r="E122">
        <v>56</v>
      </c>
      <c r="F122" t="s">
        <v>15</v>
      </c>
      <c r="G122">
        <v>0</v>
      </c>
      <c r="H122">
        <v>3</v>
      </c>
    </row>
    <row r="123" spans="1:8">
      <c r="A123">
        <v>122</v>
      </c>
      <c r="B123" t="s">
        <v>11</v>
      </c>
      <c r="C123">
        <v>38</v>
      </c>
      <c r="D123">
        <v>50000</v>
      </c>
      <c r="E123">
        <v>40</v>
      </c>
      <c r="F123" t="s">
        <v>15</v>
      </c>
      <c r="G123">
        <v>1</v>
      </c>
      <c r="H123">
        <v>4</v>
      </c>
    </row>
    <row r="124" spans="1:8">
      <c r="A124">
        <v>123</v>
      </c>
      <c r="B124" t="s">
        <v>11</v>
      </c>
      <c r="C124">
        <v>40</v>
      </c>
      <c r="D124">
        <v>97000</v>
      </c>
      <c r="E124">
        <v>58</v>
      </c>
      <c r="F124" t="s">
        <v>10</v>
      </c>
      <c r="G124">
        <v>9</v>
      </c>
      <c r="H124">
        <v>4</v>
      </c>
    </row>
    <row r="125" spans="1:8">
      <c r="A125">
        <v>124</v>
      </c>
      <c r="B125" t="s">
        <v>8</v>
      </c>
      <c r="C125">
        <v>39</v>
      </c>
      <c r="D125">
        <v>6000</v>
      </c>
      <c r="E125">
        <v>91</v>
      </c>
      <c r="F125" t="s">
        <v>9</v>
      </c>
      <c r="G125">
        <v>1</v>
      </c>
      <c r="H125">
        <v>3</v>
      </c>
    </row>
    <row r="126" spans="1:8">
      <c r="A126">
        <v>125</v>
      </c>
      <c r="B126" t="s">
        <v>11</v>
      </c>
      <c r="C126">
        <v>23</v>
      </c>
      <c r="D126">
        <v>12000</v>
      </c>
      <c r="E126">
        <v>29</v>
      </c>
      <c r="F126" t="s">
        <v>13</v>
      </c>
      <c r="G126">
        <v>9</v>
      </c>
      <c r="H126">
        <v>2</v>
      </c>
    </row>
    <row r="127" spans="1:8">
      <c r="A127">
        <v>126</v>
      </c>
      <c r="B127" t="s">
        <v>11</v>
      </c>
      <c r="C127">
        <v>31</v>
      </c>
      <c r="D127">
        <v>46000</v>
      </c>
      <c r="E127">
        <v>77</v>
      </c>
      <c r="F127" t="s">
        <v>18</v>
      </c>
      <c r="G127">
        <v>1</v>
      </c>
      <c r="H127">
        <v>2</v>
      </c>
    </row>
    <row r="128" spans="1:8">
      <c r="A128">
        <v>127</v>
      </c>
      <c r="B128" t="s">
        <v>8</v>
      </c>
      <c r="C128">
        <v>43</v>
      </c>
      <c r="D128">
        <v>89000</v>
      </c>
      <c r="E128">
        <v>35</v>
      </c>
      <c r="F128" t="s">
        <v>10</v>
      </c>
      <c r="G128">
        <v>0</v>
      </c>
      <c r="H128">
        <v>7</v>
      </c>
    </row>
    <row r="129" spans="1:8">
      <c r="A129">
        <v>128</v>
      </c>
      <c r="B129" t="s">
        <v>8</v>
      </c>
      <c r="C129">
        <v>40</v>
      </c>
      <c r="D129">
        <v>4000</v>
      </c>
      <c r="E129">
        <v>95</v>
      </c>
      <c r="F129" t="s">
        <v>14</v>
      </c>
      <c r="G129">
        <v>0</v>
      </c>
      <c r="H129">
        <v>2</v>
      </c>
    </row>
    <row r="130" spans="1:8">
      <c r="A130">
        <v>129</v>
      </c>
      <c r="B130" t="s">
        <v>8</v>
      </c>
      <c r="C130">
        <v>59</v>
      </c>
      <c r="D130">
        <v>38000</v>
      </c>
      <c r="E130">
        <v>11</v>
      </c>
      <c r="F130" t="s">
        <v>10</v>
      </c>
      <c r="G130">
        <v>0</v>
      </c>
      <c r="H130">
        <v>2</v>
      </c>
    </row>
    <row r="131" spans="1:8">
      <c r="A131">
        <v>130</v>
      </c>
      <c r="B131" t="s">
        <v>8</v>
      </c>
      <c r="C131">
        <v>38</v>
      </c>
      <c r="D131">
        <v>64000</v>
      </c>
      <c r="E131">
        <v>75</v>
      </c>
      <c r="F131" t="s">
        <v>13</v>
      </c>
      <c r="G131">
        <v>8</v>
      </c>
      <c r="H131">
        <v>5</v>
      </c>
    </row>
    <row r="132" spans="1:8">
      <c r="A132">
        <v>131</v>
      </c>
      <c r="B132" t="s">
        <v>8</v>
      </c>
      <c r="C132">
        <v>47</v>
      </c>
      <c r="D132">
        <v>66000</v>
      </c>
      <c r="E132">
        <v>9</v>
      </c>
      <c r="F132" t="s">
        <v>15</v>
      </c>
      <c r="G132">
        <v>9</v>
      </c>
      <c r="H132">
        <v>5</v>
      </c>
    </row>
    <row r="133" spans="1:8">
      <c r="A133">
        <v>132</v>
      </c>
      <c r="B133" t="s">
        <v>8</v>
      </c>
      <c r="C133">
        <v>39</v>
      </c>
      <c r="D133">
        <v>26000</v>
      </c>
      <c r="E133">
        <v>75</v>
      </c>
      <c r="F133" t="s">
        <v>12</v>
      </c>
      <c r="G133">
        <v>0</v>
      </c>
      <c r="H133">
        <v>2</v>
      </c>
    </row>
    <row r="134" spans="1:8">
      <c r="A134">
        <v>133</v>
      </c>
      <c r="B134" t="s">
        <v>11</v>
      </c>
      <c r="C134">
        <v>25</v>
      </c>
      <c r="D134">
        <v>41000</v>
      </c>
      <c r="E134">
        <v>34</v>
      </c>
      <c r="F134" t="s">
        <v>9</v>
      </c>
      <c r="G134">
        <v>6</v>
      </c>
      <c r="H134">
        <v>4</v>
      </c>
    </row>
    <row r="135" spans="1:8">
      <c r="A135">
        <v>134</v>
      </c>
      <c r="B135" t="s">
        <v>11</v>
      </c>
      <c r="C135">
        <v>31</v>
      </c>
      <c r="D135">
        <v>45000</v>
      </c>
      <c r="E135">
        <v>71</v>
      </c>
      <c r="F135" t="s">
        <v>14</v>
      </c>
      <c r="G135">
        <v>5</v>
      </c>
      <c r="H135">
        <v>1</v>
      </c>
    </row>
    <row r="136" spans="1:8">
      <c r="A136">
        <v>135</v>
      </c>
      <c r="B136" t="s">
        <v>8</v>
      </c>
      <c r="C136">
        <v>20</v>
      </c>
      <c r="D136">
        <v>89000</v>
      </c>
      <c r="E136">
        <v>5</v>
      </c>
      <c r="F136" t="s">
        <v>10</v>
      </c>
      <c r="G136">
        <v>1</v>
      </c>
      <c r="H136">
        <v>2</v>
      </c>
    </row>
    <row r="137" spans="1:8">
      <c r="A137">
        <v>136</v>
      </c>
      <c r="B137" t="s">
        <v>11</v>
      </c>
      <c r="C137">
        <v>29</v>
      </c>
      <c r="D137">
        <v>92000</v>
      </c>
      <c r="E137">
        <v>88</v>
      </c>
      <c r="F137" t="s">
        <v>15</v>
      </c>
      <c r="G137">
        <v>5</v>
      </c>
      <c r="H137">
        <v>5</v>
      </c>
    </row>
    <row r="138" spans="1:8">
      <c r="A138">
        <v>137</v>
      </c>
      <c r="B138" t="s">
        <v>11</v>
      </c>
      <c r="C138">
        <v>44</v>
      </c>
      <c r="D138">
        <v>76000</v>
      </c>
      <c r="E138">
        <v>7</v>
      </c>
      <c r="F138" t="s">
        <v>14</v>
      </c>
      <c r="G138">
        <v>5</v>
      </c>
      <c r="H138">
        <v>2</v>
      </c>
    </row>
    <row r="139" spans="1:8">
      <c r="A139">
        <v>138</v>
      </c>
      <c r="B139" t="s">
        <v>8</v>
      </c>
      <c r="C139">
        <v>32</v>
      </c>
      <c r="D139">
        <v>85000</v>
      </c>
      <c r="E139">
        <v>73</v>
      </c>
      <c r="F139" t="s">
        <v>14</v>
      </c>
      <c r="G139">
        <v>3</v>
      </c>
      <c r="H139">
        <v>4</v>
      </c>
    </row>
    <row r="140" spans="1:8">
      <c r="A140">
        <v>139</v>
      </c>
      <c r="B140" t="s">
        <v>8</v>
      </c>
      <c r="C140">
        <v>19</v>
      </c>
      <c r="D140">
        <v>22000</v>
      </c>
      <c r="E140">
        <v>10</v>
      </c>
      <c r="F140" t="s">
        <v>18</v>
      </c>
      <c r="G140">
        <v>8</v>
      </c>
      <c r="H140">
        <v>4</v>
      </c>
    </row>
    <row r="141" spans="1:8">
      <c r="A141">
        <v>140</v>
      </c>
      <c r="B141" t="s">
        <v>11</v>
      </c>
      <c r="C141">
        <v>35</v>
      </c>
      <c r="D141">
        <v>15000</v>
      </c>
      <c r="E141">
        <v>72</v>
      </c>
      <c r="F141" t="s">
        <v>14</v>
      </c>
      <c r="G141">
        <v>4</v>
      </c>
      <c r="H141">
        <v>4</v>
      </c>
    </row>
    <row r="142" spans="1:8">
      <c r="A142">
        <v>141</v>
      </c>
      <c r="B142" t="s">
        <v>11</v>
      </c>
      <c r="C142">
        <v>57</v>
      </c>
      <c r="D142">
        <v>32000</v>
      </c>
      <c r="E142">
        <v>5</v>
      </c>
      <c r="F142" t="s">
        <v>10</v>
      </c>
      <c r="G142">
        <v>0</v>
      </c>
      <c r="H142">
        <v>2</v>
      </c>
    </row>
    <row r="143" spans="1:8">
      <c r="A143">
        <v>142</v>
      </c>
      <c r="B143" t="s">
        <v>8</v>
      </c>
      <c r="C143">
        <v>32</v>
      </c>
      <c r="D143">
        <v>66000</v>
      </c>
      <c r="E143">
        <v>93</v>
      </c>
      <c r="F143" t="s">
        <v>14</v>
      </c>
      <c r="G143">
        <v>0</v>
      </c>
      <c r="H143">
        <v>5</v>
      </c>
    </row>
    <row r="144" spans="1:8">
      <c r="A144">
        <v>143</v>
      </c>
      <c r="B144" t="s">
        <v>11</v>
      </c>
      <c r="C144">
        <v>28</v>
      </c>
      <c r="D144">
        <v>62000</v>
      </c>
      <c r="E144">
        <v>40</v>
      </c>
      <c r="F144" t="s">
        <v>16</v>
      </c>
      <c r="G144">
        <v>5</v>
      </c>
      <c r="H144">
        <v>3</v>
      </c>
    </row>
    <row r="145" spans="1:8">
      <c r="A145">
        <v>144</v>
      </c>
      <c r="B145" t="s">
        <v>11</v>
      </c>
      <c r="C145">
        <v>32</v>
      </c>
      <c r="D145">
        <v>85000</v>
      </c>
      <c r="E145">
        <v>87</v>
      </c>
      <c r="F145" t="s">
        <v>12</v>
      </c>
      <c r="G145">
        <v>1</v>
      </c>
      <c r="H145">
        <v>2</v>
      </c>
    </row>
    <row r="146" spans="1:8">
      <c r="A146">
        <v>145</v>
      </c>
      <c r="B146" t="s">
        <v>8</v>
      </c>
      <c r="C146">
        <v>25</v>
      </c>
      <c r="D146">
        <v>71000</v>
      </c>
      <c r="E146">
        <v>12</v>
      </c>
      <c r="F146" t="s">
        <v>10</v>
      </c>
      <c r="G146">
        <v>0</v>
      </c>
      <c r="H146">
        <v>5</v>
      </c>
    </row>
    <row r="147" spans="1:8">
      <c r="A147">
        <v>146</v>
      </c>
      <c r="B147" t="s">
        <v>8</v>
      </c>
      <c r="C147">
        <v>28</v>
      </c>
      <c r="D147">
        <v>26000</v>
      </c>
      <c r="E147">
        <v>97</v>
      </c>
      <c r="F147" t="s">
        <v>18</v>
      </c>
      <c r="G147">
        <v>8</v>
      </c>
      <c r="H147">
        <v>5</v>
      </c>
    </row>
    <row r="148" spans="1:8">
      <c r="A148">
        <v>147</v>
      </c>
      <c r="B148" t="s">
        <v>8</v>
      </c>
      <c r="C148">
        <v>48</v>
      </c>
      <c r="D148">
        <v>52000</v>
      </c>
      <c r="E148">
        <v>36</v>
      </c>
      <c r="F148" t="s">
        <v>10</v>
      </c>
      <c r="G148">
        <v>9</v>
      </c>
      <c r="H148">
        <v>2</v>
      </c>
    </row>
    <row r="149" spans="1:8">
      <c r="A149">
        <v>148</v>
      </c>
      <c r="B149" t="s">
        <v>11</v>
      </c>
      <c r="C149">
        <v>32</v>
      </c>
      <c r="D149">
        <v>38000</v>
      </c>
      <c r="E149">
        <v>74</v>
      </c>
      <c r="F149" t="s">
        <v>12</v>
      </c>
      <c r="G149">
        <v>1</v>
      </c>
      <c r="H149">
        <v>1</v>
      </c>
    </row>
    <row r="150" spans="1:8">
      <c r="A150">
        <v>149</v>
      </c>
      <c r="B150" t="s">
        <v>11</v>
      </c>
      <c r="C150">
        <v>34</v>
      </c>
      <c r="D150">
        <v>51000</v>
      </c>
      <c r="E150">
        <v>22</v>
      </c>
      <c r="F150" t="s">
        <v>9</v>
      </c>
      <c r="G150">
        <v>7</v>
      </c>
      <c r="H150">
        <v>4</v>
      </c>
    </row>
    <row r="151" spans="1:8">
      <c r="A151">
        <v>150</v>
      </c>
      <c r="B151" t="s">
        <v>8</v>
      </c>
      <c r="C151">
        <v>34</v>
      </c>
      <c r="D151">
        <v>90000</v>
      </c>
      <c r="E151">
        <v>90</v>
      </c>
      <c r="F151" t="s">
        <v>14</v>
      </c>
      <c r="G151">
        <v>6</v>
      </c>
      <c r="H151">
        <v>3</v>
      </c>
    </row>
    <row r="152" spans="1:8">
      <c r="A152">
        <v>151</v>
      </c>
      <c r="B152" t="s">
        <v>8</v>
      </c>
      <c r="C152">
        <v>43</v>
      </c>
      <c r="D152">
        <v>30000</v>
      </c>
      <c r="E152">
        <v>17</v>
      </c>
      <c r="F152" t="s">
        <v>12</v>
      </c>
      <c r="G152">
        <v>0</v>
      </c>
      <c r="H152">
        <v>9</v>
      </c>
    </row>
    <row r="153" spans="1:8">
      <c r="A153">
        <v>152</v>
      </c>
      <c r="B153" t="s">
        <v>8</v>
      </c>
      <c r="C153">
        <v>39</v>
      </c>
      <c r="D153">
        <v>41000</v>
      </c>
      <c r="E153">
        <v>88</v>
      </c>
      <c r="F153" t="s">
        <v>10</v>
      </c>
      <c r="G153">
        <v>0</v>
      </c>
      <c r="H153">
        <v>1</v>
      </c>
    </row>
    <row r="154" spans="1:8">
      <c r="A154">
        <v>153</v>
      </c>
      <c r="B154" t="s">
        <v>11</v>
      </c>
      <c r="C154">
        <v>44</v>
      </c>
      <c r="D154">
        <v>17000</v>
      </c>
      <c r="E154">
        <v>20</v>
      </c>
      <c r="F154" t="s">
        <v>10</v>
      </c>
      <c r="G154">
        <v>0</v>
      </c>
      <c r="H154">
        <v>2</v>
      </c>
    </row>
    <row r="155" spans="1:8">
      <c r="A155">
        <v>154</v>
      </c>
      <c r="B155" t="s">
        <v>11</v>
      </c>
      <c r="C155">
        <v>38</v>
      </c>
      <c r="D155">
        <v>92000</v>
      </c>
      <c r="E155">
        <v>76</v>
      </c>
      <c r="F155" t="s">
        <v>14</v>
      </c>
      <c r="G155">
        <v>2</v>
      </c>
      <c r="H155">
        <v>2</v>
      </c>
    </row>
    <row r="156" spans="1:8">
      <c r="A156">
        <v>155</v>
      </c>
      <c r="B156" t="s">
        <v>11</v>
      </c>
      <c r="C156">
        <v>47</v>
      </c>
      <c r="D156">
        <v>80000</v>
      </c>
      <c r="E156">
        <v>16</v>
      </c>
      <c r="F156" t="s">
        <v>9</v>
      </c>
      <c r="G156">
        <v>0</v>
      </c>
      <c r="H156">
        <v>4</v>
      </c>
    </row>
    <row r="157" spans="1:8">
      <c r="A157">
        <v>156</v>
      </c>
      <c r="B157" t="s">
        <v>11</v>
      </c>
      <c r="C157">
        <v>27</v>
      </c>
      <c r="D157">
        <v>10000</v>
      </c>
      <c r="E157">
        <v>89</v>
      </c>
      <c r="F157" t="s">
        <v>18</v>
      </c>
      <c r="G157">
        <v>8</v>
      </c>
      <c r="H157">
        <v>4</v>
      </c>
    </row>
    <row r="158" spans="1:8">
      <c r="A158">
        <v>157</v>
      </c>
      <c r="B158" t="s">
        <v>8</v>
      </c>
      <c r="C158">
        <v>37</v>
      </c>
      <c r="D158">
        <v>16000</v>
      </c>
      <c r="E158">
        <v>1</v>
      </c>
      <c r="F158" t="s">
        <v>15</v>
      </c>
      <c r="G158">
        <v>1</v>
      </c>
      <c r="H158">
        <v>1</v>
      </c>
    </row>
    <row r="159" spans="1:8">
      <c r="A159">
        <v>158</v>
      </c>
      <c r="B159" t="s">
        <v>11</v>
      </c>
      <c r="C159">
        <v>30</v>
      </c>
      <c r="D159">
        <v>87000</v>
      </c>
      <c r="E159">
        <v>78</v>
      </c>
      <c r="F159" t="s">
        <v>14</v>
      </c>
      <c r="G159">
        <v>3</v>
      </c>
      <c r="H159">
        <v>4</v>
      </c>
    </row>
    <row r="160" spans="1:8">
      <c r="A160">
        <v>159</v>
      </c>
      <c r="B160" t="s">
        <v>8</v>
      </c>
      <c r="C160">
        <v>34</v>
      </c>
      <c r="D160">
        <v>66000</v>
      </c>
      <c r="E160">
        <v>1</v>
      </c>
      <c r="F160" t="s">
        <v>12</v>
      </c>
      <c r="G160">
        <v>1</v>
      </c>
      <c r="H160">
        <v>2</v>
      </c>
    </row>
    <row r="161" spans="1:8">
      <c r="A161">
        <v>160</v>
      </c>
      <c r="B161" t="s">
        <v>11</v>
      </c>
      <c r="C161">
        <v>30</v>
      </c>
      <c r="D161">
        <v>86000</v>
      </c>
      <c r="E161">
        <v>73</v>
      </c>
      <c r="F161" t="s">
        <v>14</v>
      </c>
      <c r="G161">
        <v>3</v>
      </c>
      <c r="H161">
        <v>3</v>
      </c>
    </row>
    <row r="162" spans="1:8">
      <c r="A162">
        <v>161</v>
      </c>
      <c r="B162" t="s">
        <v>11</v>
      </c>
      <c r="C162">
        <v>56</v>
      </c>
      <c r="D162">
        <v>9000</v>
      </c>
      <c r="E162">
        <v>35</v>
      </c>
      <c r="F162" t="s">
        <v>14</v>
      </c>
      <c r="G162">
        <v>1</v>
      </c>
      <c r="H162">
        <v>1</v>
      </c>
    </row>
    <row r="163" spans="1:8">
      <c r="A163">
        <v>162</v>
      </c>
      <c r="B163" t="s">
        <v>11</v>
      </c>
      <c r="C163">
        <v>29</v>
      </c>
      <c r="D163">
        <v>50000</v>
      </c>
      <c r="E163">
        <v>83</v>
      </c>
      <c r="F163" t="s">
        <v>9</v>
      </c>
      <c r="G163">
        <v>1</v>
      </c>
      <c r="H163">
        <v>5</v>
      </c>
    </row>
    <row r="164" spans="1:8">
      <c r="A164">
        <v>163</v>
      </c>
      <c r="B164" t="s">
        <v>8</v>
      </c>
      <c r="C164">
        <v>19</v>
      </c>
      <c r="D164">
        <v>35000</v>
      </c>
      <c r="E164">
        <v>5</v>
      </c>
      <c r="F164" t="s">
        <v>15</v>
      </c>
      <c r="G164">
        <v>0</v>
      </c>
      <c r="H164">
        <v>5</v>
      </c>
    </row>
    <row r="165" spans="1:8">
      <c r="A165">
        <v>164</v>
      </c>
      <c r="B165" t="s">
        <v>11</v>
      </c>
      <c r="C165">
        <v>31</v>
      </c>
      <c r="D165">
        <v>58000</v>
      </c>
      <c r="E165">
        <v>93</v>
      </c>
      <c r="F165" t="s">
        <v>9</v>
      </c>
      <c r="G165">
        <v>1</v>
      </c>
      <c r="H165">
        <v>5</v>
      </c>
    </row>
    <row r="166" spans="1:8">
      <c r="A166">
        <v>165</v>
      </c>
      <c r="B166" t="s">
        <v>8</v>
      </c>
      <c r="C166">
        <v>50</v>
      </c>
      <c r="D166">
        <v>47000</v>
      </c>
      <c r="E166">
        <v>26</v>
      </c>
      <c r="F166" t="s">
        <v>16</v>
      </c>
      <c r="G166">
        <v>0</v>
      </c>
      <c r="H166">
        <v>2</v>
      </c>
    </row>
    <row r="167" spans="1:8">
      <c r="A167">
        <v>166</v>
      </c>
      <c r="B167" t="s">
        <v>11</v>
      </c>
      <c r="C167">
        <v>36</v>
      </c>
      <c r="D167">
        <v>54000</v>
      </c>
      <c r="E167">
        <v>75</v>
      </c>
      <c r="F167" t="s">
        <v>14</v>
      </c>
      <c r="G167">
        <v>5</v>
      </c>
      <c r="H167">
        <v>3</v>
      </c>
    </row>
    <row r="168" spans="1:8">
      <c r="A168">
        <v>167</v>
      </c>
      <c r="B168" t="s">
        <v>8</v>
      </c>
      <c r="C168">
        <v>42</v>
      </c>
      <c r="D168">
        <v>79000</v>
      </c>
      <c r="E168">
        <v>20</v>
      </c>
      <c r="F168" t="s">
        <v>17</v>
      </c>
      <c r="G168">
        <v>9</v>
      </c>
      <c r="H168">
        <v>3</v>
      </c>
    </row>
    <row r="169" spans="1:8">
      <c r="A169">
        <v>168</v>
      </c>
      <c r="B169" t="s">
        <v>11</v>
      </c>
      <c r="C169">
        <v>33</v>
      </c>
      <c r="D169">
        <v>83000</v>
      </c>
      <c r="E169">
        <v>95</v>
      </c>
      <c r="F169" t="s">
        <v>14</v>
      </c>
      <c r="G169">
        <v>0</v>
      </c>
      <c r="H169">
        <v>5</v>
      </c>
    </row>
    <row r="170" spans="1:8">
      <c r="A170">
        <v>169</v>
      </c>
      <c r="B170" t="s">
        <v>11</v>
      </c>
      <c r="C170">
        <v>36</v>
      </c>
      <c r="D170">
        <v>57000</v>
      </c>
      <c r="E170">
        <v>27</v>
      </c>
      <c r="F170" t="s">
        <v>14</v>
      </c>
      <c r="G170">
        <v>0</v>
      </c>
      <c r="H170">
        <v>3</v>
      </c>
    </row>
    <row r="171" spans="1:8">
      <c r="A171">
        <v>170</v>
      </c>
      <c r="B171" t="s">
        <v>8</v>
      </c>
      <c r="C171">
        <v>32</v>
      </c>
      <c r="D171">
        <v>0</v>
      </c>
      <c r="E171">
        <v>63</v>
      </c>
      <c r="F171" t="s">
        <v>14</v>
      </c>
      <c r="G171">
        <v>2</v>
      </c>
      <c r="H171">
        <v>2</v>
      </c>
    </row>
    <row r="172" spans="1:8">
      <c r="A172">
        <v>171</v>
      </c>
      <c r="B172" t="s">
        <v>8</v>
      </c>
      <c r="C172">
        <v>40</v>
      </c>
      <c r="D172">
        <v>69000</v>
      </c>
      <c r="E172">
        <v>13</v>
      </c>
      <c r="F172" t="s">
        <v>14</v>
      </c>
      <c r="G172">
        <v>3</v>
      </c>
      <c r="H172">
        <v>5</v>
      </c>
    </row>
    <row r="173" spans="1:8">
      <c r="A173">
        <v>172</v>
      </c>
      <c r="B173" t="s">
        <v>8</v>
      </c>
      <c r="C173">
        <v>28</v>
      </c>
      <c r="D173">
        <v>4000</v>
      </c>
      <c r="E173">
        <v>75</v>
      </c>
      <c r="F173" t="s">
        <v>15</v>
      </c>
      <c r="G173">
        <v>0</v>
      </c>
      <c r="H173">
        <v>2</v>
      </c>
    </row>
    <row r="174" spans="1:8">
      <c r="A174">
        <v>173</v>
      </c>
      <c r="B174" t="s">
        <v>8</v>
      </c>
      <c r="C174">
        <v>36</v>
      </c>
      <c r="D174">
        <v>79000</v>
      </c>
      <c r="E174">
        <v>10</v>
      </c>
      <c r="F174" t="s">
        <v>12</v>
      </c>
      <c r="G174">
        <v>0</v>
      </c>
      <c r="H174">
        <v>2</v>
      </c>
    </row>
    <row r="175" spans="1:8">
      <c r="A175">
        <v>174</v>
      </c>
      <c r="B175" t="s">
        <v>8</v>
      </c>
      <c r="C175">
        <v>36</v>
      </c>
      <c r="D175">
        <v>99000</v>
      </c>
      <c r="E175">
        <v>92</v>
      </c>
      <c r="F175" t="s">
        <v>14</v>
      </c>
      <c r="G175">
        <v>5</v>
      </c>
      <c r="H175">
        <v>2</v>
      </c>
    </row>
    <row r="176" spans="1:8">
      <c r="A176">
        <v>175</v>
      </c>
      <c r="B176" t="s">
        <v>11</v>
      </c>
      <c r="C176">
        <v>52</v>
      </c>
      <c r="D176">
        <v>20000</v>
      </c>
      <c r="E176">
        <v>13</v>
      </c>
      <c r="F176" t="s">
        <v>12</v>
      </c>
      <c r="G176">
        <v>0</v>
      </c>
      <c r="H176">
        <v>2</v>
      </c>
    </row>
    <row r="177" spans="1:8">
      <c r="A177">
        <v>176</v>
      </c>
      <c r="B177" t="s">
        <v>11</v>
      </c>
      <c r="C177">
        <v>30</v>
      </c>
      <c r="D177">
        <v>28000</v>
      </c>
      <c r="E177">
        <v>86</v>
      </c>
      <c r="F177" t="s">
        <v>14</v>
      </c>
      <c r="G177">
        <v>3</v>
      </c>
      <c r="H177">
        <v>4</v>
      </c>
    </row>
    <row r="178" spans="1:8">
      <c r="A178">
        <v>177</v>
      </c>
      <c r="B178" t="s">
        <v>8</v>
      </c>
      <c r="C178">
        <v>58</v>
      </c>
      <c r="D178">
        <v>29000</v>
      </c>
      <c r="E178">
        <v>15</v>
      </c>
      <c r="F178" t="s">
        <v>10</v>
      </c>
      <c r="G178">
        <v>11</v>
      </c>
      <c r="H178">
        <v>1</v>
      </c>
    </row>
    <row r="179" spans="1:8">
      <c r="A179">
        <v>178</v>
      </c>
      <c r="B179" t="s">
        <v>8</v>
      </c>
      <c r="C179">
        <v>27</v>
      </c>
      <c r="D179">
        <v>45000</v>
      </c>
      <c r="E179">
        <v>69</v>
      </c>
      <c r="F179" t="s">
        <v>9</v>
      </c>
      <c r="G179">
        <v>2</v>
      </c>
      <c r="H179">
        <v>6</v>
      </c>
    </row>
    <row r="180" spans="1:8">
      <c r="A180">
        <v>179</v>
      </c>
      <c r="B180" t="s">
        <v>8</v>
      </c>
      <c r="C180">
        <v>59</v>
      </c>
      <c r="D180">
        <v>86000</v>
      </c>
      <c r="E180">
        <v>14</v>
      </c>
      <c r="F180" t="s">
        <v>9</v>
      </c>
      <c r="G180">
        <v>4</v>
      </c>
      <c r="H180">
        <v>3</v>
      </c>
    </row>
    <row r="181" spans="1:8">
      <c r="A181">
        <v>180</v>
      </c>
      <c r="B181" t="s">
        <v>8</v>
      </c>
      <c r="C181">
        <v>35</v>
      </c>
      <c r="D181">
        <v>42000</v>
      </c>
      <c r="E181">
        <v>90</v>
      </c>
      <c r="F181" t="s">
        <v>10</v>
      </c>
      <c r="G181">
        <v>8</v>
      </c>
      <c r="H181">
        <v>1</v>
      </c>
    </row>
    <row r="182" spans="1:8">
      <c r="A182">
        <v>181</v>
      </c>
      <c r="B182" t="s">
        <v>11</v>
      </c>
      <c r="C182">
        <v>37</v>
      </c>
      <c r="D182">
        <v>59000</v>
      </c>
      <c r="E182">
        <v>32</v>
      </c>
      <c r="F182" t="s">
        <v>14</v>
      </c>
      <c r="G182">
        <v>7</v>
      </c>
      <c r="H182">
        <v>2</v>
      </c>
    </row>
    <row r="183" spans="1:8">
      <c r="A183">
        <v>182</v>
      </c>
      <c r="B183" t="s">
        <v>11</v>
      </c>
      <c r="C183">
        <v>32</v>
      </c>
      <c r="D183">
        <v>61000</v>
      </c>
      <c r="E183">
        <v>86</v>
      </c>
      <c r="F183" t="s">
        <v>13</v>
      </c>
      <c r="G183">
        <v>7</v>
      </c>
      <c r="H183">
        <v>5</v>
      </c>
    </row>
    <row r="184" spans="1:8">
      <c r="A184">
        <v>183</v>
      </c>
      <c r="B184" t="s">
        <v>8</v>
      </c>
      <c r="C184">
        <v>46</v>
      </c>
      <c r="D184">
        <v>11000</v>
      </c>
      <c r="E184">
        <v>15</v>
      </c>
      <c r="F184" t="s">
        <v>14</v>
      </c>
      <c r="G184">
        <v>7</v>
      </c>
      <c r="H184">
        <v>1</v>
      </c>
    </row>
    <row r="185" spans="1:8">
      <c r="A185">
        <v>184</v>
      </c>
      <c r="B185" t="s">
        <v>11</v>
      </c>
      <c r="C185">
        <v>29</v>
      </c>
      <c r="D185">
        <v>66000</v>
      </c>
      <c r="E185">
        <v>88</v>
      </c>
      <c r="F185" t="s">
        <v>14</v>
      </c>
      <c r="G185">
        <v>4</v>
      </c>
      <c r="H185">
        <v>4</v>
      </c>
    </row>
    <row r="186" spans="1:8">
      <c r="A186">
        <v>185</v>
      </c>
      <c r="B186" t="s">
        <v>11</v>
      </c>
      <c r="C186">
        <v>41</v>
      </c>
      <c r="D186">
        <v>39000</v>
      </c>
      <c r="E186">
        <v>39</v>
      </c>
      <c r="F186" t="s">
        <v>14</v>
      </c>
      <c r="G186">
        <v>1</v>
      </c>
      <c r="H186">
        <v>1</v>
      </c>
    </row>
    <row r="187" spans="1:8">
      <c r="A187">
        <v>186</v>
      </c>
      <c r="B187" t="s">
        <v>8</v>
      </c>
      <c r="C187">
        <v>30</v>
      </c>
      <c r="D187">
        <v>72000</v>
      </c>
      <c r="E187">
        <v>97</v>
      </c>
      <c r="F187" t="s">
        <v>14</v>
      </c>
      <c r="G187">
        <v>6</v>
      </c>
      <c r="H187">
        <v>2</v>
      </c>
    </row>
    <row r="188" spans="1:8">
      <c r="A188">
        <v>187</v>
      </c>
      <c r="B188" t="s">
        <v>11</v>
      </c>
      <c r="C188">
        <v>54</v>
      </c>
      <c r="D188">
        <v>14000</v>
      </c>
      <c r="E188">
        <v>24</v>
      </c>
      <c r="F188" t="s">
        <v>12</v>
      </c>
      <c r="G188">
        <v>1</v>
      </c>
      <c r="H188">
        <v>2</v>
      </c>
    </row>
    <row r="189" spans="1:8">
      <c r="A189">
        <v>188</v>
      </c>
      <c r="B189" t="s">
        <v>8</v>
      </c>
      <c r="C189">
        <v>28</v>
      </c>
      <c r="D189">
        <v>44000</v>
      </c>
      <c r="E189">
        <v>68</v>
      </c>
      <c r="F189" t="s">
        <v>16</v>
      </c>
      <c r="G189">
        <v>5</v>
      </c>
      <c r="H189">
        <v>3</v>
      </c>
    </row>
    <row r="190" spans="1:8">
      <c r="A190">
        <v>189</v>
      </c>
      <c r="B190" t="s">
        <v>11</v>
      </c>
      <c r="C190">
        <v>41</v>
      </c>
      <c r="D190">
        <v>76000</v>
      </c>
      <c r="E190">
        <v>17</v>
      </c>
      <c r="F190" t="s">
        <v>10</v>
      </c>
      <c r="G190">
        <v>8</v>
      </c>
      <c r="H190">
        <v>2</v>
      </c>
    </row>
    <row r="191" spans="1:8">
      <c r="A191">
        <v>190</v>
      </c>
      <c r="B191" t="s">
        <v>11</v>
      </c>
      <c r="C191">
        <v>36</v>
      </c>
      <c r="D191">
        <v>95000</v>
      </c>
      <c r="E191">
        <v>85</v>
      </c>
      <c r="F191" t="s">
        <v>14</v>
      </c>
      <c r="G191">
        <v>4</v>
      </c>
      <c r="H191">
        <v>2</v>
      </c>
    </row>
    <row r="192" spans="1:8">
      <c r="A192">
        <v>191</v>
      </c>
      <c r="B192" t="s">
        <v>11</v>
      </c>
      <c r="C192">
        <v>34</v>
      </c>
      <c r="D192">
        <v>92000</v>
      </c>
      <c r="E192">
        <v>23</v>
      </c>
      <c r="F192" t="s">
        <v>14</v>
      </c>
      <c r="G192">
        <v>5</v>
      </c>
      <c r="H192">
        <v>3</v>
      </c>
    </row>
    <row r="193" spans="1:8">
      <c r="A193">
        <v>192</v>
      </c>
      <c r="B193" t="s">
        <v>11</v>
      </c>
      <c r="C193">
        <v>32</v>
      </c>
      <c r="D193">
        <v>98000</v>
      </c>
      <c r="E193">
        <v>69</v>
      </c>
      <c r="F193" t="s">
        <v>14</v>
      </c>
      <c r="G193">
        <v>8</v>
      </c>
      <c r="H193">
        <v>2</v>
      </c>
    </row>
    <row r="194" spans="1:8">
      <c r="A194">
        <v>193</v>
      </c>
      <c r="B194" t="s">
        <v>8</v>
      </c>
      <c r="C194">
        <v>33</v>
      </c>
      <c r="D194">
        <v>96000</v>
      </c>
      <c r="E194">
        <v>8</v>
      </c>
      <c r="F194" t="s">
        <v>15</v>
      </c>
      <c r="G194">
        <v>9</v>
      </c>
      <c r="H194">
        <v>2</v>
      </c>
    </row>
    <row r="195" spans="1:8">
      <c r="A195">
        <v>194</v>
      </c>
      <c r="B195" t="s">
        <v>11</v>
      </c>
      <c r="C195">
        <v>38</v>
      </c>
      <c r="D195">
        <v>45000</v>
      </c>
      <c r="E195">
        <v>91</v>
      </c>
      <c r="F195" t="s">
        <v>14</v>
      </c>
      <c r="G195">
        <v>10</v>
      </c>
      <c r="H195">
        <v>4</v>
      </c>
    </row>
    <row r="196" spans="1:8">
      <c r="A196">
        <v>195</v>
      </c>
      <c r="B196" t="s">
        <v>11</v>
      </c>
      <c r="C196">
        <v>47</v>
      </c>
      <c r="D196">
        <v>8000</v>
      </c>
      <c r="E196">
        <v>16</v>
      </c>
      <c r="F196" t="s">
        <v>14</v>
      </c>
      <c r="G196">
        <v>7</v>
      </c>
      <c r="H196">
        <v>2</v>
      </c>
    </row>
    <row r="197" spans="1:8">
      <c r="A197">
        <v>196</v>
      </c>
      <c r="B197" t="s">
        <v>11</v>
      </c>
      <c r="C197">
        <v>35</v>
      </c>
      <c r="D197">
        <v>46000</v>
      </c>
      <c r="E197">
        <v>79</v>
      </c>
      <c r="F197" t="s">
        <v>15</v>
      </c>
      <c r="G197">
        <v>1</v>
      </c>
      <c r="H197">
        <v>3</v>
      </c>
    </row>
    <row r="198" spans="1:8">
      <c r="A198">
        <v>197</v>
      </c>
      <c r="B198" t="s">
        <v>11</v>
      </c>
      <c r="C198">
        <v>45</v>
      </c>
      <c r="D198">
        <v>78000</v>
      </c>
      <c r="E198">
        <v>28</v>
      </c>
      <c r="F198" t="s">
        <v>14</v>
      </c>
      <c r="G198">
        <v>0</v>
      </c>
      <c r="H198">
        <v>2</v>
      </c>
    </row>
    <row r="199" spans="1:8">
      <c r="A199">
        <v>198</v>
      </c>
      <c r="B199" t="s">
        <v>8</v>
      </c>
      <c r="C199">
        <v>32</v>
      </c>
      <c r="D199">
        <v>4000</v>
      </c>
      <c r="E199">
        <v>74</v>
      </c>
      <c r="F199" t="s">
        <v>14</v>
      </c>
      <c r="G199">
        <v>1</v>
      </c>
      <c r="H199">
        <v>5</v>
      </c>
    </row>
    <row r="200" spans="1:8">
      <c r="A200">
        <v>199</v>
      </c>
      <c r="B200" t="s">
        <v>8</v>
      </c>
      <c r="C200">
        <v>32</v>
      </c>
      <c r="D200">
        <v>81000</v>
      </c>
      <c r="E200">
        <v>18</v>
      </c>
      <c r="F200" t="s">
        <v>15</v>
      </c>
      <c r="G200">
        <v>1</v>
      </c>
      <c r="H200">
        <v>2</v>
      </c>
    </row>
    <row r="201" spans="1:8">
      <c r="A201">
        <v>200</v>
      </c>
      <c r="B201" t="s">
        <v>8</v>
      </c>
      <c r="C201">
        <v>30</v>
      </c>
      <c r="D201">
        <v>33000</v>
      </c>
      <c r="E201">
        <v>83</v>
      </c>
      <c r="F201" t="s">
        <v>14</v>
      </c>
      <c r="G201">
        <v>4</v>
      </c>
      <c r="H201">
        <v>2</v>
      </c>
    </row>
    <row r="202" spans="1:8">
      <c r="A202">
        <v>201</v>
      </c>
      <c r="B202" t="s">
        <v>11</v>
      </c>
      <c r="C202">
        <v>21</v>
      </c>
      <c r="D202">
        <v>40000</v>
      </c>
      <c r="E202">
        <v>10</v>
      </c>
      <c r="F202" t="s">
        <v>9</v>
      </c>
      <c r="G202">
        <v>0</v>
      </c>
      <c r="H202">
        <v>3</v>
      </c>
    </row>
    <row r="203" spans="1:8">
      <c r="A203">
        <v>202</v>
      </c>
      <c r="B203" t="s">
        <v>8</v>
      </c>
      <c r="C203">
        <v>34</v>
      </c>
      <c r="D203">
        <v>85000</v>
      </c>
      <c r="E203">
        <v>16</v>
      </c>
      <c r="F203" t="s">
        <v>9</v>
      </c>
      <c r="G203">
        <v>9</v>
      </c>
      <c r="H203">
        <v>3</v>
      </c>
    </row>
    <row r="204" spans="1:8">
      <c r="A204">
        <v>203</v>
      </c>
      <c r="B204" t="s">
        <v>11</v>
      </c>
      <c r="C204">
        <v>16</v>
      </c>
      <c r="D204">
        <v>60000</v>
      </c>
      <c r="E204">
        <v>0</v>
      </c>
      <c r="F204" t="s">
        <v>10</v>
      </c>
      <c r="G204">
        <v>6</v>
      </c>
      <c r="H204">
        <v>8</v>
      </c>
    </row>
    <row r="205" spans="1:8">
      <c r="A205">
        <v>204</v>
      </c>
      <c r="B205" t="s">
        <v>11</v>
      </c>
      <c r="C205">
        <v>76</v>
      </c>
      <c r="D205">
        <v>60000</v>
      </c>
      <c r="E205">
        <v>39</v>
      </c>
      <c r="F205" t="s">
        <v>9</v>
      </c>
      <c r="G205">
        <v>4</v>
      </c>
      <c r="H205">
        <v>2</v>
      </c>
    </row>
    <row r="206" spans="1:8">
      <c r="A206">
        <v>205</v>
      </c>
      <c r="B206" t="s">
        <v>11</v>
      </c>
      <c r="C206">
        <v>62</v>
      </c>
      <c r="D206">
        <v>63000</v>
      </c>
      <c r="E206">
        <v>59</v>
      </c>
      <c r="F206" t="s">
        <v>13</v>
      </c>
      <c r="G206">
        <v>0</v>
      </c>
      <c r="H206">
        <v>2</v>
      </c>
    </row>
    <row r="207" spans="1:8">
      <c r="A207">
        <v>206</v>
      </c>
      <c r="B207" t="s">
        <v>11</v>
      </c>
      <c r="C207">
        <v>63</v>
      </c>
      <c r="D207">
        <v>10000</v>
      </c>
      <c r="E207">
        <v>52</v>
      </c>
      <c r="F207" t="s">
        <v>9</v>
      </c>
      <c r="G207">
        <v>8</v>
      </c>
      <c r="H207">
        <v>3</v>
      </c>
    </row>
    <row r="208" spans="1:8">
      <c r="A208">
        <v>207</v>
      </c>
      <c r="B208" t="s">
        <v>11</v>
      </c>
      <c r="C208">
        <v>19</v>
      </c>
      <c r="D208">
        <v>55000</v>
      </c>
      <c r="E208">
        <v>61</v>
      </c>
      <c r="F208" t="s">
        <v>9</v>
      </c>
      <c r="G208">
        <v>0</v>
      </c>
      <c r="H208">
        <v>3</v>
      </c>
    </row>
    <row r="209" spans="1:8">
      <c r="A209">
        <v>208</v>
      </c>
      <c r="B209" t="s">
        <v>8</v>
      </c>
      <c r="C209">
        <v>46</v>
      </c>
      <c r="D209">
        <v>93000</v>
      </c>
      <c r="E209">
        <v>12</v>
      </c>
      <c r="F209" t="s">
        <v>14</v>
      </c>
      <c r="G209">
        <v>2</v>
      </c>
      <c r="H209">
        <v>1</v>
      </c>
    </row>
    <row r="210" spans="1:8">
      <c r="A210">
        <v>209</v>
      </c>
      <c r="B210" t="s">
        <v>11</v>
      </c>
      <c r="C210">
        <v>48</v>
      </c>
      <c r="D210">
        <v>15000</v>
      </c>
      <c r="E210">
        <v>7</v>
      </c>
      <c r="F210" t="s">
        <v>16</v>
      </c>
      <c r="G210">
        <v>0</v>
      </c>
      <c r="H210">
        <v>2</v>
      </c>
    </row>
    <row r="211" spans="1:8">
      <c r="A211">
        <v>210</v>
      </c>
      <c r="B211" t="s">
        <v>11</v>
      </c>
      <c r="C211">
        <v>80</v>
      </c>
      <c r="D211">
        <v>39000</v>
      </c>
      <c r="E211">
        <v>33</v>
      </c>
      <c r="F211" t="s">
        <v>10</v>
      </c>
      <c r="G211">
        <v>9</v>
      </c>
      <c r="H211">
        <v>4</v>
      </c>
    </row>
    <row r="212" spans="1:8">
      <c r="A212">
        <v>211</v>
      </c>
      <c r="B212" t="s">
        <v>11</v>
      </c>
      <c r="C212">
        <v>1</v>
      </c>
      <c r="D212">
        <v>57000</v>
      </c>
      <c r="E212">
        <v>93</v>
      </c>
      <c r="F212" t="s">
        <v>10</v>
      </c>
      <c r="G212">
        <v>1</v>
      </c>
      <c r="H212">
        <v>2</v>
      </c>
    </row>
    <row r="213" spans="1:8">
      <c r="A213">
        <v>212</v>
      </c>
      <c r="B213" t="s">
        <v>11</v>
      </c>
      <c r="C213">
        <v>0</v>
      </c>
      <c r="D213">
        <v>22000</v>
      </c>
      <c r="E213">
        <v>92</v>
      </c>
      <c r="F213" t="s">
        <v>14</v>
      </c>
      <c r="G213">
        <v>2</v>
      </c>
      <c r="H213">
        <v>1</v>
      </c>
    </row>
    <row r="214" spans="1:8">
      <c r="A214">
        <v>213</v>
      </c>
      <c r="B214" t="s">
        <v>8</v>
      </c>
      <c r="C214">
        <v>86</v>
      </c>
      <c r="D214">
        <v>12000</v>
      </c>
      <c r="E214">
        <v>70</v>
      </c>
      <c r="F214" t="s">
        <v>18</v>
      </c>
      <c r="G214">
        <v>2</v>
      </c>
      <c r="H214">
        <v>4</v>
      </c>
    </row>
    <row r="215" spans="1:8">
      <c r="A215">
        <v>214</v>
      </c>
      <c r="B215" t="s">
        <v>8</v>
      </c>
      <c r="C215">
        <v>49</v>
      </c>
      <c r="D215">
        <v>50000</v>
      </c>
      <c r="E215">
        <v>82</v>
      </c>
      <c r="F215" t="s">
        <v>12</v>
      </c>
      <c r="G215">
        <v>8</v>
      </c>
      <c r="H215">
        <v>1</v>
      </c>
    </row>
    <row r="216" spans="1:8">
      <c r="A216">
        <v>215</v>
      </c>
      <c r="B216" t="s">
        <v>8</v>
      </c>
      <c r="C216">
        <v>48</v>
      </c>
      <c r="D216">
        <v>95000</v>
      </c>
      <c r="E216">
        <v>68</v>
      </c>
      <c r="F216" t="s">
        <v>16</v>
      </c>
      <c r="G216">
        <v>2</v>
      </c>
      <c r="H216">
        <v>4</v>
      </c>
    </row>
    <row r="217" spans="1:8">
      <c r="A217">
        <v>216</v>
      </c>
      <c r="B217" t="s">
        <v>11</v>
      </c>
      <c r="C217">
        <v>46</v>
      </c>
      <c r="D217">
        <v>66000</v>
      </c>
      <c r="E217">
        <v>70</v>
      </c>
      <c r="F217" t="s">
        <v>9</v>
      </c>
      <c r="G217">
        <v>3</v>
      </c>
      <c r="H217">
        <v>3</v>
      </c>
    </row>
    <row r="218" spans="1:8">
      <c r="A218">
        <v>217</v>
      </c>
      <c r="B218" t="s">
        <v>8</v>
      </c>
      <c r="C218">
        <v>79</v>
      </c>
      <c r="D218">
        <v>20000</v>
      </c>
      <c r="E218">
        <v>40</v>
      </c>
      <c r="F218" t="s">
        <v>16</v>
      </c>
      <c r="G218">
        <v>6</v>
      </c>
      <c r="H218">
        <v>2</v>
      </c>
    </row>
    <row r="219" spans="1:8">
      <c r="A219">
        <v>218</v>
      </c>
      <c r="B219" t="s">
        <v>11</v>
      </c>
      <c r="C219">
        <v>83</v>
      </c>
      <c r="D219">
        <v>35000</v>
      </c>
      <c r="E219">
        <v>99</v>
      </c>
      <c r="F219" t="s">
        <v>16</v>
      </c>
      <c r="G219">
        <v>8</v>
      </c>
      <c r="H219">
        <v>2</v>
      </c>
    </row>
    <row r="220" spans="1:8">
      <c r="A220">
        <v>219</v>
      </c>
      <c r="B220" t="s">
        <v>11</v>
      </c>
      <c r="C220">
        <v>66</v>
      </c>
      <c r="D220">
        <v>71000</v>
      </c>
      <c r="E220">
        <v>34</v>
      </c>
      <c r="F220" t="s">
        <v>15</v>
      </c>
      <c r="G220">
        <v>9</v>
      </c>
      <c r="H220">
        <v>2</v>
      </c>
    </row>
    <row r="221" spans="1:8">
      <c r="A221">
        <v>220</v>
      </c>
      <c r="B221" t="s">
        <v>11</v>
      </c>
      <c r="C221">
        <v>59</v>
      </c>
      <c r="D221">
        <v>76000</v>
      </c>
      <c r="E221">
        <v>61</v>
      </c>
      <c r="G221">
        <v>9</v>
      </c>
      <c r="H221">
        <v>1</v>
      </c>
    </row>
    <row r="222" spans="1:8">
      <c r="A222">
        <v>221</v>
      </c>
      <c r="B222" t="s">
        <v>11</v>
      </c>
      <c r="C222">
        <v>39</v>
      </c>
      <c r="D222">
        <v>84000</v>
      </c>
      <c r="E222">
        <v>33</v>
      </c>
      <c r="F222" t="s">
        <v>14</v>
      </c>
      <c r="G222">
        <v>5</v>
      </c>
      <c r="H222">
        <v>3</v>
      </c>
    </row>
    <row r="223" spans="1:8">
      <c r="A223">
        <v>222</v>
      </c>
      <c r="B223" t="s">
        <v>11</v>
      </c>
      <c r="C223">
        <v>95</v>
      </c>
      <c r="D223">
        <v>72000</v>
      </c>
      <c r="E223">
        <v>51</v>
      </c>
      <c r="F223" t="s">
        <v>10</v>
      </c>
      <c r="G223">
        <v>4</v>
      </c>
      <c r="H223">
        <v>2</v>
      </c>
    </row>
    <row r="224" spans="1:8">
      <c r="A224">
        <v>223</v>
      </c>
      <c r="B224" t="s">
        <v>8</v>
      </c>
      <c r="C224">
        <v>43</v>
      </c>
      <c r="D224">
        <v>33000</v>
      </c>
      <c r="E224">
        <v>55</v>
      </c>
      <c r="F224" t="s">
        <v>14</v>
      </c>
      <c r="G224">
        <v>4</v>
      </c>
      <c r="H224">
        <v>3</v>
      </c>
    </row>
    <row r="225" spans="1:8">
      <c r="A225">
        <v>224</v>
      </c>
      <c r="B225" t="s">
        <v>11</v>
      </c>
      <c r="C225">
        <v>93</v>
      </c>
      <c r="D225">
        <v>93000</v>
      </c>
      <c r="E225">
        <v>37</v>
      </c>
      <c r="F225" t="s">
        <v>9</v>
      </c>
      <c r="G225">
        <v>1</v>
      </c>
      <c r="H225">
        <v>5</v>
      </c>
    </row>
    <row r="226" spans="1:8">
      <c r="A226">
        <v>225</v>
      </c>
      <c r="B226" t="s">
        <v>11</v>
      </c>
      <c r="C226">
        <v>40</v>
      </c>
      <c r="D226">
        <v>83000</v>
      </c>
      <c r="E226">
        <v>48</v>
      </c>
      <c r="F226" t="s">
        <v>17</v>
      </c>
      <c r="G226">
        <v>4</v>
      </c>
      <c r="H226">
        <v>1</v>
      </c>
    </row>
    <row r="227" spans="1:8">
      <c r="A227">
        <v>226</v>
      </c>
      <c r="B227" t="s">
        <v>11</v>
      </c>
      <c r="C227">
        <v>78</v>
      </c>
      <c r="D227">
        <v>23000</v>
      </c>
      <c r="E227">
        <v>8</v>
      </c>
      <c r="F227" t="s">
        <v>10</v>
      </c>
      <c r="G227">
        <v>1</v>
      </c>
      <c r="H227">
        <v>1</v>
      </c>
    </row>
    <row r="228" spans="1:8">
      <c r="A228">
        <v>227</v>
      </c>
      <c r="B228" t="s">
        <v>11</v>
      </c>
      <c r="C228">
        <v>25</v>
      </c>
      <c r="D228">
        <v>40000</v>
      </c>
      <c r="E228">
        <v>77</v>
      </c>
      <c r="F228" t="s">
        <v>14</v>
      </c>
      <c r="G228">
        <v>5</v>
      </c>
      <c r="H228">
        <v>4</v>
      </c>
    </row>
    <row r="229" spans="1:8">
      <c r="A229">
        <v>228</v>
      </c>
      <c r="B229" t="s">
        <v>8</v>
      </c>
      <c r="C229">
        <v>76</v>
      </c>
      <c r="D229">
        <v>89000</v>
      </c>
      <c r="E229">
        <v>86</v>
      </c>
      <c r="F229" t="s">
        <v>9</v>
      </c>
      <c r="G229">
        <v>9</v>
      </c>
      <c r="H229">
        <v>4</v>
      </c>
    </row>
    <row r="230" spans="1:8">
      <c r="A230">
        <v>229</v>
      </c>
      <c r="B230" t="s">
        <v>8</v>
      </c>
      <c r="C230">
        <v>0</v>
      </c>
      <c r="D230">
        <v>33000</v>
      </c>
      <c r="E230">
        <v>64</v>
      </c>
      <c r="F230" t="s">
        <v>18</v>
      </c>
      <c r="G230">
        <v>1</v>
      </c>
      <c r="H230">
        <v>1</v>
      </c>
    </row>
    <row r="231" spans="1:8">
      <c r="A231">
        <v>230</v>
      </c>
      <c r="B231" t="s">
        <v>8</v>
      </c>
      <c r="C231">
        <v>15</v>
      </c>
      <c r="D231">
        <v>94000</v>
      </c>
      <c r="E231">
        <v>30</v>
      </c>
      <c r="F231" t="s">
        <v>9</v>
      </c>
      <c r="G231">
        <v>7</v>
      </c>
      <c r="H231">
        <v>2</v>
      </c>
    </row>
    <row r="232" spans="1:8">
      <c r="A232">
        <v>231</v>
      </c>
      <c r="B232" t="s">
        <v>11</v>
      </c>
      <c r="C232">
        <v>6</v>
      </c>
      <c r="D232">
        <v>93000</v>
      </c>
      <c r="E232">
        <v>53</v>
      </c>
      <c r="F232" t="s">
        <v>12</v>
      </c>
      <c r="G232">
        <v>8</v>
      </c>
      <c r="H232">
        <v>2</v>
      </c>
    </row>
    <row r="233" spans="1:8">
      <c r="A233">
        <v>232</v>
      </c>
      <c r="B233" t="s">
        <v>8</v>
      </c>
      <c r="C233">
        <v>84</v>
      </c>
      <c r="D233">
        <v>7000</v>
      </c>
      <c r="E233">
        <v>28</v>
      </c>
      <c r="F233" t="s">
        <v>9</v>
      </c>
      <c r="G233">
        <v>0</v>
      </c>
      <c r="H233">
        <v>4</v>
      </c>
    </row>
    <row r="234" spans="1:8">
      <c r="A234">
        <v>233</v>
      </c>
      <c r="B234" t="s">
        <v>11</v>
      </c>
      <c r="C234">
        <v>67</v>
      </c>
      <c r="D234">
        <v>18000</v>
      </c>
      <c r="E234">
        <v>88</v>
      </c>
      <c r="F234" t="s">
        <v>12</v>
      </c>
      <c r="G234">
        <v>0</v>
      </c>
      <c r="H234">
        <v>2</v>
      </c>
    </row>
    <row r="235" spans="1:8">
      <c r="A235">
        <v>234</v>
      </c>
      <c r="B235" t="s">
        <v>11</v>
      </c>
      <c r="C235">
        <v>78</v>
      </c>
      <c r="D235">
        <v>3000</v>
      </c>
      <c r="E235">
        <v>14</v>
      </c>
      <c r="F235" t="s">
        <v>9</v>
      </c>
      <c r="G235">
        <v>0</v>
      </c>
      <c r="H235">
        <v>4</v>
      </c>
    </row>
    <row r="236" spans="1:8">
      <c r="A236">
        <v>235</v>
      </c>
      <c r="B236" t="s">
        <v>11</v>
      </c>
      <c r="C236">
        <v>4</v>
      </c>
      <c r="D236">
        <v>84000</v>
      </c>
      <c r="E236">
        <v>54</v>
      </c>
      <c r="F236" t="s">
        <v>14</v>
      </c>
      <c r="G236">
        <v>9</v>
      </c>
      <c r="H236">
        <v>1</v>
      </c>
    </row>
    <row r="237" spans="1:8">
      <c r="A237">
        <v>236</v>
      </c>
      <c r="B237" t="s">
        <v>11</v>
      </c>
      <c r="C237">
        <v>29</v>
      </c>
      <c r="D237">
        <v>62000</v>
      </c>
      <c r="E237">
        <v>34</v>
      </c>
      <c r="F237" t="s">
        <v>9</v>
      </c>
      <c r="G237">
        <v>0</v>
      </c>
      <c r="H237">
        <v>4</v>
      </c>
    </row>
    <row r="238" spans="1:8">
      <c r="A238">
        <v>237</v>
      </c>
      <c r="B238" t="s">
        <v>8</v>
      </c>
      <c r="C238">
        <v>91</v>
      </c>
      <c r="D238">
        <v>9000</v>
      </c>
      <c r="E238">
        <v>96</v>
      </c>
      <c r="F238" t="s">
        <v>9</v>
      </c>
      <c r="G238">
        <v>1</v>
      </c>
      <c r="H238">
        <v>5</v>
      </c>
    </row>
    <row r="239" spans="1:8">
      <c r="A239">
        <v>238</v>
      </c>
      <c r="B239" t="s">
        <v>8</v>
      </c>
      <c r="C239">
        <v>95</v>
      </c>
      <c r="D239">
        <v>36000</v>
      </c>
      <c r="E239">
        <v>35</v>
      </c>
      <c r="G239">
        <v>0</v>
      </c>
      <c r="H239">
        <v>4</v>
      </c>
    </row>
    <row r="240" spans="1:8">
      <c r="A240">
        <v>239</v>
      </c>
      <c r="B240" t="s">
        <v>8</v>
      </c>
      <c r="C240">
        <v>55</v>
      </c>
      <c r="D240">
        <v>37000</v>
      </c>
      <c r="E240">
        <v>74</v>
      </c>
      <c r="F240" t="s">
        <v>12</v>
      </c>
      <c r="G240">
        <v>1</v>
      </c>
      <c r="H240">
        <v>4</v>
      </c>
    </row>
    <row r="241" spans="1:8">
      <c r="A241">
        <v>240</v>
      </c>
      <c r="B241" t="s">
        <v>11</v>
      </c>
      <c r="C241">
        <v>14</v>
      </c>
      <c r="D241">
        <v>50000</v>
      </c>
      <c r="E241">
        <v>11</v>
      </c>
      <c r="F241" t="s">
        <v>14</v>
      </c>
      <c r="G241">
        <v>1</v>
      </c>
      <c r="H241">
        <v>2</v>
      </c>
    </row>
    <row r="242" spans="1:8">
      <c r="A242">
        <v>241</v>
      </c>
      <c r="B242" t="s">
        <v>8</v>
      </c>
      <c r="C242">
        <v>92</v>
      </c>
      <c r="D242">
        <v>83000</v>
      </c>
      <c r="E242">
        <v>16</v>
      </c>
      <c r="F242" t="s">
        <v>15</v>
      </c>
      <c r="G242">
        <v>1</v>
      </c>
      <c r="H242">
        <v>5</v>
      </c>
    </row>
    <row r="243" spans="1:8">
      <c r="A243">
        <v>242</v>
      </c>
      <c r="B243" t="s">
        <v>11</v>
      </c>
      <c r="C243">
        <v>65</v>
      </c>
      <c r="D243">
        <v>79000</v>
      </c>
      <c r="E243">
        <v>17</v>
      </c>
      <c r="F243" t="s">
        <v>14</v>
      </c>
      <c r="G243">
        <v>0</v>
      </c>
      <c r="H243">
        <v>3</v>
      </c>
    </row>
    <row r="244" spans="1:8">
      <c r="A244">
        <v>243</v>
      </c>
      <c r="B244" t="s">
        <v>11</v>
      </c>
      <c r="C244">
        <v>84</v>
      </c>
      <c r="D244">
        <v>40000</v>
      </c>
      <c r="E244">
        <v>14</v>
      </c>
      <c r="F244" t="s">
        <v>9</v>
      </c>
      <c r="G244">
        <v>1</v>
      </c>
      <c r="H244">
        <v>4</v>
      </c>
    </row>
    <row r="245" spans="1:8">
      <c r="A245">
        <v>244</v>
      </c>
      <c r="B245" t="s">
        <v>11</v>
      </c>
      <c r="C245">
        <v>77</v>
      </c>
      <c r="D245">
        <v>47000</v>
      </c>
      <c r="E245">
        <v>58</v>
      </c>
      <c r="F245" t="s">
        <v>14</v>
      </c>
      <c r="G245">
        <v>0</v>
      </c>
      <c r="H245">
        <v>6</v>
      </c>
    </row>
    <row r="246" spans="1:8">
      <c r="A246">
        <v>245</v>
      </c>
      <c r="B246" t="s">
        <v>11</v>
      </c>
      <c r="C246">
        <v>53</v>
      </c>
      <c r="D246">
        <v>4000</v>
      </c>
      <c r="E246">
        <v>20</v>
      </c>
      <c r="F246" t="s">
        <v>14</v>
      </c>
      <c r="G246">
        <v>0</v>
      </c>
      <c r="H246">
        <v>4</v>
      </c>
    </row>
    <row r="247" spans="1:8">
      <c r="A247">
        <v>246</v>
      </c>
      <c r="B247" t="s">
        <v>11</v>
      </c>
      <c r="C247">
        <v>28</v>
      </c>
      <c r="D247">
        <v>38000</v>
      </c>
      <c r="E247">
        <v>75</v>
      </c>
      <c r="F247" t="s">
        <v>13</v>
      </c>
      <c r="G247">
        <v>7</v>
      </c>
      <c r="H247">
        <v>2</v>
      </c>
    </row>
    <row r="248" spans="1:8">
      <c r="A248">
        <v>247</v>
      </c>
      <c r="B248" t="s">
        <v>8</v>
      </c>
      <c r="C248">
        <v>23</v>
      </c>
      <c r="D248">
        <v>0</v>
      </c>
      <c r="E248">
        <v>96</v>
      </c>
      <c r="F248" t="s">
        <v>16</v>
      </c>
      <c r="G248">
        <v>1</v>
      </c>
      <c r="H248">
        <v>3</v>
      </c>
    </row>
    <row r="249" spans="1:8">
      <c r="A249">
        <v>248</v>
      </c>
      <c r="B249" t="s">
        <v>11</v>
      </c>
      <c r="C249">
        <v>32</v>
      </c>
      <c r="D249">
        <v>7000</v>
      </c>
      <c r="E249">
        <v>16</v>
      </c>
      <c r="F249" t="s">
        <v>14</v>
      </c>
      <c r="G249">
        <v>1</v>
      </c>
      <c r="H249">
        <v>2</v>
      </c>
    </row>
    <row r="250" spans="1:8">
      <c r="A250">
        <v>249</v>
      </c>
      <c r="B250" t="s">
        <v>11</v>
      </c>
      <c r="C250">
        <v>37</v>
      </c>
      <c r="D250">
        <v>41000</v>
      </c>
      <c r="E250">
        <v>2</v>
      </c>
      <c r="F250" t="s">
        <v>14</v>
      </c>
      <c r="G250">
        <v>1</v>
      </c>
      <c r="H250">
        <v>2</v>
      </c>
    </row>
    <row r="251" spans="1:8">
      <c r="A251">
        <v>250</v>
      </c>
      <c r="B251" t="s">
        <v>11</v>
      </c>
      <c r="C251">
        <v>89</v>
      </c>
      <c r="D251">
        <v>65000</v>
      </c>
      <c r="E251">
        <v>0</v>
      </c>
      <c r="F251" t="s">
        <v>10</v>
      </c>
      <c r="G251">
        <v>0</v>
      </c>
      <c r="H251">
        <v>5</v>
      </c>
    </row>
    <row r="252" spans="1:8">
      <c r="A252">
        <v>251</v>
      </c>
      <c r="B252" t="s">
        <v>8</v>
      </c>
      <c r="C252">
        <v>80</v>
      </c>
      <c r="D252">
        <v>20000</v>
      </c>
      <c r="E252">
        <v>93</v>
      </c>
      <c r="F252" t="s">
        <v>10</v>
      </c>
      <c r="G252">
        <v>1</v>
      </c>
      <c r="H252">
        <v>3</v>
      </c>
    </row>
    <row r="253" spans="1:8">
      <c r="A253">
        <v>252</v>
      </c>
      <c r="B253" t="s">
        <v>11</v>
      </c>
      <c r="C253">
        <v>27</v>
      </c>
      <c r="D253">
        <v>44000</v>
      </c>
      <c r="E253">
        <v>65</v>
      </c>
      <c r="F253" t="s">
        <v>16</v>
      </c>
      <c r="G253">
        <v>8</v>
      </c>
      <c r="H253">
        <v>1</v>
      </c>
    </row>
    <row r="254" spans="1:8">
      <c r="A254">
        <v>253</v>
      </c>
      <c r="B254" t="s">
        <v>11</v>
      </c>
      <c r="C254">
        <v>78</v>
      </c>
      <c r="D254">
        <v>3000</v>
      </c>
      <c r="E254">
        <v>14</v>
      </c>
      <c r="F254" t="s">
        <v>14</v>
      </c>
      <c r="G254">
        <v>5</v>
      </c>
      <c r="H254">
        <v>4</v>
      </c>
    </row>
    <row r="255" spans="1:8">
      <c r="A255">
        <v>254</v>
      </c>
      <c r="B255" t="s">
        <v>11</v>
      </c>
      <c r="C255">
        <v>86</v>
      </c>
      <c r="D255">
        <v>72000</v>
      </c>
      <c r="E255">
        <v>13</v>
      </c>
      <c r="F255" t="s">
        <v>12</v>
      </c>
      <c r="G255">
        <v>7</v>
      </c>
      <c r="H255">
        <v>3</v>
      </c>
    </row>
    <row r="256" spans="1:8">
      <c r="A256">
        <v>255</v>
      </c>
      <c r="B256" t="s">
        <v>11</v>
      </c>
      <c r="C256">
        <v>46</v>
      </c>
      <c r="D256">
        <v>27000</v>
      </c>
      <c r="E256">
        <v>32</v>
      </c>
      <c r="F256" t="s">
        <v>10</v>
      </c>
      <c r="G256">
        <v>4</v>
      </c>
      <c r="H256">
        <v>4</v>
      </c>
    </row>
    <row r="257" spans="1:8">
      <c r="A257">
        <v>256</v>
      </c>
      <c r="B257" t="s">
        <v>8</v>
      </c>
      <c r="C257">
        <v>59</v>
      </c>
      <c r="D257">
        <v>85000</v>
      </c>
      <c r="E257">
        <v>49</v>
      </c>
      <c r="F257" t="s">
        <v>12</v>
      </c>
      <c r="G257">
        <v>4</v>
      </c>
      <c r="H257">
        <v>2</v>
      </c>
    </row>
    <row r="258" spans="1:8">
      <c r="A258">
        <v>257</v>
      </c>
      <c r="B258" t="s">
        <v>8</v>
      </c>
      <c r="C258">
        <v>12</v>
      </c>
      <c r="D258">
        <v>38000</v>
      </c>
      <c r="E258">
        <v>18</v>
      </c>
      <c r="F258" t="s">
        <v>15</v>
      </c>
      <c r="G258">
        <v>10</v>
      </c>
      <c r="H258">
        <v>1</v>
      </c>
    </row>
    <row r="259" spans="1:8">
      <c r="A259">
        <v>258</v>
      </c>
      <c r="B259" t="s">
        <v>8</v>
      </c>
      <c r="C259">
        <v>79</v>
      </c>
      <c r="D259">
        <v>73000</v>
      </c>
      <c r="E259">
        <v>96</v>
      </c>
      <c r="F259" t="s">
        <v>17</v>
      </c>
      <c r="G259">
        <v>6</v>
      </c>
      <c r="H259">
        <v>7</v>
      </c>
    </row>
    <row r="260" spans="1:8">
      <c r="A260">
        <v>259</v>
      </c>
      <c r="B260" t="s">
        <v>11</v>
      </c>
      <c r="C260">
        <v>79</v>
      </c>
      <c r="D260">
        <v>64000</v>
      </c>
      <c r="E260">
        <v>64</v>
      </c>
      <c r="F260" t="s">
        <v>14</v>
      </c>
      <c r="G260">
        <v>2</v>
      </c>
      <c r="H260">
        <v>3</v>
      </c>
    </row>
    <row r="261" spans="1:8">
      <c r="A261">
        <v>260</v>
      </c>
      <c r="B261" t="s">
        <v>8</v>
      </c>
      <c r="C261">
        <v>26</v>
      </c>
      <c r="D261">
        <v>26000</v>
      </c>
      <c r="E261">
        <v>60</v>
      </c>
      <c r="F261" t="s">
        <v>15</v>
      </c>
      <c r="G261">
        <v>6</v>
      </c>
      <c r="H261">
        <v>4</v>
      </c>
    </row>
    <row r="262" spans="1:8">
      <c r="A262">
        <v>261</v>
      </c>
      <c r="B262" t="s">
        <v>11</v>
      </c>
      <c r="C262">
        <v>63</v>
      </c>
      <c r="D262">
        <v>47000</v>
      </c>
      <c r="E262">
        <v>16</v>
      </c>
      <c r="F262" t="s">
        <v>14</v>
      </c>
      <c r="G262">
        <v>2</v>
      </c>
      <c r="H262">
        <v>3</v>
      </c>
    </row>
    <row r="263" spans="1:8">
      <c r="A263">
        <v>262</v>
      </c>
      <c r="B263" t="s">
        <v>11</v>
      </c>
      <c r="C263">
        <v>52</v>
      </c>
      <c r="D263">
        <v>35000</v>
      </c>
      <c r="E263">
        <v>85</v>
      </c>
      <c r="F263" t="s">
        <v>16</v>
      </c>
      <c r="G263">
        <v>2</v>
      </c>
      <c r="H263">
        <v>6</v>
      </c>
    </row>
    <row r="264" spans="1:8">
      <c r="A264">
        <v>263</v>
      </c>
      <c r="B264" t="s">
        <v>11</v>
      </c>
      <c r="C264">
        <v>32</v>
      </c>
      <c r="D264">
        <v>31000</v>
      </c>
      <c r="E264">
        <v>24</v>
      </c>
      <c r="F264" t="s">
        <v>12</v>
      </c>
      <c r="G264">
        <v>2</v>
      </c>
      <c r="H264">
        <v>3</v>
      </c>
    </row>
    <row r="265" spans="1:8">
      <c r="A265">
        <v>264</v>
      </c>
      <c r="B265" t="s">
        <v>11</v>
      </c>
      <c r="C265">
        <v>64</v>
      </c>
      <c r="D265">
        <v>13000</v>
      </c>
      <c r="E265">
        <v>38</v>
      </c>
      <c r="F265" t="s">
        <v>10</v>
      </c>
      <c r="G265">
        <v>3</v>
      </c>
      <c r="H265">
        <v>4</v>
      </c>
    </row>
    <row r="266" spans="1:8">
      <c r="A266">
        <v>265</v>
      </c>
      <c r="B266" t="s">
        <v>11</v>
      </c>
      <c r="C266">
        <v>37</v>
      </c>
      <c r="D266">
        <v>79000</v>
      </c>
      <c r="E266">
        <v>10</v>
      </c>
      <c r="F266" t="s">
        <v>17</v>
      </c>
      <c r="G266">
        <v>1</v>
      </c>
      <c r="H266">
        <v>7</v>
      </c>
    </row>
    <row r="267" spans="1:8">
      <c r="A267">
        <v>266</v>
      </c>
      <c r="B267" t="s">
        <v>8</v>
      </c>
      <c r="C267">
        <v>7</v>
      </c>
      <c r="D267">
        <v>82000</v>
      </c>
      <c r="E267">
        <v>39</v>
      </c>
      <c r="F267" t="s">
        <v>13</v>
      </c>
      <c r="G267">
        <v>2</v>
      </c>
      <c r="H267">
        <v>2</v>
      </c>
    </row>
    <row r="268" spans="1:8">
      <c r="A268">
        <v>267</v>
      </c>
      <c r="B268" t="s">
        <v>11</v>
      </c>
      <c r="C268">
        <v>40</v>
      </c>
      <c r="D268">
        <v>28000</v>
      </c>
      <c r="E268">
        <v>68</v>
      </c>
      <c r="F268" t="s">
        <v>14</v>
      </c>
      <c r="G268">
        <v>1</v>
      </c>
      <c r="H268">
        <v>1</v>
      </c>
    </row>
    <row r="269" spans="1:8">
      <c r="A269">
        <v>268</v>
      </c>
      <c r="B269" t="s">
        <v>11</v>
      </c>
      <c r="C269">
        <v>78</v>
      </c>
      <c r="D269">
        <v>36000</v>
      </c>
      <c r="E269">
        <v>79</v>
      </c>
      <c r="F269" t="s">
        <v>14</v>
      </c>
      <c r="G269">
        <v>0</v>
      </c>
      <c r="H269">
        <v>3</v>
      </c>
    </row>
    <row r="270" spans="1:8">
      <c r="A270">
        <v>269</v>
      </c>
      <c r="B270" t="s">
        <v>11</v>
      </c>
      <c r="C270">
        <v>34</v>
      </c>
      <c r="D270">
        <v>8000</v>
      </c>
      <c r="E270">
        <v>76</v>
      </c>
      <c r="F270" t="s">
        <v>13</v>
      </c>
      <c r="G270">
        <v>6</v>
      </c>
      <c r="H270">
        <v>6</v>
      </c>
    </row>
    <row r="271" spans="1:8">
      <c r="A271">
        <v>270</v>
      </c>
      <c r="B271" t="s">
        <v>11</v>
      </c>
      <c r="C271">
        <v>52</v>
      </c>
      <c r="D271">
        <v>88000</v>
      </c>
      <c r="E271">
        <v>39</v>
      </c>
      <c r="F271" t="s">
        <v>14</v>
      </c>
      <c r="G271">
        <v>1</v>
      </c>
      <c r="H271">
        <v>2</v>
      </c>
    </row>
    <row r="272" spans="1:8">
      <c r="A272">
        <v>271</v>
      </c>
      <c r="B272" t="s">
        <v>8</v>
      </c>
      <c r="C272">
        <v>94</v>
      </c>
      <c r="D272">
        <v>91000</v>
      </c>
      <c r="E272">
        <v>36</v>
      </c>
      <c r="F272" t="s">
        <v>13</v>
      </c>
      <c r="G272">
        <v>0</v>
      </c>
      <c r="H272">
        <v>4</v>
      </c>
    </row>
    <row r="273" spans="1:8">
      <c r="A273">
        <v>272</v>
      </c>
      <c r="B273" t="s">
        <v>11</v>
      </c>
      <c r="C273">
        <v>1</v>
      </c>
      <c r="D273">
        <v>12000</v>
      </c>
      <c r="E273">
        <v>82</v>
      </c>
      <c r="F273" t="s">
        <v>16</v>
      </c>
      <c r="G273">
        <v>0</v>
      </c>
      <c r="H273">
        <v>3</v>
      </c>
    </row>
    <row r="274" spans="1:8">
      <c r="A274">
        <v>273</v>
      </c>
      <c r="B274" t="s">
        <v>11</v>
      </c>
      <c r="C274">
        <v>96</v>
      </c>
      <c r="D274">
        <v>1000</v>
      </c>
      <c r="E274">
        <v>76</v>
      </c>
      <c r="F274" t="s">
        <v>13</v>
      </c>
      <c r="G274">
        <v>0</v>
      </c>
      <c r="H274">
        <v>3</v>
      </c>
    </row>
    <row r="275" spans="1:8">
      <c r="A275">
        <v>274</v>
      </c>
      <c r="B275" t="s">
        <v>11</v>
      </c>
      <c r="C275">
        <v>18</v>
      </c>
      <c r="D275">
        <v>143000</v>
      </c>
      <c r="E275">
        <v>99</v>
      </c>
      <c r="F275" t="s">
        <v>14</v>
      </c>
      <c r="G275">
        <v>0</v>
      </c>
      <c r="H275">
        <v>2</v>
      </c>
    </row>
    <row r="276" spans="1:8">
      <c r="A276">
        <v>275</v>
      </c>
      <c r="B276" t="s">
        <v>11</v>
      </c>
      <c r="C276">
        <v>37</v>
      </c>
      <c r="D276">
        <v>18000</v>
      </c>
      <c r="E276">
        <v>57</v>
      </c>
      <c r="F276" t="s">
        <v>14</v>
      </c>
      <c r="G276">
        <v>1</v>
      </c>
      <c r="H276">
        <v>2</v>
      </c>
    </row>
    <row r="277" spans="1:8">
      <c r="A277">
        <v>276</v>
      </c>
      <c r="B277" t="s">
        <v>8</v>
      </c>
      <c r="C277">
        <v>78</v>
      </c>
      <c r="D277">
        <v>65000</v>
      </c>
      <c r="E277">
        <v>89</v>
      </c>
      <c r="F277" t="s">
        <v>12</v>
      </c>
      <c r="G277">
        <v>1</v>
      </c>
      <c r="H277">
        <v>2</v>
      </c>
    </row>
    <row r="278" spans="1:8">
      <c r="A278">
        <v>277</v>
      </c>
      <c r="B278" t="s">
        <v>8</v>
      </c>
      <c r="C278">
        <v>16</v>
      </c>
      <c r="D278">
        <v>9000</v>
      </c>
      <c r="E278">
        <v>88</v>
      </c>
      <c r="F278" t="s">
        <v>15</v>
      </c>
      <c r="G278">
        <v>7</v>
      </c>
      <c r="H278">
        <v>4</v>
      </c>
    </row>
    <row r="279" spans="1:8">
      <c r="A279">
        <v>278</v>
      </c>
      <c r="B279" t="s">
        <v>8</v>
      </c>
      <c r="C279">
        <v>93</v>
      </c>
      <c r="D279">
        <v>95000</v>
      </c>
      <c r="E279">
        <v>21</v>
      </c>
      <c r="F279" t="s">
        <v>14</v>
      </c>
      <c r="G279">
        <v>1</v>
      </c>
      <c r="H279">
        <v>1</v>
      </c>
    </row>
    <row r="280" spans="1:8">
      <c r="A280">
        <v>279</v>
      </c>
      <c r="B280" t="s">
        <v>11</v>
      </c>
      <c r="C280">
        <v>74</v>
      </c>
      <c r="D280">
        <v>78000</v>
      </c>
      <c r="E280">
        <v>12</v>
      </c>
      <c r="F280" t="s">
        <v>10</v>
      </c>
      <c r="G280">
        <v>9</v>
      </c>
      <c r="H280">
        <v>3</v>
      </c>
    </row>
    <row r="281" spans="1:8">
      <c r="A281">
        <v>280</v>
      </c>
      <c r="B281" t="s">
        <v>8</v>
      </c>
      <c r="C281">
        <v>68</v>
      </c>
      <c r="D281">
        <v>48000</v>
      </c>
      <c r="E281">
        <v>73</v>
      </c>
      <c r="F281" t="s">
        <v>9</v>
      </c>
      <c r="G281">
        <v>3</v>
      </c>
      <c r="H281">
        <v>3</v>
      </c>
    </row>
    <row r="282" spans="1:8">
      <c r="A282">
        <v>281</v>
      </c>
      <c r="B282" t="s">
        <v>11</v>
      </c>
      <c r="C282">
        <v>32</v>
      </c>
      <c r="D282">
        <v>63000</v>
      </c>
      <c r="E282">
        <v>87</v>
      </c>
      <c r="F282" t="s">
        <v>15</v>
      </c>
      <c r="G282">
        <v>1</v>
      </c>
      <c r="H282">
        <v>4</v>
      </c>
    </row>
    <row r="283" spans="1:8">
      <c r="A283">
        <v>282</v>
      </c>
      <c r="B283" t="s">
        <v>11</v>
      </c>
      <c r="C283">
        <v>43</v>
      </c>
      <c r="D283">
        <v>85000</v>
      </c>
      <c r="E283">
        <v>63</v>
      </c>
      <c r="F283" t="s">
        <v>18</v>
      </c>
      <c r="G283">
        <v>1</v>
      </c>
      <c r="H283">
        <v>2</v>
      </c>
    </row>
    <row r="284" spans="1:8">
      <c r="A284">
        <v>283</v>
      </c>
      <c r="B284" t="s">
        <v>11</v>
      </c>
      <c r="C284">
        <v>52</v>
      </c>
      <c r="D284">
        <v>43000</v>
      </c>
      <c r="E284">
        <v>58</v>
      </c>
      <c r="F284" t="s">
        <v>14</v>
      </c>
      <c r="G284">
        <v>1</v>
      </c>
      <c r="H284">
        <v>3</v>
      </c>
    </row>
    <row r="285" spans="1:8">
      <c r="A285">
        <v>284</v>
      </c>
      <c r="B285" t="s">
        <v>11</v>
      </c>
      <c r="C285">
        <v>63</v>
      </c>
      <c r="D285">
        <v>74000</v>
      </c>
      <c r="E285">
        <v>20</v>
      </c>
      <c r="F285" t="s">
        <v>14</v>
      </c>
      <c r="G285">
        <v>1</v>
      </c>
      <c r="H285">
        <v>2</v>
      </c>
    </row>
    <row r="286" spans="1:8">
      <c r="A286">
        <v>285</v>
      </c>
      <c r="B286" t="s">
        <v>11</v>
      </c>
      <c r="C286">
        <v>33</v>
      </c>
      <c r="D286">
        <v>67000</v>
      </c>
      <c r="E286">
        <v>11</v>
      </c>
      <c r="F286" t="s">
        <v>9</v>
      </c>
      <c r="G286">
        <v>0</v>
      </c>
      <c r="H286">
        <v>1</v>
      </c>
    </row>
    <row r="287" spans="1:8">
      <c r="A287">
        <v>286</v>
      </c>
      <c r="B287" t="s">
        <v>8</v>
      </c>
      <c r="C287">
        <v>86</v>
      </c>
      <c r="D287">
        <v>59000</v>
      </c>
      <c r="E287">
        <v>40</v>
      </c>
      <c r="F287" t="s">
        <v>14</v>
      </c>
      <c r="G287">
        <v>0</v>
      </c>
      <c r="H287">
        <v>1</v>
      </c>
    </row>
    <row r="288" spans="1:8">
      <c r="A288">
        <v>287</v>
      </c>
      <c r="B288" t="s">
        <v>11</v>
      </c>
      <c r="C288">
        <v>85</v>
      </c>
      <c r="D288">
        <v>140000</v>
      </c>
      <c r="E288">
        <v>84</v>
      </c>
      <c r="F288" t="s">
        <v>13</v>
      </c>
      <c r="G288">
        <v>1</v>
      </c>
      <c r="H288">
        <v>1</v>
      </c>
    </row>
    <row r="289" spans="1:8">
      <c r="A289">
        <v>288</v>
      </c>
      <c r="B289" t="s">
        <v>11</v>
      </c>
      <c r="C289">
        <v>73</v>
      </c>
      <c r="D289">
        <v>31000</v>
      </c>
      <c r="E289">
        <v>47</v>
      </c>
      <c r="F289" t="s">
        <v>9</v>
      </c>
      <c r="G289">
        <v>1</v>
      </c>
      <c r="H289">
        <v>2</v>
      </c>
    </row>
    <row r="290" spans="1:8">
      <c r="A290">
        <v>289</v>
      </c>
      <c r="B290" t="s">
        <v>11</v>
      </c>
      <c r="C290">
        <v>21</v>
      </c>
      <c r="D290">
        <v>5000</v>
      </c>
      <c r="E290">
        <v>91</v>
      </c>
      <c r="F290" t="s">
        <v>18</v>
      </c>
      <c r="G290">
        <v>0</v>
      </c>
      <c r="H290">
        <v>1</v>
      </c>
    </row>
    <row r="291" spans="1:8">
      <c r="A291">
        <v>290</v>
      </c>
      <c r="B291" t="s">
        <v>11</v>
      </c>
      <c r="C291">
        <v>93</v>
      </c>
      <c r="D291">
        <v>19000</v>
      </c>
      <c r="E291">
        <v>58</v>
      </c>
      <c r="F291" t="s">
        <v>10</v>
      </c>
      <c r="G291">
        <v>1</v>
      </c>
      <c r="H291">
        <v>3</v>
      </c>
    </row>
    <row r="292" spans="1:8">
      <c r="A292">
        <v>291</v>
      </c>
      <c r="B292" t="s">
        <v>8</v>
      </c>
      <c r="C292">
        <v>9</v>
      </c>
      <c r="D292">
        <v>27000</v>
      </c>
      <c r="E292">
        <v>62</v>
      </c>
      <c r="F292" t="s">
        <v>13</v>
      </c>
      <c r="G292">
        <v>7</v>
      </c>
      <c r="H292">
        <v>1</v>
      </c>
    </row>
    <row r="293" spans="1:8">
      <c r="A293">
        <v>292</v>
      </c>
      <c r="B293" t="s">
        <v>11</v>
      </c>
      <c r="C293">
        <v>10</v>
      </c>
      <c r="D293">
        <v>68000</v>
      </c>
      <c r="E293">
        <v>80</v>
      </c>
      <c r="F293" t="s">
        <v>16</v>
      </c>
      <c r="G293">
        <v>6</v>
      </c>
      <c r="H293">
        <v>3</v>
      </c>
    </row>
    <row r="294" spans="1:8">
      <c r="A294">
        <v>293</v>
      </c>
      <c r="B294" t="s">
        <v>8</v>
      </c>
      <c r="C294">
        <v>11</v>
      </c>
      <c r="D294">
        <v>38000</v>
      </c>
      <c r="E294">
        <v>66</v>
      </c>
      <c r="F294" t="s">
        <v>14</v>
      </c>
      <c r="G294">
        <v>8</v>
      </c>
      <c r="H294">
        <v>8</v>
      </c>
    </row>
    <row r="295" spans="1:8">
      <c r="A295">
        <v>294</v>
      </c>
      <c r="B295" t="s">
        <v>11</v>
      </c>
      <c r="C295">
        <v>48</v>
      </c>
      <c r="D295">
        <v>50000</v>
      </c>
      <c r="E295">
        <v>36</v>
      </c>
      <c r="F295" t="s">
        <v>10</v>
      </c>
      <c r="G295">
        <v>6</v>
      </c>
      <c r="H295">
        <v>4</v>
      </c>
    </row>
    <row r="296" spans="1:8">
      <c r="A296">
        <v>295</v>
      </c>
      <c r="B296" t="s">
        <v>11</v>
      </c>
      <c r="C296">
        <v>73</v>
      </c>
      <c r="D296">
        <v>80000</v>
      </c>
      <c r="E296">
        <v>73</v>
      </c>
      <c r="F296" t="s">
        <v>13</v>
      </c>
      <c r="G296">
        <v>2</v>
      </c>
      <c r="H296">
        <v>2</v>
      </c>
    </row>
    <row r="297" spans="1:8">
      <c r="A297">
        <v>296</v>
      </c>
      <c r="B297" t="s">
        <v>11</v>
      </c>
      <c r="C297">
        <v>66</v>
      </c>
      <c r="D297">
        <v>69000</v>
      </c>
      <c r="E297">
        <v>43</v>
      </c>
      <c r="F297" t="s">
        <v>15</v>
      </c>
      <c r="G297">
        <v>9</v>
      </c>
      <c r="H297">
        <v>3</v>
      </c>
    </row>
    <row r="298" spans="1:8">
      <c r="A298">
        <v>297</v>
      </c>
      <c r="B298" t="s">
        <v>11</v>
      </c>
      <c r="C298">
        <v>79</v>
      </c>
      <c r="D298">
        <v>31000</v>
      </c>
      <c r="E298">
        <v>91</v>
      </c>
      <c r="F298" t="s">
        <v>10</v>
      </c>
      <c r="G298">
        <v>3</v>
      </c>
      <c r="H298">
        <v>3</v>
      </c>
    </row>
    <row r="299" spans="1:8">
      <c r="A299">
        <v>298</v>
      </c>
      <c r="B299" t="s">
        <v>8</v>
      </c>
      <c r="C299">
        <v>62</v>
      </c>
      <c r="D299">
        <v>87000</v>
      </c>
      <c r="E299">
        <v>41</v>
      </c>
      <c r="F299" t="s">
        <v>16</v>
      </c>
      <c r="G299">
        <v>6</v>
      </c>
      <c r="H299">
        <v>2</v>
      </c>
    </row>
    <row r="300" spans="1:8">
      <c r="A300">
        <v>299</v>
      </c>
      <c r="B300" t="s">
        <v>8</v>
      </c>
      <c r="C300">
        <v>17</v>
      </c>
      <c r="D300">
        <v>79000</v>
      </c>
      <c r="E300">
        <v>16</v>
      </c>
      <c r="F300" t="s">
        <v>14</v>
      </c>
      <c r="G300">
        <v>1</v>
      </c>
      <c r="H300">
        <v>3</v>
      </c>
    </row>
    <row r="301" spans="1:8">
      <c r="A301">
        <v>300</v>
      </c>
      <c r="B301" t="s">
        <v>8</v>
      </c>
      <c r="C301">
        <v>32</v>
      </c>
      <c r="D301">
        <v>32000</v>
      </c>
      <c r="E301">
        <v>86</v>
      </c>
      <c r="F301" t="s">
        <v>13</v>
      </c>
      <c r="G301">
        <v>5</v>
      </c>
      <c r="H301">
        <v>2</v>
      </c>
    </row>
    <row r="302" spans="1:8">
      <c r="A302">
        <v>301</v>
      </c>
      <c r="B302" t="s">
        <v>8</v>
      </c>
      <c r="C302">
        <v>85</v>
      </c>
      <c r="D302">
        <v>153787</v>
      </c>
      <c r="E302">
        <v>100</v>
      </c>
      <c r="F302" t="s">
        <v>13</v>
      </c>
      <c r="G302">
        <v>3</v>
      </c>
      <c r="H302">
        <v>3</v>
      </c>
    </row>
    <row r="303" spans="1:8">
      <c r="A303">
        <v>302</v>
      </c>
      <c r="B303" t="s">
        <v>8</v>
      </c>
      <c r="C303">
        <v>31</v>
      </c>
      <c r="D303">
        <v>95851</v>
      </c>
      <c r="E303">
        <v>16</v>
      </c>
      <c r="F303" t="s">
        <v>9</v>
      </c>
      <c r="G303">
        <v>5</v>
      </c>
      <c r="H303">
        <v>2</v>
      </c>
    </row>
    <row r="304" spans="1:8">
      <c r="A304">
        <v>303</v>
      </c>
      <c r="B304" t="s">
        <v>11</v>
      </c>
      <c r="C304">
        <v>31</v>
      </c>
      <c r="D304">
        <v>145015</v>
      </c>
      <c r="E304">
        <v>73</v>
      </c>
      <c r="F304" t="s">
        <v>9</v>
      </c>
      <c r="G304">
        <v>6</v>
      </c>
      <c r="H304">
        <v>3</v>
      </c>
    </row>
    <row r="305" spans="1:8">
      <c r="A305">
        <v>304</v>
      </c>
      <c r="B305" t="s">
        <v>11</v>
      </c>
      <c r="C305">
        <v>38</v>
      </c>
      <c r="D305">
        <v>148539</v>
      </c>
      <c r="E305">
        <v>7</v>
      </c>
      <c r="F305" t="s">
        <v>9</v>
      </c>
      <c r="G305">
        <v>5</v>
      </c>
      <c r="H305">
        <v>2</v>
      </c>
    </row>
    <row r="306" spans="1:8">
      <c r="A306">
        <v>305</v>
      </c>
      <c r="B306" t="s">
        <v>11</v>
      </c>
      <c r="C306">
        <v>90</v>
      </c>
      <c r="D306">
        <v>117319</v>
      </c>
      <c r="E306">
        <v>21</v>
      </c>
      <c r="F306" t="s">
        <v>12</v>
      </c>
      <c r="G306">
        <v>1</v>
      </c>
      <c r="H306">
        <v>2</v>
      </c>
    </row>
    <row r="307" spans="1:8">
      <c r="A307">
        <v>306</v>
      </c>
      <c r="B307" t="s">
        <v>11</v>
      </c>
      <c r="C307">
        <v>65</v>
      </c>
      <c r="D307">
        <v>180243</v>
      </c>
      <c r="E307">
        <v>26</v>
      </c>
      <c r="F307" t="s">
        <v>18</v>
      </c>
      <c r="G307">
        <v>6</v>
      </c>
      <c r="H307">
        <v>2</v>
      </c>
    </row>
    <row r="308" spans="1:8">
      <c r="A308">
        <v>307</v>
      </c>
      <c r="B308" t="s">
        <v>11</v>
      </c>
      <c r="C308">
        <v>63</v>
      </c>
      <c r="D308">
        <v>165052</v>
      </c>
      <c r="E308">
        <v>12</v>
      </c>
      <c r="F308" t="s">
        <v>14</v>
      </c>
      <c r="G308">
        <v>4</v>
      </c>
      <c r="H308">
        <v>2</v>
      </c>
    </row>
    <row r="309" spans="1:8">
      <c r="A309">
        <v>308</v>
      </c>
      <c r="B309" t="s">
        <v>11</v>
      </c>
      <c r="C309">
        <v>61</v>
      </c>
      <c r="D309">
        <v>120487</v>
      </c>
      <c r="E309">
        <v>14</v>
      </c>
      <c r="F309" t="s">
        <v>16</v>
      </c>
      <c r="G309">
        <v>0</v>
      </c>
      <c r="H309">
        <v>2</v>
      </c>
    </row>
    <row r="310" spans="1:8">
      <c r="A310">
        <v>309</v>
      </c>
      <c r="B310" t="s">
        <v>8</v>
      </c>
      <c r="C310">
        <v>26</v>
      </c>
      <c r="D310">
        <v>112766</v>
      </c>
      <c r="E310">
        <v>83</v>
      </c>
      <c r="F310" t="s">
        <v>10</v>
      </c>
      <c r="G310">
        <v>8</v>
      </c>
      <c r="H310">
        <v>4</v>
      </c>
    </row>
    <row r="311" spans="1:8">
      <c r="A311">
        <v>310</v>
      </c>
      <c r="B311" t="s">
        <v>11</v>
      </c>
      <c r="C311">
        <v>17</v>
      </c>
      <c r="D311">
        <v>156488</v>
      </c>
      <c r="E311">
        <v>65</v>
      </c>
      <c r="F311" t="s">
        <v>10</v>
      </c>
      <c r="G311">
        <v>1</v>
      </c>
      <c r="H311">
        <v>4</v>
      </c>
    </row>
    <row r="312" spans="1:8">
      <c r="A312">
        <v>311</v>
      </c>
      <c r="B312" t="s">
        <v>8</v>
      </c>
      <c r="C312">
        <v>56</v>
      </c>
      <c r="D312">
        <v>97562</v>
      </c>
      <c r="E312">
        <v>15</v>
      </c>
      <c r="F312" t="s">
        <v>15</v>
      </c>
      <c r="G312">
        <v>5</v>
      </c>
      <c r="H312">
        <v>6</v>
      </c>
    </row>
    <row r="313" spans="1:8">
      <c r="A313">
        <v>312</v>
      </c>
      <c r="B313" t="s">
        <v>11</v>
      </c>
      <c r="C313">
        <v>12</v>
      </c>
      <c r="D313">
        <v>77501</v>
      </c>
      <c r="E313">
        <v>30</v>
      </c>
      <c r="F313" t="s">
        <v>10</v>
      </c>
      <c r="G313">
        <v>5</v>
      </c>
      <c r="H313">
        <v>4</v>
      </c>
    </row>
    <row r="314" spans="1:8">
      <c r="A314">
        <v>313</v>
      </c>
      <c r="B314" t="s">
        <v>11</v>
      </c>
      <c r="C314">
        <v>24</v>
      </c>
      <c r="D314">
        <v>118302</v>
      </c>
      <c r="E314">
        <v>100</v>
      </c>
      <c r="F314" t="s">
        <v>12</v>
      </c>
      <c r="G314">
        <v>5</v>
      </c>
      <c r="H314">
        <v>1</v>
      </c>
    </row>
    <row r="315" spans="1:8">
      <c r="A315">
        <v>314</v>
      </c>
      <c r="B315" t="s">
        <v>11</v>
      </c>
      <c r="C315">
        <v>13</v>
      </c>
      <c r="D315">
        <v>64277</v>
      </c>
      <c r="E315">
        <v>9</v>
      </c>
      <c r="F315" t="s">
        <v>15</v>
      </c>
      <c r="G315">
        <v>9</v>
      </c>
      <c r="H315">
        <v>4</v>
      </c>
    </row>
    <row r="316" spans="1:8">
      <c r="A316">
        <v>315</v>
      </c>
      <c r="B316" t="s">
        <v>8</v>
      </c>
      <c r="C316">
        <v>12</v>
      </c>
      <c r="D316">
        <v>53927</v>
      </c>
      <c r="E316">
        <v>77</v>
      </c>
      <c r="F316" t="s">
        <v>16</v>
      </c>
      <c r="G316">
        <v>2</v>
      </c>
      <c r="H316">
        <v>3</v>
      </c>
    </row>
    <row r="317" spans="1:8">
      <c r="A317">
        <v>316</v>
      </c>
      <c r="B317" t="s">
        <v>8</v>
      </c>
      <c r="C317">
        <v>72</v>
      </c>
      <c r="D317">
        <v>93921</v>
      </c>
      <c r="E317">
        <v>93</v>
      </c>
      <c r="F317" t="s">
        <v>12</v>
      </c>
      <c r="G317">
        <v>9</v>
      </c>
      <c r="H317">
        <v>2</v>
      </c>
    </row>
    <row r="318" spans="1:8">
      <c r="A318">
        <v>317</v>
      </c>
      <c r="B318" t="s">
        <v>11</v>
      </c>
      <c r="C318">
        <v>54</v>
      </c>
      <c r="D318">
        <v>132046</v>
      </c>
      <c r="E318">
        <v>8</v>
      </c>
      <c r="F318" t="s">
        <v>17</v>
      </c>
      <c r="G318">
        <v>4</v>
      </c>
      <c r="H318">
        <v>4</v>
      </c>
    </row>
    <row r="319" spans="1:8">
      <c r="A319">
        <v>318</v>
      </c>
      <c r="B319" t="s">
        <v>8</v>
      </c>
      <c r="C319">
        <v>45</v>
      </c>
      <c r="D319">
        <v>183217</v>
      </c>
      <c r="E319">
        <v>91</v>
      </c>
      <c r="F319" t="s">
        <v>14</v>
      </c>
      <c r="G319">
        <v>7</v>
      </c>
      <c r="H319">
        <v>2</v>
      </c>
    </row>
    <row r="320" spans="1:8">
      <c r="A320">
        <v>319</v>
      </c>
      <c r="B320" t="s">
        <v>8</v>
      </c>
      <c r="C320">
        <v>66</v>
      </c>
      <c r="D320">
        <v>182937</v>
      </c>
      <c r="E320">
        <v>44</v>
      </c>
      <c r="F320" t="s">
        <v>18</v>
      </c>
      <c r="G320">
        <v>8</v>
      </c>
      <c r="H320">
        <v>1</v>
      </c>
    </row>
    <row r="321" spans="1:8">
      <c r="A321">
        <v>320</v>
      </c>
      <c r="B321" t="s">
        <v>11</v>
      </c>
      <c r="C321">
        <v>27</v>
      </c>
      <c r="D321">
        <v>68272</v>
      </c>
      <c r="E321">
        <v>56</v>
      </c>
      <c r="F321" t="s">
        <v>9</v>
      </c>
      <c r="G321">
        <v>8</v>
      </c>
      <c r="H321">
        <v>4</v>
      </c>
    </row>
    <row r="322" spans="1:8">
      <c r="A322">
        <v>321</v>
      </c>
      <c r="B322" t="s">
        <v>8</v>
      </c>
      <c r="C322">
        <v>36</v>
      </c>
      <c r="D322">
        <v>69841</v>
      </c>
      <c r="E322">
        <v>21</v>
      </c>
      <c r="F322" t="s">
        <v>10</v>
      </c>
      <c r="G322">
        <v>10</v>
      </c>
      <c r="H322">
        <v>2</v>
      </c>
    </row>
    <row r="323" spans="1:8">
      <c r="A323">
        <v>322</v>
      </c>
      <c r="B323" t="s">
        <v>8</v>
      </c>
      <c r="C323">
        <v>5</v>
      </c>
      <c r="D323">
        <v>69078</v>
      </c>
      <c r="E323">
        <v>60</v>
      </c>
      <c r="F323" t="s">
        <v>12</v>
      </c>
      <c r="G323">
        <v>13</v>
      </c>
      <c r="H323">
        <v>1</v>
      </c>
    </row>
    <row r="324" spans="1:8">
      <c r="A324">
        <v>323</v>
      </c>
      <c r="B324" t="s">
        <v>11</v>
      </c>
      <c r="C324">
        <v>89</v>
      </c>
      <c r="D324">
        <v>110667</v>
      </c>
      <c r="E324">
        <v>100</v>
      </c>
      <c r="F324" t="s">
        <v>9</v>
      </c>
      <c r="G324">
        <v>2</v>
      </c>
      <c r="H324">
        <v>4</v>
      </c>
    </row>
    <row r="325" spans="1:8">
      <c r="A325">
        <v>324</v>
      </c>
      <c r="B325" t="s">
        <v>8</v>
      </c>
      <c r="C325">
        <v>13</v>
      </c>
      <c r="D325">
        <v>95469</v>
      </c>
      <c r="E325">
        <v>94</v>
      </c>
      <c r="F325" t="s">
        <v>16</v>
      </c>
      <c r="G325">
        <v>6</v>
      </c>
      <c r="H325">
        <v>1</v>
      </c>
    </row>
    <row r="326" spans="1:8">
      <c r="A326">
        <v>325</v>
      </c>
      <c r="B326" t="s">
        <v>11</v>
      </c>
      <c r="C326">
        <v>91</v>
      </c>
      <c r="D326">
        <v>102861</v>
      </c>
      <c r="E326">
        <v>40</v>
      </c>
      <c r="F326" t="s">
        <v>14</v>
      </c>
      <c r="G326">
        <v>4</v>
      </c>
      <c r="H326">
        <v>1</v>
      </c>
    </row>
    <row r="327" spans="1:8">
      <c r="A327">
        <v>326</v>
      </c>
      <c r="B327" t="s">
        <v>8</v>
      </c>
      <c r="C327">
        <v>16</v>
      </c>
      <c r="D327">
        <v>133551</v>
      </c>
      <c r="E327">
        <v>7</v>
      </c>
      <c r="F327" t="s">
        <v>14</v>
      </c>
      <c r="G327">
        <v>3</v>
      </c>
      <c r="H327">
        <v>1</v>
      </c>
    </row>
    <row r="328" spans="1:8">
      <c r="A328">
        <v>327</v>
      </c>
      <c r="B328" t="s">
        <v>11</v>
      </c>
      <c r="C328">
        <v>63</v>
      </c>
      <c r="D328">
        <v>64589</v>
      </c>
      <c r="E328">
        <v>90</v>
      </c>
      <c r="F328" t="s">
        <v>10</v>
      </c>
      <c r="G328">
        <v>7</v>
      </c>
      <c r="H328">
        <v>1</v>
      </c>
    </row>
    <row r="329" spans="1:8">
      <c r="A329">
        <v>328</v>
      </c>
      <c r="B329" t="s">
        <v>8</v>
      </c>
      <c r="C329">
        <v>52</v>
      </c>
      <c r="D329">
        <v>152755</v>
      </c>
      <c r="E329">
        <v>39</v>
      </c>
      <c r="F329" t="s">
        <v>10</v>
      </c>
      <c r="G329">
        <v>4</v>
      </c>
      <c r="H329">
        <v>2</v>
      </c>
    </row>
    <row r="330" spans="1:8">
      <c r="A330">
        <v>329</v>
      </c>
      <c r="B330" t="s">
        <v>11</v>
      </c>
      <c r="C330">
        <v>37</v>
      </c>
      <c r="D330">
        <v>92313</v>
      </c>
      <c r="E330">
        <v>58</v>
      </c>
      <c r="F330" t="s">
        <v>9</v>
      </c>
      <c r="G330">
        <v>1</v>
      </c>
      <c r="H330">
        <v>5</v>
      </c>
    </row>
    <row r="331" spans="1:8">
      <c r="A331">
        <v>330</v>
      </c>
      <c r="B331" t="s">
        <v>11</v>
      </c>
      <c r="C331">
        <v>78</v>
      </c>
      <c r="D331">
        <v>98922</v>
      </c>
      <c r="E331">
        <v>2</v>
      </c>
      <c r="F331" t="s">
        <v>14</v>
      </c>
      <c r="G331">
        <v>2</v>
      </c>
      <c r="H331">
        <v>3</v>
      </c>
    </row>
    <row r="332" spans="1:8">
      <c r="A332">
        <v>331</v>
      </c>
      <c r="B332" t="s">
        <v>8</v>
      </c>
      <c r="C332">
        <v>24</v>
      </c>
      <c r="D332">
        <v>165846</v>
      </c>
      <c r="E332">
        <v>33</v>
      </c>
      <c r="F332" t="s">
        <v>10</v>
      </c>
      <c r="G332">
        <v>0</v>
      </c>
      <c r="H332">
        <v>4</v>
      </c>
    </row>
    <row r="333" spans="1:8">
      <c r="A333">
        <v>332</v>
      </c>
      <c r="B333" t="s">
        <v>11</v>
      </c>
      <c r="C333">
        <v>4</v>
      </c>
      <c r="D333">
        <v>93713</v>
      </c>
      <c r="E333">
        <v>62</v>
      </c>
      <c r="F333" t="s">
        <v>10</v>
      </c>
      <c r="G333">
        <v>3</v>
      </c>
      <c r="H333">
        <v>4</v>
      </c>
    </row>
    <row r="334" spans="1:8">
      <c r="A334">
        <v>333</v>
      </c>
      <c r="B334" t="s">
        <v>8</v>
      </c>
      <c r="C334">
        <v>84</v>
      </c>
      <c r="D334">
        <v>137641</v>
      </c>
      <c r="E334">
        <v>67</v>
      </c>
      <c r="F334" t="s">
        <v>9</v>
      </c>
      <c r="G334">
        <v>0</v>
      </c>
      <c r="H334">
        <v>5</v>
      </c>
    </row>
    <row r="335" spans="1:8">
      <c r="A335">
        <v>334</v>
      </c>
      <c r="B335" t="s">
        <v>8</v>
      </c>
      <c r="C335">
        <v>0</v>
      </c>
      <c r="D335">
        <v>173743</v>
      </c>
      <c r="E335">
        <v>96</v>
      </c>
      <c r="F335" t="s">
        <v>14</v>
      </c>
      <c r="G335">
        <v>0</v>
      </c>
      <c r="H335">
        <v>4</v>
      </c>
    </row>
    <row r="336" spans="1:8">
      <c r="A336">
        <v>335</v>
      </c>
      <c r="B336" t="s">
        <v>11</v>
      </c>
      <c r="C336">
        <v>67</v>
      </c>
      <c r="D336">
        <v>116126</v>
      </c>
      <c r="E336">
        <v>58</v>
      </c>
      <c r="F336" t="s">
        <v>13</v>
      </c>
      <c r="G336">
        <v>10</v>
      </c>
      <c r="H336">
        <v>2</v>
      </c>
    </row>
    <row r="337" spans="1:8">
      <c r="A337">
        <v>336</v>
      </c>
      <c r="B337" t="s">
        <v>11</v>
      </c>
      <c r="C337">
        <v>32</v>
      </c>
      <c r="D337">
        <v>112246</v>
      </c>
      <c r="E337">
        <v>30</v>
      </c>
      <c r="F337" t="s">
        <v>9</v>
      </c>
      <c r="G337">
        <v>8</v>
      </c>
      <c r="H337">
        <v>3</v>
      </c>
    </row>
    <row r="338" spans="1:8">
      <c r="A338">
        <v>337</v>
      </c>
      <c r="B338" t="s">
        <v>11</v>
      </c>
      <c r="C338">
        <v>39</v>
      </c>
      <c r="D338">
        <v>69384</v>
      </c>
      <c r="E338">
        <v>75</v>
      </c>
      <c r="F338" t="s">
        <v>9</v>
      </c>
      <c r="G338">
        <v>1</v>
      </c>
      <c r="H338">
        <v>5</v>
      </c>
    </row>
    <row r="339" spans="1:8">
      <c r="A339">
        <v>338</v>
      </c>
      <c r="B339" t="s">
        <v>11</v>
      </c>
      <c r="C339">
        <v>68</v>
      </c>
      <c r="D339">
        <v>76529</v>
      </c>
      <c r="E339">
        <v>62</v>
      </c>
      <c r="F339" t="s">
        <v>9</v>
      </c>
      <c r="G339">
        <v>0</v>
      </c>
      <c r="H339">
        <v>2</v>
      </c>
    </row>
    <row r="340" spans="1:8">
      <c r="A340">
        <v>339</v>
      </c>
      <c r="B340" t="s">
        <v>11</v>
      </c>
      <c r="C340">
        <v>7</v>
      </c>
      <c r="D340">
        <v>123804</v>
      </c>
      <c r="E340">
        <v>28</v>
      </c>
      <c r="F340" t="s">
        <v>16</v>
      </c>
      <c r="G340">
        <v>14</v>
      </c>
      <c r="H340">
        <v>1</v>
      </c>
    </row>
    <row r="341" spans="1:8">
      <c r="A341">
        <v>340</v>
      </c>
      <c r="B341" t="s">
        <v>11</v>
      </c>
      <c r="C341">
        <v>76</v>
      </c>
      <c r="D341">
        <v>68292</v>
      </c>
      <c r="E341">
        <v>55</v>
      </c>
      <c r="F341" t="s">
        <v>14</v>
      </c>
      <c r="G341">
        <v>8</v>
      </c>
      <c r="H341">
        <v>2</v>
      </c>
    </row>
    <row r="342" spans="1:8">
      <c r="A342">
        <v>341</v>
      </c>
      <c r="B342" t="s">
        <v>11</v>
      </c>
      <c r="C342">
        <v>84</v>
      </c>
      <c r="D342">
        <v>173185</v>
      </c>
      <c r="E342">
        <v>99</v>
      </c>
      <c r="F342" t="s">
        <v>14</v>
      </c>
      <c r="G342">
        <v>3</v>
      </c>
      <c r="H342">
        <v>1</v>
      </c>
    </row>
    <row r="343" spans="1:8">
      <c r="A343">
        <v>342</v>
      </c>
      <c r="B343" t="s">
        <v>8</v>
      </c>
      <c r="C343">
        <v>75</v>
      </c>
      <c r="D343">
        <v>142034</v>
      </c>
      <c r="E343">
        <v>82</v>
      </c>
      <c r="F343" t="s">
        <v>13</v>
      </c>
      <c r="G343">
        <v>1</v>
      </c>
      <c r="H343">
        <v>4</v>
      </c>
    </row>
    <row r="344" spans="1:8">
      <c r="A344">
        <v>343</v>
      </c>
      <c r="B344" t="s">
        <v>8</v>
      </c>
      <c r="C344">
        <v>22</v>
      </c>
      <c r="D344">
        <v>107941</v>
      </c>
      <c r="E344">
        <v>61</v>
      </c>
      <c r="F344" t="s">
        <v>14</v>
      </c>
      <c r="G344">
        <v>0</v>
      </c>
      <c r="H344">
        <v>1</v>
      </c>
    </row>
    <row r="345" spans="1:8">
      <c r="A345">
        <v>344</v>
      </c>
      <c r="B345" t="s">
        <v>11</v>
      </c>
      <c r="C345">
        <v>90</v>
      </c>
      <c r="D345">
        <v>149840</v>
      </c>
      <c r="E345">
        <v>61</v>
      </c>
      <c r="F345" t="s">
        <v>10</v>
      </c>
      <c r="G345">
        <v>1</v>
      </c>
      <c r="H345">
        <v>1</v>
      </c>
    </row>
    <row r="346" spans="1:8">
      <c r="A346">
        <v>345</v>
      </c>
      <c r="B346" t="s">
        <v>11</v>
      </c>
      <c r="C346">
        <v>4</v>
      </c>
      <c r="D346">
        <v>148431</v>
      </c>
      <c r="E346">
        <v>99</v>
      </c>
      <c r="F346" t="s">
        <v>9</v>
      </c>
      <c r="G346">
        <v>1</v>
      </c>
      <c r="H346">
        <v>8</v>
      </c>
    </row>
    <row r="347" spans="1:8">
      <c r="A347">
        <v>346</v>
      </c>
      <c r="B347" t="s">
        <v>11</v>
      </c>
      <c r="C347">
        <v>78</v>
      </c>
      <c r="D347">
        <v>126599</v>
      </c>
      <c r="E347">
        <v>84</v>
      </c>
      <c r="F347" t="s">
        <v>12</v>
      </c>
      <c r="G347">
        <v>0</v>
      </c>
      <c r="H347">
        <v>3</v>
      </c>
    </row>
    <row r="348" spans="1:8">
      <c r="A348">
        <v>347</v>
      </c>
      <c r="B348" t="s">
        <v>11</v>
      </c>
      <c r="C348">
        <v>58</v>
      </c>
      <c r="D348">
        <v>57180</v>
      </c>
      <c r="E348">
        <v>22</v>
      </c>
      <c r="F348" t="s">
        <v>9</v>
      </c>
      <c r="G348">
        <v>9</v>
      </c>
      <c r="H348">
        <v>1</v>
      </c>
    </row>
    <row r="349" spans="1:8">
      <c r="A349">
        <v>348</v>
      </c>
      <c r="B349" t="s">
        <v>11</v>
      </c>
      <c r="C349">
        <v>99</v>
      </c>
      <c r="D349">
        <v>184426</v>
      </c>
      <c r="E349">
        <v>41</v>
      </c>
      <c r="F349" t="s">
        <v>14</v>
      </c>
      <c r="G349">
        <v>9</v>
      </c>
      <c r="H349">
        <v>1</v>
      </c>
    </row>
    <row r="350" spans="1:8">
      <c r="A350">
        <v>349</v>
      </c>
      <c r="B350" t="s">
        <v>11</v>
      </c>
      <c r="C350">
        <v>24</v>
      </c>
      <c r="D350">
        <v>151085</v>
      </c>
      <c r="E350">
        <v>39</v>
      </c>
      <c r="F350" t="s">
        <v>18</v>
      </c>
      <c r="G350">
        <v>2</v>
      </c>
      <c r="H350">
        <v>5</v>
      </c>
    </row>
    <row r="351" spans="1:8">
      <c r="A351">
        <v>350</v>
      </c>
      <c r="B351" t="s">
        <v>11</v>
      </c>
      <c r="C351">
        <v>88</v>
      </c>
      <c r="D351">
        <v>166107</v>
      </c>
      <c r="E351">
        <v>98</v>
      </c>
      <c r="F351" t="s">
        <v>14</v>
      </c>
      <c r="G351">
        <v>13</v>
      </c>
      <c r="H351">
        <v>4</v>
      </c>
    </row>
    <row r="352" spans="1:8">
      <c r="A352">
        <v>351</v>
      </c>
      <c r="B352" t="s">
        <v>11</v>
      </c>
      <c r="C352">
        <v>92</v>
      </c>
      <c r="D352">
        <v>67850</v>
      </c>
      <c r="E352">
        <v>91</v>
      </c>
      <c r="F352" t="s">
        <v>14</v>
      </c>
      <c r="G352">
        <v>9</v>
      </c>
      <c r="H352">
        <v>4</v>
      </c>
    </row>
    <row r="353" spans="1:8">
      <c r="A353">
        <v>352</v>
      </c>
      <c r="B353" t="s">
        <v>8</v>
      </c>
      <c r="C353">
        <v>99</v>
      </c>
      <c r="D353">
        <v>173394</v>
      </c>
      <c r="E353">
        <v>4</v>
      </c>
      <c r="F353" t="s">
        <v>10</v>
      </c>
      <c r="G353">
        <v>13</v>
      </c>
      <c r="H353">
        <v>1</v>
      </c>
    </row>
    <row r="354" spans="1:8">
      <c r="A354">
        <v>353</v>
      </c>
      <c r="B354" t="s">
        <v>11</v>
      </c>
      <c r="C354">
        <v>51</v>
      </c>
      <c r="D354">
        <v>72303</v>
      </c>
      <c r="E354">
        <v>98</v>
      </c>
      <c r="F354" t="s">
        <v>12</v>
      </c>
      <c r="G354">
        <v>7</v>
      </c>
      <c r="H354">
        <v>1</v>
      </c>
    </row>
    <row r="355" spans="1:8">
      <c r="A355">
        <v>354</v>
      </c>
      <c r="B355" t="s">
        <v>8</v>
      </c>
      <c r="C355">
        <v>23</v>
      </c>
      <c r="D355">
        <v>181760</v>
      </c>
      <c r="E355">
        <v>35</v>
      </c>
      <c r="F355" t="s">
        <v>9</v>
      </c>
      <c r="G355">
        <v>14</v>
      </c>
      <c r="H355">
        <v>3</v>
      </c>
    </row>
    <row r="356" spans="1:8">
      <c r="A356">
        <v>355</v>
      </c>
      <c r="B356" t="s">
        <v>11</v>
      </c>
      <c r="C356">
        <v>13</v>
      </c>
      <c r="D356">
        <v>146858</v>
      </c>
      <c r="E356">
        <v>75</v>
      </c>
      <c r="F356" t="s">
        <v>16</v>
      </c>
      <c r="G356">
        <v>9</v>
      </c>
      <c r="H356">
        <v>1</v>
      </c>
    </row>
    <row r="357" spans="1:8">
      <c r="A357">
        <v>356</v>
      </c>
      <c r="B357" t="s">
        <v>8</v>
      </c>
      <c r="C357">
        <v>22</v>
      </c>
      <c r="D357">
        <v>172923</v>
      </c>
      <c r="E357">
        <v>20</v>
      </c>
      <c r="F357" t="s">
        <v>10</v>
      </c>
      <c r="G357">
        <v>6</v>
      </c>
      <c r="H357">
        <v>1</v>
      </c>
    </row>
    <row r="358" spans="1:8">
      <c r="A358">
        <v>357</v>
      </c>
      <c r="B358" t="s">
        <v>11</v>
      </c>
      <c r="C358">
        <v>89</v>
      </c>
      <c r="D358">
        <v>115811</v>
      </c>
      <c r="E358">
        <v>87</v>
      </c>
      <c r="F358" t="s">
        <v>17</v>
      </c>
      <c r="G358">
        <v>11</v>
      </c>
      <c r="H358">
        <v>4</v>
      </c>
    </row>
    <row r="359" spans="1:8">
      <c r="A359">
        <v>358</v>
      </c>
      <c r="B359" t="s">
        <v>8</v>
      </c>
      <c r="C359">
        <v>20</v>
      </c>
      <c r="D359">
        <v>184324</v>
      </c>
      <c r="E359">
        <v>51</v>
      </c>
      <c r="F359" t="s">
        <v>18</v>
      </c>
      <c r="G359">
        <v>13</v>
      </c>
      <c r="H359">
        <v>5</v>
      </c>
    </row>
    <row r="360" spans="1:8">
      <c r="A360">
        <v>359</v>
      </c>
      <c r="B360" t="s">
        <v>11</v>
      </c>
      <c r="C360">
        <v>72</v>
      </c>
      <c r="D360">
        <v>67353</v>
      </c>
      <c r="E360">
        <v>19</v>
      </c>
      <c r="F360" t="s">
        <v>12</v>
      </c>
      <c r="G360">
        <v>9</v>
      </c>
      <c r="H360">
        <v>3</v>
      </c>
    </row>
    <row r="361" spans="1:8">
      <c r="A361">
        <v>360</v>
      </c>
      <c r="B361" t="s">
        <v>8</v>
      </c>
      <c r="C361">
        <v>17</v>
      </c>
      <c r="D361">
        <v>165999</v>
      </c>
      <c r="E361">
        <v>71</v>
      </c>
      <c r="F361" t="s">
        <v>9</v>
      </c>
      <c r="G361">
        <v>9</v>
      </c>
      <c r="H361">
        <v>3</v>
      </c>
    </row>
    <row r="362" spans="1:8">
      <c r="A362">
        <v>361</v>
      </c>
      <c r="B362" t="s">
        <v>8</v>
      </c>
      <c r="C362">
        <v>90</v>
      </c>
      <c r="D362">
        <v>164914</v>
      </c>
      <c r="E362">
        <v>18</v>
      </c>
      <c r="F362" t="s">
        <v>14</v>
      </c>
      <c r="G362">
        <v>8</v>
      </c>
      <c r="H362">
        <v>3</v>
      </c>
    </row>
    <row r="363" spans="1:8">
      <c r="A363">
        <v>362</v>
      </c>
      <c r="B363" t="s">
        <v>8</v>
      </c>
      <c r="C363">
        <v>99</v>
      </c>
      <c r="D363">
        <v>63364</v>
      </c>
      <c r="E363">
        <v>61</v>
      </c>
      <c r="F363" t="s">
        <v>13</v>
      </c>
      <c r="G363">
        <v>1</v>
      </c>
      <c r="H363">
        <v>2</v>
      </c>
    </row>
    <row r="364" spans="1:8">
      <c r="A364">
        <v>363</v>
      </c>
      <c r="B364" t="s">
        <v>11</v>
      </c>
      <c r="C364">
        <v>39</v>
      </c>
      <c r="D364">
        <v>182352</v>
      </c>
      <c r="E364">
        <v>73</v>
      </c>
      <c r="F364" t="s">
        <v>10</v>
      </c>
      <c r="G364">
        <v>4</v>
      </c>
      <c r="H364">
        <v>3</v>
      </c>
    </row>
    <row r="365" spans="1:8">
      <c r="A365">
        <v>364</v>
      </c>
      <c r="B365" t="s">
        <v>11</v>
      </c>
      <c r="C365">
        <v>37</v>
      </c>
      <c r="D365">
        <v>148544</v>
      </c>
      <c r="E365">
        <v>56</v>
      </c>
      <c r="F365" t="s">
        <v>13</v>
      </c>
      <c r="G365">
        <v>1</v>
      </c>
      <c r="H365">
        <v>2</v>
      </c>
    </row>
    <row r="366" spans="1:8">
      <c r="A366">
        <v>365</v>
      </c>
      <c r="B366" t="s">
        <v>8</v>
      </c>
      <c r="C366">
        <v>46</v>
      </c>
      <c r="D366">
        <v>62833</v>
      </c>
      <c r="E366">
        <v>85</v>
      </c>
      <c r="F366" t="s">
        <v>14</v>
      </c>
      <c r="G366">
        <v>1</v>
      </c>
      <c r="H366">
        <v>2</v>
      </c>
    </row>
    <row r="367" spans="1:8">
      <c r="A367">
        <v>366</v>
      </c>
      <c r="B367" t="s">
        <v>8</v>
      </c>
      <c r="C367">
        <v>65</v>
      </c>
      <c r="D367">
        <v>120627</v>
      </c>
      <c r="E367">
        <v>72</v>
      </c>
      <c r="F367" t="s">
        <v>9</v>
      </c>
      <c r="G367">
        <v>0</v>
      </c>
      <c r="H367">
        <v>2</v>
      </c>
    </row>
    <row r="368" spans="1:8">
      <c r="A368">
        <v>367</v>
      </c>
      <c r="B368" t="s">
        <v>11</v>
      </c>
      <c r="C368">
        <v>60</v>
      </c>
      <c r="D368">
        <v>130898</v>
      </c>
      <c r="E368">
        <v>30</v>
      </c>
      <c r="F368" t="s">
        <v>14</v>
      </c>
      <c r="G368">
        <v>1</v>
      </c>
      <c r="H368">
        <v>1</v>
      </c>
    </row>
    <row r="369" spans="1:8">
      <c r="A369">
        <v>368</v>
      </c>
      <c r="B369" t="s">
        <v>11</v>
      </c>
      <c r="C369">
        <v>93</v>
      </c>
      <c r="D369">
        <v>103130</v>
      </c>
      <c r="E369">
        <v>74</v>
      </c>
      <c r="F369" t="s">
        <v>15</v>
      </c>
      <c r="G369">
        <v>12</v>
      </c>
      <c r="H369">
        <v>3</v>
      </c>
    </row>
    <row r="370" spans="1:8">
      <c r="A370">
        <v>369</v>
      </c>
      <c r="B370" t="s">
        <v>8</v>
      </c>
      <c r="C370">
        <v>72</v>
      </c>
      <c r="D370">
        <v>106681</v>
      </c>
      <c r="E370">
        <v>15</v>
      </c>
      <c r="F370" t="s">
        <v>9</v>
      </c>
      <c r="G370">
        <v>9</v>
      </c>
      <c r="H370">
        <v>5</v>
      </c>
    </row>
    <row r="371" spans="1:8">
      <c r="A371">
        <v>370</v>
      </c>
      <c r="B371" t="s">
        <v>11</v>
      </c>
      <c r="C371">
        <v>36</v>
      </c>
      <c r="D371">
        <v>87353</v>
      </c>
      <c r="E371">
        <v>25</v>
      </c>
      <c r="F371" t="s">
        <v>13</v>
      </c>
      <c r="G371">
        <v>1</v>
      </c>
      <c r="H371">
        <v>5</v>
      </c>
    </row>
    <row r="372" spans="1:8">
      <c r="A372">
        <v>371</v>
      </c>
      <c r="B372" t="s">
        <v>8</v>
      </c>
      <c r="C372">
        <v>52</v>
      </c>
      <c r="D372">
        <v>88046</v>
      </c>
      <c r="E372">
        <v>61</v>
      </c>
      <c r="F372" t="s">
        <v>14</v>
      </c>
      <c r="G372">
        <v>8</v>
      </c>
      <c r="H372">
        <v>1</v>
      </c>
    </row>
    <row r="373" spans="1:8">
      <c r="A373">
        <v>372</v>
      </c>
      <c r="B373" t="s">
        <v>11</v>
      </c>
      <c r="C373">
        <v>72</v>
      </c>
      <c r="D373">
        <v>98168</v>
      </c>
      <c r="E373">
        <v>49</v>
      </c>
      <c r="F373" t="s">
        <v>13</v>
      </c>
      <c r="G373">
        <v>1</v>
      </c>
      <c r="H373">
        <v>2</v>
      </c>
    </row>
    <row r="374" spans="1:8">
      <c r="A374">
        <v>373</v>
      </c>
      <c r="B374" t="s">
        <v>11</v>
      </c>
      <c r="C374">
        <v>28</v>
      </c>
      <c r="D374">
        <v>178265</v>
      </c>
      <c r="E374">
        <v>5</v>
      </c>
      <c r="F374" t="s">
        <v>12</v>
      </c>
      <c r="G374">
        <v>2</v>
      </c>
      <c r="H374">
        <v>1</v>
      </c>
    </row>
    <row r="375" spans="1:8">
      <c r="A375">
        <v>374</v>
      </c>
      <c r="B375" t="s">
        <v>11</v>
      </c>
      <c r="C375">
        <v>48</v>
      </c>
      <c r="D375">
        <v>167232</v>
      </c>
      <c r="E375">
        <v>92</v>
      </c>
      <c r="F375" t="s">
        <v>16</v>
      </c>
      <c r="G375">
        <v>6</v>
      </c>
      <c r="H375">
        <v>4</v>
      </c>
    </row>
    <row r="376" spans="1:8">
      <c r="A376">
        <v>375</v>
      </c>
      <c r="B376" t="s">
        <v>8</v>
      </c>
      <c r="C376">
        <v>85</v>
      </c>
      <c r="D376">
        <v>140478</v>
      </c>
      <c r="E376">
        <v>43</v>
      </c>
      <c r="F376" t="s">
        <v>16</v>
      </c>
      <c r="G376">
        <v>6</v>
      </c>
      <c r="H376">
        <v>4</v>
      </c>
    </row>
    <row r="377" spans="1:8">
      <c r="A377">
        <v>376</v>
      </c>
      <c r="B377" t="s">
        <v>8</v>
      </c>
      <c r="C377">
        <v>22</v>
      </c>
      <c r="D377">
        <v>159296</v>
      </c>
      <c r="E377">
        <v>83</v>
      </c>
      <c r="F377" t="s">
        <v>14</v>
      </c>
      <c r="G377">
        <v>8</v>
      </c>
      <c r="H377">
        <v>1</v>
      </c>
    </row>
    <row r="378" spans="1:8">
      <c r="A378">
        <v>377</v>
      </c>
      <c r="B378" t="s">
        <v>11</v>
      </c>
      <c r="C378">
        <v>30</v>
      </c>
      <c r="D378">
        <v>144043</v>
      </c>
      <c r="E378">
        <v>78</v>
      </c>
      <c r="F378" t="s">
        <v>16</v>
      </c>
      <c r="G378">
        <v>1</v>
      </c>
      <c r="H378">
        <v>1</v>
      </c>
    </row>
    <row r="379" spans="1:8">
      <c r="A379">
        <v>378</v>
      </c>
      <c r="B379" t="s">
        <v>8</v>
      </c>
      <c r="C379">
        <v>46</v>
      </c>
      <c r="D379">
        <v>72594</v>
      </c>
      <c r="E379">
        <v>64</v>
      </c>
      <c r="F379" t="s">
        <v>14</v>
      </c>
      <c r="G379">
        <v>1</v>
      </c>
      <c r="H379">
        <v>2</v>
      </c>
    </row>
    <row r="380" spans="1:8">
      <c r="A380">
        <v>379</v>
      </c>
      <c r="B380" t="s">
        <v>11</v>
      </c>
      <c r="C380">
        <v>82</v>
      </c>
      <c r="D380">
        <v>180288</v>
      </c>
      <c r="E380">
        <v>77</v>
      </c>
      <c r="F380" t="s">
        <v>14</v>
      </c>
      <c r="G380">
        <v>2</v>
      </c>
      <c r="H380">
        <v>2</v>
      </c>
    </row>
    <row r="381" spans="1:8">
      <c r="A381">
        <v>380</v>
      </c>
      <c r="B381" t="s">
        <v>11</v>
      </c>
      <c r="C381">
        <v>73</v>
      </c>
      <c r="D381">
        <v>165734</v>
      </c>
      <c r="E381">
        <v>51</v>
      </c>
      <c r="F381" t="s">
        <v>13</v>
      </c>
      <c r="G381">
        <v>0</v>
      </c>
      <c r="H381">
        <v>1</v>
      </c>
    </row>
    <row r="382" spans="1:8">
      <c r="A382">
        <v>381</v>
      </c>
      <c r="B382" t="s">
        <v>8</v>
      </c>
      <c r="C382">
        <v>8</v>
      </c>
      <c r="D382">
        <v>175407</v>
      </c>
      <c r="E382">
        <v>2</v>
      </c>
      <c r="F382" t="s">
        <v>14</v>
      </c>
      <c r="G382">
        <v>5</v>
      </c>
      <c r="H382">
        <v>1</v>
      </c>
    </row>
    <row r="383" spans="1:8">
      <c r="A383">
        <v>382</v>
      </c>
      <c r="B383" t="s">
        <v>8</v>
      </c>
      <c r="C383">
        <v>90</v>
      </c>
      <c r="D383">
        <v>70201</v>
      </c>
      <c r="E383">
        <v>8</v>
      </c>
      <c r="F383" t="s">
        <v>10</v>
      </c>
      <c r="G383">
        <v>0</v>
      </c>
      <c r="H383">
        <v>2</v>
      </c>
    </row>
    <row r="384" spans="1:8">
      <c r="A384">
        <v>383</v>
      </c>
      <c r="B384" t="s">
        <v>8</v>
      </c>
      <c r="C384">
        <v>34</v>
      </c>
      <c r="D384">
        <v>91503</v>
      </c>
      <c r="E384">
        <v>26</v>
      </c>
      <c r="F384" t="s">
        <v>14</v>
      </c>
      <c r="G384">
        <v>0</v>
      </c>
      <c r="H384">
        <v>6</v>
      </c>
    </row>
    <row r="385" spans="1:8">
      <c r="A385">
        <v>384</v>
      </c>
      <c r="B385" t="s">
        <v>11</v>
      </c>
      <c r="C385">
        <v>10</v>
      </c>
      <c r="D385">
        <v>184522</v>
      </c>
      <c r="E385">
        <v>43</v>
      </c>
      <c r="F385" t="s">
        <v>14</v>
      </c>
      <c r="G385">
        <v>0</v>
      </c>
      <c r="H385">
        <v>2</v>
      </c>
    </row>
    <row r="386" spans="1:8">
      <c r="A386">
        <v>385</v>
      </c>
      <c r="B386" t="s">
        <v>11</v>
      </c>
      <c r="C386">
        <v>79</v>
      </c>
      <c r="D386">
        <v>143560</v>
      </c>
      <c r="E386">
        <v>83</v>
      </c>
      <c r="F386" t="s">
        <v>14</v>
      </c>
      <c r="G386">
        <v>1</v>
      </c>
      <c r="H386">
        <v>3</v>
      </c>
    </row>
    <row r="387" spans="1:8">
      <c r="A387">
        <v>386</v>
      </c>
      <c r="B387" t="s">
        <v>8</v>
      </c>
      <c r="C387">
        <v>83</v>
      </c>
      <c r="D387">
        <v>131574</v>
      </c>
      <c r="E387">
        <v>97</v>
      </c>
      <c r="F387" t="s">
        <v>14</v>
      </c>
      <c r="G387">
        <v>1</v>
      </c>
      <c r="H387">
        <v>2</v>
      </c>
    </row>
    <row r="388" spans="1:8">
      <c r="A388">
        <v>387</v>
      </c>
      <c r="B388" t="s">
        <v>11</v>
      </c>
      <c r="C388">
        <v>20</v>
      </c>
      <c r="D388">
        <v>151124</v>
      </c>
      <c r="E388">
        <v>18</v>
      </c>
      <c r="F388" t="s">
        <v>14</v>
      </c>
      <c r="G388">
        <v>15</v>
      </c>
      <c r="H388">
        <v>3</v>
      </c>
    </row>
    <row r="389" spans="1:8">
      <c r="A389">
        <v>388</v>
      </c>
      <c r="B389" t="s">
        <v>11</v>
      </c>
      <c r="C389">
        <v>25</v>
      </c>
      <c r="D389">
        <v>67447</v>
      </c>
      <c r="E389">
        <v>5</v>
      </c>
      <c r="F389" t="s">
        <v>14</v>
      </c>
      <c r="G389">
        <v>15</v>
      </c>
      <c r="H389">
        <v>2</v>
      </c>
    </row>
    <row r="390" spans="1:8">
      <c r="A390">
        <v>389</v>
      </c>
      <c r="B390" t="s">
        <v>11</v>
      </c>
      <c r="C390">
        <v>26</v>
      </c>
      <c r="D390">
        <v>117454</v>
      </c>
      <c r="E390">
        <v>8</v>
      </c>
      <c r="F390" t="s">
        <v>9</v>
      </c>
      <c r="G390">
        <v>16</v>
      </c>
      <c r="H390">
        <v>2</v>
      </c>
    </row>
    <row r="391" spans="1:8">
      <c r="A391">
        <v>390</v>
      </c>
      <c r="B391" t="s">
        <v>11</v>
      </c>
      <c r="C391">
        <v>18</v>
      </c>
      <c r="D391">
        <v>86203</v>
      </c>
      <c r="E391">
        <v>23</v>
      </c>
      <c r="F391" t="s">
        <v>16</v>
      </c>
      <c r="G391">
        <v>13</v>
      </c>
      <c r="H391">
        <v>1</v>
      </c>
    </row>
    <row r="392" spans="1:8">
      <c r="A392">
        <v>391</v>
      </c>
      <c r="B392" t="s">
        <v>11</v>
      </c>
      <c r="C392">
        <v>7</v>
      </c>
      <c r="D392">
        <v>136231</v>
      </c>
      <c r="E392">
        <v>10</v>
      </c>
      <c r="F392" t="s">
        <v>14</v>
      </c>
      <c r="G392">
        <v>7</v>
      </c>
      <c r="H392">
        <v>1</v>
      </c>
    </row>
    <row r="393" spans="1:8">
      <c r="A393">
        <v>392</v>
      </c>
      <c r="B393" t="s">
        <v>8</v>
      </c>
      <c r="C393">
        <v>1</v>
      </c>
      <c r="D393">
        <v>89144</v>
      </c>
      <c r="E393">
        <v>1</v>
      </c>
      <c r="F393" t="s">
        <v>16</v>
      </c>
      <c r="G393">
        <v>12</v>
      </c>
      <c r="H393">
        <v>2</v>
      </c>
    </row>
    <row r="394" spans="1:8">
      <c r="A394">
        <v>393</v>
      </c>
      <c r="B394" t="s">
        <v>8</v>
      </c>
      <c r="C394">
        <v>21</v>
      </c>
      <c r="D394">
        <v>119116</v>
      </c>
      <c r="E394">
        <v>30</v>
      </c>
      <c r="F394" t="s">
        <v>14</v>
      </c>
      <c r="G394">
        <v>17</v>
      </c>
      <c r="H394">
        <v>4</v>
      </c>
    </row>
    <row r="395" spans="1:8">
      <c r="A395">
        <v>394</v>
      </c>
      <c r="B395" t="s">
        <v>11</v>
      </c>
      <c r="C395">
        <v>86</v>
      </c>
      <c r="D395">
        <v>163463</v>
      </c>
      <c r="E395">
        <v>31</v>
      </c>
      <c r="F395" t="s">
        <v>14</v>
      </c>
      <c r="G395">
        <v>9</v>
      </c>
      <c r="H395">
        <v>4</v>
      </c>
    </row>
    <row r="396" spans="1:8">
      <c r="A396">
        <v>395</v>
      </c>
      <c r="B396" t="s">
        <v>11</v>
      </c>
      <c r="C396">
        <v>75</v>
      </c>
      <c r="D396">
        <v>151696</v>
      </c>
      <c r="E396">
        <v>82</v>
      </c>
      <c r="F396" t="s">
        <v>14</v>
      </c>
      <c r="G396">
        <v>15</v>
      </c>
      <c r="H396">
        <v>1</v>
      </c>
    </row>
    <row r="397" spans="1:8">
      <c r="A397">
        <v>396</v>
      </c>
      <c r="B397" t="s">
        <v>8</v>
      </c>
      <c r="C397">
        <v>78</v>
      </c>
      <c r="D397">
        <v>184736</v>
      </c>
      <c r="E397">
        <v>52</v>
      </c>
      <c r="F397" t="s">
        <v>12</v>
      </c>
      <c r="G397">
        <v>13</v>
      </c>
      <c r="H397">
        <v>1</v>
      </c>
    </row>
    <row r="398" spans="1:8">
      <c r="A398">
        <v>397</v>
      </c>
      <c r="B398" t="s">
        <v>11</v>
      </c>
      <c r="C398">
        <v>87</v>
      </c>
      <c r="D398">
        <v>70419</v>
      </c>
      <c r="E398">
        <v>69</v>
      </c>
      <c r="F398" t="s">
        <v>17</v>
      </c>
      <c r="G398">
        <v>6</v>
      </c>
      <c r="H398">
        <v>4</v>
      </c>
    </row>
    <row r="399" spans="1:8">
      <c r="A399">
        <v>398</v>
      </c>
      <c r="B399" t="s">
        <v>11</v>
      </c>
      <c r="C399">
        <v>8</v>
      </c>
      <c r="D399">
        <v>119104</v>
      </c>
      <c r="E399">
        <v>41</v>
      </c>
      <c r="F399" t="s">
        <v>13</v>
      </c>
      <c r="G399">
        <v>14</v>
      </c>
      <c r="H399">
        <v>3</v>
      </c>
    </row>
    <row r="400" spans="1:8">
      <c r="A400">
        <v>399</v>
      </c>
      <c r="B400" t="s">
        <v>8</v>
      </c>
      <c r="C400">
        <v>59</v>
      </c>
      <c r="D400">
        <v>130950</v>
      </c>
      <c r="E400">
        <v>28</v>
      </c>
      <c r="F400" t="s">
        <v>15</v>
      </c>
      <c r="G400">
        <v>5</v>
      </c>
      <c r="H400">
        <v>3</v>
      </c>
    </row>
    <row r="401" spans="1:8">
      <c r="A401">
        <v>400</v>
      </c>
      <c r="B401" t="s">
        <v>8</v>
      </c>
      <c r="C401">
        <v>13</v>
      </c>
      <c r="D401">
        <v>140950</v>
      </c>
      <c r="E401">
        <v>77</v>
      </c>
      <c r="F401" t="s">
        <v>14</v>
      </c>
      <c r="G401">
        <v>15</v>
      </c>
      <c r="H401">
        <v>2</v>
      </c>
    </row>
    <row r="402" spans="1:8">
      <c r="A402">
        <v>401</v>
      </c>
      <c r="B402" t="s">
        <v>11</v>
      </c>
      <c r="C402">
        <v>55</v>
      </c>
      <c r="D402">
        <v>82285</v>
      </c>
      <c r="E402">
        <v>35</v>
      </c>
      <c r="F402" t="s">
        <v>10</v>
      </c>
      <c r="G402">
        <v>16</v>
      </c>
      <c r="H402">
        <v>1</v>
      </c>
    </row>
    <row r="403" spans="1:8">
      <c r="A403">
        <v>402</v>
      </c>
      <c r="B403" t="s">
        <v>11</v>
      </c>
      <c r="C403">
        <v>50</v>
      </c>
      <c r="D403">
        <v>91389</v>
      </c>
      <c r="E403">
        <v>92</v>
      </c>
      <c r="F403" t="s">
        <v>9</v>
      </c>
      <c r="G403">
        <v>11</v>
      </c>
      <c r="H403">
        <v>7</v>
      </c>
    </row>
    <row r="404" spans="1:8">
      <c r="A404">
        <v>403</v>
      </c>
      <c r="B404" t="s">
        <v>8</v>
      </c>
      <c r="C404">
        <v>54</v>
      </c>
      <c r="D404">
        <v>186359</v>
      </c>
      <c r="E404">
        <v>95</v>
      </c>
      <c r="F404" t="s">
        <v>16</v>
      </c>
      <c r="G404">
        <v>13</v>
      </c>
      <c r="H404">
        <v>2</v>
      </c>
    </row>
    <row r="405" spans="1:8">
      <c r="A405">
        <v>404</v>
      </c>
      <c r="B405" t="s">
        <v>8</v>
      </c>
      <c r="C405">
        <v>13</v>
      </c>
      <c r="D405">
        <v>178989</v>
      </c>
      <c r="E405">
        <v>46</v>
      </c>
      <c r="F405" t="s">
        <v>16</v>
      </c>
      <c r="G405">
        <v>14</v>
      </c>
      <c r="H405">
        <v>3</v>
      </c>
    </row>
    <row r="406" spans="1:8">
      <c r="A406">
        <v>405</v>
      </c>
      <c r="B406" t="s">
        <v>8</v>
      </c>
      <c r="C406">
        <v>79</v>
      </c>
      <c r="D406">
        <v>166335</v>
      </c>
      <c r="E406">
        <v>45</v>
      </c>
      <c r="F406" t="s">
        <v>10</v>
      </c>
      <c r="G406">
        <v>5</v>
      </c>
      <c r="H406">
        <v>5</v>
      </c>
    </row>
    <row r="407" spans="1:8">
      <c r="A407">
        <v>406</v>
      </c>
      <c r="B407" t="s">
        <v>11</v>
      </c>
      <c r="C407">
        <v>65</v>
      </c>
      <c r="D407">
        <v>119889</v>
      </c>
      <c r="E407">
        <v>11</v>
      </c>
      <c r="F407" t="s">
        <v>14</v>
      </c>
      <c r="G407">
        <v>17</v>
      </c>
      <c r="H407">
        <v>6</v>
      </c>
    </row>
    <row r="408" spans="1:8">
      <c r="A408">
        <v>407</v>
      </c>
      <c r="B408" t="s">
        <v>11</v>
      </c>
      <c r="C408">
        <v>51</v>
      </c>
      <c r="D408">
        <v>66852</v>
      </c>
      <c r="E408">
        <v>73</v>
      </c>
      <c r="F408" t="s">
        <v>15</v>
      </c>
      <c r="G408">
        <v>15</v>
      </c>
      <c r="H408">
        <v>3</v>
      </c>
    </row>
    <row r="409" spans="1:8">
      <c r="A409">
        <v>408</v>
      </c>
      <c r="B409" t="s">
        <v>8</v>
      </c>
      <c r="C409">
        <v>18</v>
      </c>
      <c r="D409">
        <v>103896</v>
      </c>
      <c r="E409">
        <v>36</v>
      </c>
      <c r="F409" t="s">
        <v>15</v>
      </c>
      <c r="G409">
        <v>16</v>
      </c>
      <c r="H409">
        <v>4</v>
      </c>
    </row>
    <row r="410" spans="1:8">
      <c r="A410">
        <v>409</v>
      </c>
      <c r="B410" t="s">
        <v>8</v>
      </c>
      <c r="C410">
        <v>21</v>
      </c>
      <c r="D410">
        <v>187761</v>
      </c>
      <c r="E410">
        <v>87</v>
      </c>
      <c r="F410" t="s">
        <v>9</v>
      </c>
      <c r="G410">
        <v>2</v>
      </c>
      <c r="H410">
        <v>3</v>
      </c>
    </row>
    <row r="411" spans="1:8">
      <c r="A411">
        <v>410</v>
      </c>
      <c r="B411" t="s">
        <v>8</v>
      </c>
      <c r="C411">
        <v>37</v>
      </c>
      <c r="D411">
        <v>102717</v>
      </c>
      <c r="E411">
        <v>93</v>
      </c>
      <c r="F411" t="s">
        <v>9</v>
      </c>
      <c r="G411">
        <v>7</v>
      </c>
      <c r="H411">
        <v>4</v>
      </c>
    </row>
    <row r="412" spans="1:8">
      <c r="A412">
        <v>411</v>
      </c>
      <c r="B412" t="s">
        <v>8</v>
      </c>
      <c r="C412">
        <v>83</v>
      </c>
      <c r="D412">
        <v>102647</v>
      </c>
      <c r="E412">
        <v>83</v>
      </c>
      <c r="F412" t="s">
        <v>13</v>
      </c>
      <c r="G412">
        <v>0</v>
      </c>
      <c r="H412">
        <v>2</v>
      </c>
    </row>
    <row r="413" spans="1:8">
      <c r="A413">
        <v>412</v>
      </c>
      <c r="B413" t="s">
        <v>11</v>
      </c>
      <c r="C413">
        <v>96</v>
      </c>
      <c r="D413">
        <v>113585</v>
      </c>
      <c r="E413">
        <v>31</v>
      </c>
      <c r="F413" t="s">
        <v>12</v>
      </c>
      <c r="G413">
        <v>0</v>
      </c>
      <c r="H413">
        <v>4</v>
      </c>
    </row>
    <row r="414" spans="1:8">
      <c r="A414">
        <v>413</v>
      </c>
      <c r="B414" t="s">
        <v>11</v>
      </c>
      <c r="C414">
        <v>65</v>
      </c>
      <c r="D414">
        <v>86509</v>
      </c>
      <c r="E414">
        <v>88</v>
      </c>
      <c r="F414" t="s">
        <v>14</v>
      </c>
      <c r="G414">
        <v>0</v>
      </c>
      <c r="H414">
        <v>4</v>
      </c>
    </row>
    <row r="415" spans="1:8">
      <c r="A415">
        <v>414</v>
      </c>
      <c r="B415" t="s">
        <v>8</v>
      </c>
      <c r="C415">
        <v>80</v>
      </c>
      <c r="D415">
        <v>59099</v>
      </c>
      <c r="E415">
        <v>44</v>
      </c>
      <c r="F415" t="s">
        <v>18</v>
      </c>
      <c r="G415">
        <v>1</v>
      </c>
      <c r="H415">
        <v>7</v>
      </c>
    </row>
    <row r="416" spans="1:8">
      <c r="A416">
        <v>415</v>
      </c>
      <c r="B416" t="s">
        <v>11</v>
      </c>
      <c r="C416">
        <v>75</v>
      </c>
      <c r="D416">
        <v>135088</v>
      </c>
      <c r="E416">
        <v>5</v>
      </c>
      <c r="F416" t="s">
        <v>12</v>
      </c>
      <c r="G416">
        <v>1</v>
      </c>
      <c r="H416">
        <v>5</v>
      </c>
    </row>
    <row r="417" spans="1:8">
      <c r="A417">
        <v>416</v>
      </c>
      <c r="B417" t="s">
        <v>11</v>
      </c>
      <c r="C417">
        <v>87</v>
      </c>
      <c r="D417">
        <v>110870</v>
      </c>
      <c r="E417">
        <v>78</v>
      </c>
      <c r="F417" t="s">
        <v>10</v>
      </c>
      <c r="G417">
        <v>1</v>
      </c>
      <c r="H417">
        <v>4</v>
      </c>
    </row>
    <row r="418" spans="1:8">
      <c r="A418">
        <v>417</v>
      </c>
      <c r="B418" t="s">
        <v>11</v>
      </c>
      <c r="C418">
        <v>86</v>
      </c>
      <c r="D418">
        <v>187667</v>
      </c>
      <c r="E418">
        <v>12</v>
      </c>
      <c r="F418" t="s">
        <v>14</v>
      </c>
      <c r="G418">
        <v>0</v>
      </c>
      <c r="H418">
        <v>1</v>
      </c>
    </row>
    <row r="419" spans="1:8">
      <c r="A419">
        <v>418</v>
      </c>
      <c r="B419" t="s">
        <v>11</v>
      </c>
      <c r="C419">
        <v>36</v>
      </c>
      <c r="D419">
        <v>124614</v>
      </c>
      <c r="E419">
        <v>25</v>
      </c>
      <c r="F419" t="s">
        <v>14</v>
      </c>
      <c r="G419">
        <v>8</v>
      </c>
      <c r="H419">
        <v>5</v>
      </c>
    </row>
    <row r="420" spans="1:8">
      <c r="A420">
        <v>419</v>
      </c>
      <c r="B420" t="s">
        <v>11</v>
      </c>
      <c r="C420">
        <v>78</v>
      </c>
      <c r="D420">
        <v>166492</v>
      </c>
      <c r="E420">
        <v>40</v>
      </c>
      <c r="F420" t="s">
        <v>17</v>
      </c>
      <c r="G420">
        <v>9</v>
      </c>
      <c r="H420">
        <v>7</v>
      </c>
    </row>
    <row r="421" spans="1:8">
      <c r="A421">
        <v>420</v>
      </c>
      <c r="B421" t="s">
        <v>11</v>
      </c>
      <c r="C421">
        <v>62</v>
      </c>
      <c r="D421">
        <v>172758</v>
      </c>
      <c r="E421">
        <v>69</v>
      </c>
      <c r="F421" t="s">
        <v>13</v>
      </c>
      <c r="G421">
        <v>1</v>
      </c>
      <c r="H421">
        <v>2</v>
      </c>
    </row>
    <row r="422" spans="1:8">
      <c r="A422">
        <v>421</v>
      </c>
      <c r="B422" t="s">
        <v>8</v>
      </c>
      <c r="C422">
        <v>89</v>
      </c>
      <c r="D422">
        <v>122430</v>
      </c>
      <c r="E422">
        <v>19</v>
      </c>
      <c r="F422" t="s">
        <v>9</v>
      </c>
      <c r="G422">
        <v>1</v>
      </c>
      <c r="H422">
        <v>1</v>
      </c>
    </row>
    <row r="423" spans="1:8">
      <c r="A423">
        <v>422</v>
      </c>
      <c r="B423" t="s">
        <v>11</v>
      </c>
      <c r="C423">
        <v>56</v>
      </c>
      <c r="D423">
        <v>183540</v>
      </c>
      <c r="E423">
        <v>96</v>
      </c>
      <c r="F423" t="s">
        <v>13</v>
      </c>
      <c r="G423">
        <v>0</v>
      </c>
      <c r="H423">
        <v>6</v>
      </c>
    </row>
    <row r="424" spans="1:8">
      <c r="A424">
        <v>423</v>
      </c>
      <c r="B424" t="s">
        <v>11</v>
      </c>
      <c r="C424">
        <v>35</v>
      </c>
      <c r="D424">
        <v>96484</v>
      </c>
      <c r="E424">
        <v>34</v>
      </c>
      <c r="F424" t="s">
        <v>14</v>
      </c>
      <c r="G424">
        <v>5</v>
      </c>
      <c r="H424">
        <v>4</v>
      </c>
    </row>
    <row r="425" spans="1:8">
      <c r="A425">
        <v>424</v>
      </c>
      <c r="B425" t="s">
        <v>8</v>
      </c>
      <c r="C425">
        <v>33</v>
      </c>
      <c r="D425">
        <v>112587</v>
      </c>
      <c r="E425">
        <v>71</v>
      </c>
      <c r="F425" t="s">
        <v>14</v>
      </c>
      <c r="G425">
        <v>1</v>
      </c>
      <c r="H425">
        <v>4</v>
      </c>
    </row>
    <row r="426" spans="1:8">
      <c r="A426">
        <v>425</v>
      </c>
      <c r="B426" t="s">
        <v>11</v>
      </c>
      <c r="C426">
        <v>58</v>
      </c>
      <c r="D426">
        <v>155672</v>
      </c>
      <c r="E426">
        <v>71</v>
      </c>
      <c r="F426" t="s">
        <v>13</v>
      </c>
      <c r="G426">
        <v>7</v>
      </c>
      <c r="H426">
        <v>7</v>
      </c>
    </row>
    <row r="427" spans="1:8">
      <c r="A427">
        <v>426</v>
      </c>
      <c r="B427" t="s">
        <v>11</v>
      </c>
      <c r="C427">
        <v>68</v>
      </c>
      <c r="D427">
        <v>72847</v>
      </c>
      <c r="E427">
        <v>93</v>
      </c>
      <c r="F427" t="s">
        <v>14</v>
      </c>
      <c r="G427">
        <v>1</v>
      </c>
      <c r="H427">
        <v>2</v>
      </c>
    </row>
    <row r="428" spans="1:8">
      <c r="A428">
        <v>427</v>
      </c>
      <c r="B428" t="s">
        <v>8</v>
      </c>
      <c r="C428">
        <v>38</v>
      </c>
      <c r="D428">
        <v>71897</v>
      </c>
      <c r="E428">
        <v>32</v>
      </c>
      <c r="F428" t="s">
        <v>13</v>
      </c>
      <c r="G428">
        <v>2</v>
      </c>
      <c r="H428">
        <v>3</v>
      </c>
    </row>
    <row r="429" spans="1:8">
      <c r="A429">
        <v>428</v>
      </c>
      <c r="B429" t="s">
        <v>8</v>
      </c>
      <c r="C429">
        <v>31</v>
      </c>
      <c r="D429">
        <v>158479</v>
      </c>
      <c r="E429">
        <v>57</v>
      </c>
      <c r="F429" t="s">
        <v>16</v>
      </c>
      <c r="G429">
        <v>1</v>
      </c>
      <c r="H429">
        <v>5</v>
      </c>
    </row>
    <row r="430" spans="1:8">
      <c r="A430">
        <v>429</v>
      </c>
      <c r="B430" t="s">
        <v>8</v>
      </c>
      <c r="C430">
        <v>90</v>
      </c>
      <c r="D430">
        <v>89251</v>
      </c>
      <c r="E430">
        <v>4</v>
      </c>
      <c r="F430" t="s">
        <v>13</v>
      </c>
      <c r="G430">
        <v>1</v>
      </c>
      <c r="H430">
        <v>1</v>
      </c>
    </row>
    <row r="431" spans="1:8">
      <c r="A431">
        <v>430</v>
      </c>
      <c r="B431" t="s">
        <v>8</v>
      </c>
      <c r="C431">
        <v>28</v>
      </c>
      <c r="D431">
        <v>179911</v>
      </c>
      <c r="E431">
        <v>24</v>
      </c>
      <c r="F431" t="s">
        <v>10</v>
      </c>
      <c r="G431">
        <v>1</v>
      </c>
      <c r="H431">
        <v>1</v>
      </c>
    </row>
    <row r="432" spans="1:8">
      <c r="A432">
        <v>431</v>
      </c>
      <c r="B432" t="s">
        <v>8</v>
      </c>
      <c r="C432">
        <v>1</v>
      </c>
      <c r="D432">
        <v>111558</v>
      </c>
      <c r="E432">
        <v>85</v>
      </c>
      <c r="F432" t="s">
        <v>9</v>
      </c>
      <c r="G432">
        <v>7</v>
      </c>
      <c r="H432">
        <v>4</v>
      </c>
    </row>
    <row r="433" spans="1:8">
      <c r="A433">
        <v>432</v>
      </c>
      <c r="B433" t="s">
        <v>8</v>
      </c>
      <c r="C433">
        <v>78</v>
      </c>
      <c r="D433">
        <v>127615</v>
      </c>
      <c r="E433">
        <v>78</v>
      </c>
      <c r="F433" t="s">
        <v>15</v>
      </c>
      <c r="G433">
        <v>10</v>
      </c>
      <c r="H433">
        <v>7</v>
      </c>
    </row>
    <row r="434" spans="1:8">
      <c r="A434">
        <v>433</v>
      </c>
      <c r="B434" t="s">
        <v>11</v>
      </c>
      <c r="C434">
        <v>23</v>
      </c>
      <c r="D434">
        <v>50076</v>
      </c>
      <c r="E434">
        <v>32</v>
      </c>
      <c r="F434" t="s">
        <v>14</v>
      </c>
      <c r="G434">
        <v>3</v>
      </c>
      <c r="H434">
        <v>5</v>
      </c>
    </row>
    <row r="435" spans="1:8">
      <c r="A435">
        <v>434</v>
      </c>
      <c r="B435" t="s">
        <v>11</v>
      </c>
      <c r="C435">
        <v>25</v>
      </c>
      <c r="D435">
        <v>77779</v>
      </c>
      <c r="E435">
        <v>62</v>
      </c>
      <c r="F435" t="s">
        <v>14</v>
      </c>
      <c r="G435">
        <v>4</v>
      </c>
      <c r="H435">
        <v>1</v>
      </c>
    </row>
    <row r="436" spans="1:8">
      <c r="A436">
        <v>435</v>
      </c>
      <c r="B436" t="s">
        <v>8</v>
      </c>
      <c r="C436">
        <v>59</v>
      </c>
      <c r="D436">
        <v>169999</v>
      </c>
      <c r="E436">
        <v>38</v>
      </c>
      <c r="F436" t="s">
        <v>10</v>
      </c>
      <c r="G436">
        <v>5</v>
      </c>
      <c r="H436">
        <v>5</v>
      </c>
    </row>
    <row r="437" spans="1:8">
      <c r="A437">
        <v>436</v>
      </c>
      <c r="B437" t="s">
        <v>11</v>
      </c>
      <c r="C437">
        <v>7</v>
      </c>
      <c r="D437">
        <v>106581</v>
      </c>
      <c r="E437">
        <v>76</v>
      </c>
      <c r="F437" t="s">
        <v>16</v>
      </c>
      <c r="G437">
        <v>1</v>
      </c>
      <c r="H437">
        <v>7</v>
      </c>
    </row>
    <row r="438" spans="1:8">
      <c r="A438">
        <v>437</v>
      </c>
      <c r="B438" t="s">
        <v>11</v>
      </c>
      <c r="C438">
        <v>24</v>
      </c>
      <c r="D438">
        <v>78223</v>
      </c>
      <c r="E438">
        <v>41</v>
      </c>
      <c r="F438" t="s">
        <v>12</v>
      </c>
      <c r="G438">
        <v>0</v>
      </c>
      <c r="H438">
        <v>1</v>
      </c>
    </row>
    <row r="439" spans="1:8">
      <c r="A439">
        <v>438</v>
      </c>
      <c r="B439" t="s">
        <v>8</v>
      </c>
      <c r="C439">
        <v>76</v>
      </c>
      <c r="D439">
        <v>136259</v>
      </c>
      <c r="E439">
        <v>14</v>
      </c>
      <c r="G439">
        <v>0</v>
      </c>
      <c r="H439">
        <v>7</v>
      </c>
    </row>
    <row r="440" spans="1:8">
      <c r="A440">
        <v>439</v>
      </c>
      <c r="B440" t="s">
        <v>8</v>
      </c>
      <c r="C440">
        <v>37</v>
      </c>
      <c r="D440">
        <v>153399</v>
      </c>
      <c r="E440">
        <v>93</v>
      </c>
      <c r="F440" t="s">
        <v>13</v>
      </c>
      <c r="G440">
        <v>1</v>
      </c>
      <c r="H440">
        <v>6</v>
      </c>
    </row>
    <row r="441" spans="1:8">
      <c r="A441">
        <v>440</v>
      </c>
      <c r="B441" t="s">
        <v>11</v>
      </c>
      <c r="C441">
        <v>6</v>
      </c>
      <c r="D441">
        <v>162858</v>
      </c>
      <c r="E441">
        <v>91</v>
      </c>
      <c r="F441" t="s">
        <v>14</v>
      </c>
      <c r="G441">
        <v>0</v>
      </c>
      <c r="H441">
        <v>1</v>
      </c>
    </row>
    <row r="442" spans="1:8">
      <c r="A442">
        <v>441</v>
      </c>
      <c r="B442" t="s">
        <v>11</v>
      </c>
      <c r="C442">
        <v>0</v>
      </c>
      <c r="D442">
        <v>57373</v>
      </c>
      <c r="E442">
        <v>29</v>
      </c>
      <c r="G442">
        <v>0</v>
      </c>
      <c r="H442">
        <v>7</v>
      </c>
    </row>
    <row r="443" spans="1:8">
      <c r="A443">
        <v>442</v>
      </c>
      <c r="B443" t="s">
        <v>8</v>
      </c>
      <c r="C443">
        <v>3</v>
      </c>
      <c r="D443">
        <v>133602</v>
      </c>
      <c r="E443">
        <v>47</v>
      </c>
      <c r="F443" t="s">
        <v>14</v>
      </c>
      <c r="G443">
        <v>1</v>
      </c>
      <c r="H443">
        <v>1</v>
      </c>
    </row>
    <row r="444" spans="1:8">
      <c r="A444">
        <v>443</v>
      </c>
      <c r="B444" t="s">
        <v>11</v>
      </c>
      <c r="C444">
        <v>95</v>
      </c>
      <c r="D444">
        <v>66322</v>
      </c>
      <c r="E444">
        <v>88</v>
      </c>
      <c r="F444" t="s">
        <v>14</v>
      </c>
      <c r="G444">
        <v>0</v>
      </c>
      <c r="H444">
        <v>3</v>
      </c>
    </row>
    <row r="445" spans="1:8">
      <c r="A445">
        <v>444</v>
      </c>
      <c r="B445" t="s">
        <v>11</v>
      </c>
      <c r="C445">
        <v>0</v>
      </c>
      <c r="D445">
        <v>68761</v>
      </c>
      <c r="E445">
        <v>16</v>
      </c>
      <c r="F445" t="s">
        <v>12</v>
      </c>
      <c r="G445">
        <v>1</v>
      </c>
      <c r="H445">
        <v>4</v>
      </c>
    </row>
    <row r="446" spans="1:8">
      <c r="A446">
        <v>445</v>
      </c>
      <c r="B446" t="s">
        <v>8</v>
      </c>
      <c r="C446">
        <v>7</v>
      </c>
      <c r="D446">
        <v>70749</v>
      </c>
      <c r="E446">
        <v>86</v>
      </c>
      <c r="F446" t="s">
        <v>14</v>
      </c>
      <c r="G446">
        <v>13</v>
      </c>
      <c r="H446">
        <v>3</v>
      </c>
    </row>
    <row r="447" spans="1:8">
      <c r="A447">
        <v>446</v>
      </c>
      <c r="B447" t="s">
        <v>8</v>
      </c>
      <c r="C447">
        <v>54</v>
      </c>
      <c r="D447">
        <v>65874</v>
      </c>
      <c r="E447">
        <v>87</v>
      </c>
      <c r="F447" t="s">
        <v>14</v>
      </c>
      <c r="G447">
        <v>7</v>
      </c>
      <c r="H447">
        <v>6</v>
      </c>
    </row>
    <row r="448" spans="1:8">
      <c r="A448">
        <v>447</v>
      </c>
      <c r="B448" t="s">
        <v>8</v>
      </c>
      <c r="C448">
        <v>89</v>
      </c>
      <c r="D448">
        <v>115996</v>
      </c>
      <c r="E448">
        <v>24</v>
      </c>
      <c r="F448" t="s">
        <v>10</v>
      </c>
      <c r="G448">
        <v>15</v>
      </c>
      <c r="H448">
        <v>1</v>
      </c>
    </row>
    <row r="449" spans="1:8">
      <c r="A449">
        <v>448</v>
      </c>
      <c r="B449" t="s">
        <v>11</v>
      </c>
      <c r="C449">
        <v>58</v>
      </c>
      <c r="D449">
        <v>67097</v>
      </c>
      <c r="E449">
        <v>91</v>
      </c>
      <c r="F449" t="s">
        <v>10</v>
      </c>
      <c r="G449">
        <v>6</v>
      </c>
      <c r="H449">
        <v>1</v>
      </c>
    </row>
    <row r="450" spans="1:8">
      <c r="A450">
        <v>449</v>
      </c>
      <c r="B450" t="s">
        <v>11</v>
      </c>
      <c r="C450">
        <v>12</v>
      </c>
      <c r="D450">
        <v>108027</v>
      </c>
      <c r="E450">
        <v>64</v>
      </c>
      <c r="F450" t="s">
        <v>14</v>
      </c>
      <c r="G450">
        <v>13</v>
      </c>
      <c r="H450">
        <v>5</v>
      </c>
    </row>
    <row r="451" spans="1:8">
      <c r="A451">
        <v>450</v>
      </c>
      <c r="B451" t="s">
        <v>8</v>
      </c>
      <c r="C451">
        <v>7</v>
      </c>
      <c r="D451">
        <v>176349</v>
      </c>
      <c r="E451">
        <v>80</v>
      </c>
      <c r="F451" t="s">
        <v>9</v>
      </c>
      <c r="G451">
        <v>8</v>
      </c>
      <c r="H451">
        <v>2</v>
      </c>
    </row>
    <row r="452" spans="1:8">
      <c r="A452">
        <v>451</v>
      </c>
      <c r="B452" t="s">
        <v>8</v>
      </c>
      <c r="C452">
        <v>11</v>
      </c>
      <c r="D452">
        <v>88452</v>
      </c>
      <c r="E452">
        <v>40</v>
      </c>
      <c r="F452" t="s">
        <v>9</v>
      </c>
      <c r="G452">
        <v>8</v>
      </c>
      <c r="H452">
        <v>6</v>
      </c>
    </row>
    <row r="453" spans="1:8">
      <c r="A453">
        <v>452</v>
      </c>
      <c r="B453" t="s">
        <v>8</v>
      </c>
      <c r="C453">
        <v>74</v>
      </c>
      <c r="D453">
        <v>128266</v>
      </c>
      <c r="E453">
        <v>55</v>
      </c>
      <c r="F453" t="s">
        <v>10</v>
      </c>
      <c r="G453">
        <v>7</v>
      </c>
      <c r="H453">
        <v>4</v>
      </c>
    </row>
    <row r="454" spans="1:8">
      <c r="A454">
        <v>453</v>
      </c>
      <c r="B454" t="s">
        <v>11</v>
      </c>
      <c r="C454">
        <v>64</v>
      </c>
      <c r="D454">
        <v>156777</v>
      </c>
      <c r="E454">
        <v>20</v>
      </c>
      <c r="F454" t="s">
        <v>9</v>
      </c>
      <c r="G454">
        <v>7</v>
      </c>
      <c r="H454">
        <v>2</v>
      </c>
    </row>
    <row r="455" spans="1:8">
      <c r="A455">
        <v>454</v>
      </c>
      <c r="B455" t="s">
        <v>11</v>
      </c>
      <c r="C455">
        <v>48</v>
      </c>
      <c r="D455">
        <v>123234</v>
      </c>
      <c r="E455">
        <v>50</v>
      </c>
      <c r="F455" t="s">
        <v>12</v>
      </c>
      <c r="G455">
        <v>10</v>
      </c>
      <c r="H455">
        <v>7</v>
      </c>
    </row>
    <row r="456" spans="1:8">
      <c r="A456">
        <v>455</v>
      </c>
      <c r="B456" t="s">
        <v>11</v>
      </c>
      <c r="C456">
        <v>8</v>
      </c>
      <c r="D456">
        <v>60790</v>
      </c>
      <c r="E456">
        <v>38</v>
      </c>
      <c r="F456" t="s">
        <v>14</v>
      </c>
      <c r="G456">
        <v>1</v>
      </c>
      <c r="H456">
        <v>5</v>
      </c>
    </row>
    <row r="457" spans="1:8">
      <c r="A457">
        <v>456</v>
      </c>
      <c r="B457" t="s">
        <v>11</v>
      </c>
      <c r="C457">
        <v>15</v>
      </c>
      <c r="D457">
        <v>181332</v>
      </c>
      <c r="E457">
        <v>99</v>
      </c>
      <c r="F457" t="s">
        <v>14</v>
      </c>
      <c r="G457">
        <v>14</v>
      </c>
      <c r="H457">
        <v>6</v>
      </c>
    </row>
    <row r="458" spans="1:8">
      <c r="A458">
        <v>457</v>
      </c>
      <c r="B458" t="s">
        <v>8</v>
      </c>
      <c r="C458">
        <v>1</v>
      </c>
      <c r="D458">
        <v>187297</v>
      </c>
      <c r="E458">
        <v>7</v>
      </c>
      <c r="F458" t="s">
        <v>14</v>
      </c>
      <c r="G458">
        <v>0</v>
      </c>
      <c r="H458">
        <v>1</v>
      </c>
    </row>
    <row r="459" spans="1:8">
      <c r="A459">
        <v>458</v>
      </c>
      <c r="B459" t="s">
        <v>11</v>
      </c>
      <c r="C459">
        <v>21</v>
      </c>
      <c r="D459">
        <v>153885</v>
      </c>
      <c r="E459">
        <v>86</v>
      </c>
      <c r="F459" t="s">
        <v>14</v>
      </c>
      <c r="G459">
        <v>6</v>
      </c>
      <c r="H459">
        <v>6</v>
      </c>
    </row>
    <row r="460" spans="1:8">
      <c r="A460">
        <v>459</v>
      </c>
      <c r="B460" t="s">
        <v>8</v>
      </c>
      <c r="C460">
        <v>84</v>
      </c>
      <c r="D460">
        <v>53500</v>
      </c>
      <c r="E460">
        <v>44</v>
      </c>
      <c r="F460" t="s">
        <v>18</v>
      </c>
      <c r="G460">
        <v>3</v>
      </c>
      <c r="H460">
        <v>4</v>
      </c>
    </row>
    <row r="461" spans="1:8">
      <c r="A461">
        <v>460</v>
      </c>
      <c r="B461" t="s">
        <v>11</v>
      </c>
      <c r="C461">
        <v>5</v>
      </c>
      <c r="D461">
        <v>69443</v>
      </c>
      <c r="E461">
        <v>28</v>
      </c>
      <c r="F461" t="s">
        <v>16</v>
      </c>
      <c r="G461">
        <v>4</v>
      </c>
      <c r="H461">
        <v>6</v>
      </c>
    </row>
    <row r="462" spans="1:8">
      <c r="A462">
        <v>461</v>
      </c>
      <c r="B462" t="s">
        <v>11</v>
      </c>
      <c r="C462">
        <v>47</v>
      </c>
      <c r="D462">
        <v>124072</v>
      </c>
      <c r="E462">
        <v>56</v>
      </c>
      <c r="F462" t="s">
        <v>12</v>
      </c>
      <c r="G462">
        <v>0</v>
      </c>
      <c r="H462">
        <v>7</v>
      </c>
    </row>
    <row r="463" spans="1:8">
      <c r="A463">
        <v>462</v>
      </c>
      <c r="B463" t="s">
        <v>11</v>
      </c>
      <c r="C463">
        <v>96</v>
      </c>
      <c r="D463">
        <v>135800</v>
      </c>
      <c r="E463">
        <v>29</v>
      </c>
      <c r="F463" t="s">
        <v>9</v>
      </c>
      <c r="G463">
        <v>0</v>
      </c>
      <c r="H463">
        <v>7</v>
      </c>
    </row>
    <row r="464" spans="1:8">
      <c r="A464">
        <v>463</v>
      </c>
      <c r="B464" t="s">
        <v>8</v>
      </c>
      <c r="C464">
        <v>93</v>
      </c>
      <c r="D464">
        <v>120597</v>
      </c>
      <c r="E464">
        <v>96</v>
      </c>
      <c r="F464" t="s">
        <v>14</v>
      </c>
      <c r="G464">
        <v>2</v>
      </c>
      <c r="H464">
        <v>4</v>
      </c>
    </row>
    <row r="465" spans="1:8">
      <c r="A465">
        <v>464</v>
      </c>
      <c r="B465" t="s">
        <v>11</v>
      </c>
      <c r="C465">
        <v>16</v>
      </c>
      <c r="D465">
        <v>91358</v>
      </c>
      <c r="E465">
        <v>11</v>
      </c>
      <c r="F465" t="s">
        <v>13</v>
      </c>
      <c r="G465">
        <v>1</v>
      </c>
      <c r="H465">
        <v>4</v>
      </c>
    </row>
    <row r="466" spans="1:8">
      <c r="A466">
        <v>465</v>
      </c>
      <c r="B466" t="s">
        <v>8</v>
      </c>
      <c r="C466">
        <v>56</v>
      </c>
      <c r="D466">
        <v>53231</v>
      </c>
      <c r="E466">
        <v>41</v>
      </c>
      <c r="F466" t="s">
        <v>18</v>
      </c>
      <c r="G466">
        <v>0</v>
      </c>
      <c r="H466">
        <v>5</v>
      </c>
    </row>
    <row r="467" spans="1:8">
      <c r="A467">
        <v>466</v>
      </c>
      <c r="B467" t="s">
        <v>11</v>
      </c>
      <c r="C467">
        <v>76</v>
      </c>
      <c r="D467">
        <v>156330</v>
      </c>
      <c r="E467">
        <v>31</v>
      </c>
      <c r="F467" t="s">
        <v>10</v>
      </c>
      <c r="G467">
        <v>1</v>
      </c>
      <c r="H467">
        <v>2</v>
      </c>
    </row>
    <row r="468" spans="1:8">
      <c r="A468">
        <v>467</v>
      </c>
      <c r="B468" t="s">
        <v>8</v>
      </c>
      <c r="C468">
        <v>0</v>
      </c>
      <c r="D468">
        <v>186002</v>
      </c>
      <c r="E468">
        <v>80</v>
      </c>
      <c r="F468" t="s">
        <v>16</v>
      </c>
      <c r="G468">
        <v>15</v>
      </c>
      <c r="H468">
        <v>2</v>
      </c>
    </row>
    <row r="469" spans="1:8">
      <c r="A469">
        <v>468</v>
      </c>
      <c r="B469" t="s">
        <v>11</v>
      </c>
      <c r="C469">
        <v>70</v>
      </c>
      <c r="D469">
        <v>111760</v>
      </c>
      <c r="E469">
        <v>53</v>
      </c>
      <c r="F469" t="s">
        <v>15</v>
      </c>
      <c r="G469">
        <v>12</v>
      </c>
      <c r="H469">
        <v>5</v>
      </c>
    </row>
    <row r="470" spans="1:8">
      <c r="A470">
        <v>469</v>
      </c>
      <c r="B470" t="s">
        <v>11</v>
      </c>
      <c r="C470">
        <v>47</v>
      </c>
      <c r="D470">
        <v>143906</v>
      </c>
      <c r="E470">
        <v>12</v>
      </c>
      <c r="F470" t="s">
        <v>14</v>
      </c>
      <c r="G470">
        <v>4</v>
      </c>
      <c r="H470">
        <v>3</v>
      </c>
    </row>
    <row r="471" spans="1:8">
      <c r="A471">
        <v>470</v>
      </c>
      <c r="B471" t="s">
        <v>8</v>
      </c>
      <c r="C471">
        <v>13</v>
      </c>
      <c r="D471">
        <v>182410</v>
      </c>
      <c r="E471">
        <v>22</v>
      </c>
      <c r="F471" t="s">
        <v>9</v>
      </c>
      <c r="G471">
        <v>11</v>
      </c>
      <c r="H471">
        <v>4</v>
      </c>
    </row>
    <row r="472" spans="1:8">
      <c r="A472">
        <v>471</v>
      </c>
      <c r="B472" t="s">
        <v>8</v>
      </c>
      <c r="C472">
        <v>86</v>
      </c>
      <c r="D472">
        <v>98463</v>
      </c>
      <c r="E472">
        <v>46</v>
      </c>
      <c r="F472" t="s">
        <v>17</v>
      </c>
      <c r="G472">
        <v>10</v>
      </c>
      <c r="H472">
        <v>5</v>
      </c>
    </row>
    <row r="473" spans="1:8">
      <c r="A473">
        <v>472</v>
      </c>
      <c r="B473" t="s">
        <v>8</v>
      </c>
      <c r="C473">
        <v>91</v>
      </c>
      <c r="D473">
        <v>93762</v>
      </c>
      <c r="E473">
        <v>28</v>
      </c>
      <c r="F473" t="s">
        <v>14</v>
      </c>
      <c r="G473">
        <v>15</v>
      </c>
      <c r="H473">
        <v>7</v>
      </c>
    </row>
    <row r="474" spans="1:8">
      <c r="A474">
        <v>473</v>
      </c>
      <c r="B474" t="s">
        <v>8</v>
      </c>
      <c r="C474">
        <v>97</v>
      </c>
      <c r="D474">
        <v>104582</v>
      </c>
      <c r="E474">
        <v>50</v>
      </c>
      <c r="F474" t="s">
        <v>9</v>
      </c>
      <c r="G474">
        <v>8</v>
      </c>
      <c r="H474">
        <v>2</v>
      </c>
    </row>
    <row r="475" spans="1:8">
      <c r="A475">
        <v>474</v>
      </c>
      <c r="B475" t="s">
        <v>8</v>
      </c>
      <c r="C475">
        <v>20</v>
      </c>
      <c r="D475">
        <v>130813</v>
      </c>
      <c r="E475">
        <v>92</v>
      </c>
      <c r="F475" t="s">
        <v>14</v>
      </c>
      <c r="G475">
        <v>17</v>
      </c>
      <c r="H475">
        <v>5</v>
      </c>
    </row>
    <row r="476" spans="1:8">
      <c r="A476">
        <v>475</v>
      </c>
      <c r="B476" t="s">
        <v>11</v>
      </c>
      <c r="C476">
        <v>11</v>
      </c>
      <c r="D476">
        <v>59202</v>
      </c>
      <c r="E476">
        <v>92</v>
      </c>
      <c r="F476" t="s">
        <v>9</v>
      </c>
      <c r="G476">
        <v>5</v>
      </c>
      <c r="H476">
        <v>4</v>
      </c>
    </row>
    <row r="477" spans="1:8">
      <c r="A477">
        <v>476</v>
      </c>
      <c r="B477" t="s">
        <v>11</v>
      </c>
      <c r="C477">
        <v>28</v>
      </c>
      <c r="D477">
        <v>79968</v>
      </c>
      <c r="E477">
        <v>45</v>
      </c>
      <c r="F477" t="s">
        <v>12</v>
      </c>
      <c r="G477">
        <v>9</v>
      </c>
      <c r="H477">
        <v>2</v>
      </c>
    </row>
    <row r="478" spans="1:8">
      <c r="A478">
        <v>477</v>
      </c>
      <c r="B478" t="s">
        <v>8</v>
      </c>
      <c r="C478">
        <v>32</v>
      </c>
      <c r="D478">
        <v>104824</v>
      </c>
      <c r="E478">
        <v>42</v>
      </c>
      <c r="F478" t="s">
        <v>14</v>
      </c>
      <c r="G478">
        <v>0</v>
      </c>
      <c r="H478">
        <v>7</v>
      </c>
    </row>
    <row r="479" spans="1:8">
      <c r="A479">
        <v>478</v>
      </c>
      <c r="B479" t="s">
        <v>8</v>
      </c>
      <c r="C479">
        <v>82</v>
      </c>
      <c r="D479">
        <v>188719</v>
      </c>
      <c r="E479">
        <v>30</v>
      </c>
      <c r="F479" t="s">
        <v>12</v>
      </c>
      <c r="G479">
        <v>0</v>
      </c>
      <c r="H479">
        <v>6</v>
      </c>
    </row>
    <row r="480" spans="1:8">
      <c r="A480">
        <v>479</v>
      </c>
      <c r="B480" t="s">
        <v>8</v>
      </c>
      <c r="C480">
        <v>39</v>
      </c>
      <c r="D480">
        <v>187536</v>
      </c>
      <c r="E480">
        <v>66</v>
      </c>
      <c r="F480" t="s">
        <v>9</v>
      </c>
      <c r="G480">
        <v>3</v>
      </c>
      <c r="H480">
        <v>6</v>
      </c>
    </row>
    <row r="481" spans="1:8">
      <c r="A481">
        <v>480</v>
      </c>
      <c r="B481" t="s">
        <v>8</v>
      </c>
      <c r="C481">
        <v>7</v>
      </c>
      <c r="D481">
        <v>134008</v>
      </c>
      <c r="E481">
        <v>85</v>
      </c>
      <c r="F481" t="s">
        <v>13</v>
      </c>
      <c r="G481">
        <v>2</v>
      </c>
      <c r="H481">
        <v>1</v>
      </c>
    </row>
    <row r="482" spans="1:8">
      <c r="A482">
        <v>481</v>
      </c>
      <c r="B482" t="s">
        <v>11</v>
      </c>
      <c r="C482">
        <v>13</v>
      </c>
      <c r="D482">
        <v>176397</v>
      </c>
      <c r="E482">
        <v>71</v>
      </c>
      <c r="F482" t="s">
        <v>14</v>
      </c>
      <c r="G482">
        <v>6</v>
      </c>
      <c r="H482">
        <v>3</v>
      </c>
    </row>
    <row r="483" spans="1:8">
      <c r="A483">
        <v>482</v>
      </c>
      <c r="B483" t="s">
        <v>11</v>
      </c>
      <c r="C483">
        <v>34</v>
      </c>
      <c r="D483">
        <v>154888</v>
      </c>
      <c r="E483">
        <v>43</v>
      </c>
      <c r="F483" t="s">
        <v>9</v>
      </c>
      <c r="G483">
        <v>9</v>
      </c>
      <c r="H483">
        <v>6</v>
      </c>
    </row>
    <row r="484" spans="1:8">
      <c r="A484">
        <v>483</v>
      </c>
      <c r="B484" t="s">
        <v>8</v>
      </c>
      <c r="C484">
        <v>76</v>
      </c>
      <c r="D484">
        <v>155622</v>
      </c>
      <c r="E484">
        <v>81</v>
      </c>
      <c r="F484" t="s">
        <v>9</v>
      </c>
      <c r="G484">
        <v>0</v>
      </c>
      <c r="H484">
        <v>2</v>
      </c>
    </row>
    <row r="485" spans="1:8">
      <c r="A485">
        <v>484</v>
      </c>
      <c r="B485" t="s">
        <v>11</v>
      </c>
      <c r="C485">
        <v>30</v>
      </c>
      <c r="D485">
        <v>62330</v>
      </c>
      <c r="E485">
        <v>60</v>
      </c>
      <c r="F485" t="s">
        <v>9</v>
      </c>
      <c r="G485">
        <v>1</v>
      </c>
      <c r="H485">
        <v>1</v>
      </c>
    </row>
    <row r="486" spans="1:8">
      <c r="A486">
        <v>485</v>
      </c>
      <c r="B486" t="s">
        <v>11</v>
      </c>
      <c r="C486">
        <v>69</v>
      </c>
      <c r="D486">
        <v>112838</v>
      </c>
      <c r="E486">
        <v>34</v>
      </c>
      <c r="F486" t="s">
        <v>9</v>
      </c>
      <c r="G486">
        <v>1</v>
      </c>
      <c r="H486">
        <v>7</v>
      </c>
    </row>
    <row r="487" spans="1:8">
      <c r="A487">
        <v>486</v>
      </c>
      <c r="B487" t="s">
        <v>8</v>
      </c>
      <c r="C487">
        <v>22</v>
      </c>
      <c r="D487">
        <v>58283</v>
      </c>
      <c r="E487">
        <v>59</v>
      </c>
      <c r="F487" t="s">
        <v>17</v>
      </c>
      <c r="G487">
        <v>2</v>
      </c>
      <c r="H487">
        <v>4</v>
      </c>
    </row>
    <row r="488" spans="1:8">
      <c r="A488">
        <v>487</v>
      </c>
      <c r="B488" t="s">
        <v>11</v>
      </c>
      <c r="C488">
        <v>60</v>
      </c>
      <c r="D488">
        <v>77857</v>
      </c>
      <c r="E488">
        <v>81</v>
      </c>
      <c r="F488" t="s">
        <v>14</v>
      </c>
      <c r="G488">
        <v>1</v>
      </c>
      <c r="H488">
        <v>6</v>
      </c>
    </row>
    <row r="489" spans="1:8">
      <c r="A489">
        <v>488</v>
      </c>
      <c r="B489" t="s">
        <v>8</v>
      </c>
      <c r="C489">
        <v>66</v>
      </c>
      <c r="D489">
        <v>125024</v>
      </c>
      <c r="E489">
        <v>25</v>
      </c>
      <c r="F489" t="s">
        <v>14</v>
      </c>
      <c r="G489">
        <v>0</v>
      </c>
      <c r="H489">
        <v>1</v>
      </c>
    </row>
    <row r="490" spans="1:8">
      <c r="A490">
        <v>489</v>
      </c>
      <c r="B490" t="s">
        <v>11</v>
      </c>
      <c r="C490">
        <v>57</v>
      </c>
      <c r="D490">
        <v>136242</v>
      </c>
      <c r="E490">
        <v>34</v>
      </c>
      <c r="F490" t="s">
        <v>14</v>
      </c>
      <c r="G490">
        <v>9</v>
      </c>
      <c r="H490">
        <v>1</v>
      </c>
    </row>
    <row r="491" spans="1:8">
      <c r="A491">
        <v>490</v>
      </c>
      <c r="B491" t="s">
        <v>11</v>
      </c>
      <c r="C491">
        <v>60</v>
      </c>
      <c r="D491">
        <v>81934</v>
      </c>
      <c r="E491">
        <v>81</v>
      </c>
      <c r="F491" t="s">
        <v>9</v>
      </c>
      <c r="G491">
        <v>1</v>
      </c>
      <c r="H491">
        <v>4</v>
      </c>
    </row>
    <row r="492" spans="1:8">
      <c r="A492">
        <v>491</v>
      </c>
      <c r="B492" t="s">
        <v>11</v>
      </c>
      <c r="C492">
        <v>59</v>
      </c>
      <c r="D492">
        <v>130511</v>
      </c>
      <c r="E492">
        <v>97</v>
      </c>
      <c r="F492" t="s">
        <v>14</v>
      </c>
      <c r="G492">
        <v>3</v>
      </c>
      <c r="H492">
        <v>4</v>
      </c>
    </row>
    <row r="493" spans="1:8">
      <c r="A493">
        <v>492</v>
      </c>
      <c r="B493" t="s">
        <v>11</v>
      </c>
      <c r="C493">
        <v>54</v>
      </c>
      <c r="D493">
        <v>144502</v>
      </c>
      <c r="E493">
        <v>88</v>
      </c>
      <c r="F493" t="s">
        <v>12</v>
      </c>
      <c r="G493">
        <v>3</v>
      </c>
      <c r="H493">
        <v>1</v>
      </c>
    </row>
    <row r="494" spans="1:8">
      <c r="A494">
        <v>493</v>
      </c>
      <c r="B494" t="s">
        <v>8</v>
      </c>
      <c r="C494">
        <v>90</v>
      </c>
      <c r="D494">
        <v>63769</v>
      </c>
      <c r="E494">
        <v>6</v>
      </c>
      <c r="F494" t="s">
        <v>14</v>
      </c>
      <c r="G494">
        <v>4</v>
      </c>
      <c r="H494">
        <v>2</v>
      </c>
    </row>
    <row r="495" spans="1:8">
      <c r="A495">
        <v>494</v>
      </c>
      <c r="B495" t="s">
        <v>11</v>
      </c>
      <c r="C495">
        <v>14</v>
      </c>
      <c r="D495">
        <v>66760</v>
      </c>
      <c r="E495">
        <v>20</v>
      </c>
      <c r="F495" t="s">
        <v>14</v>
      </c>
      <c r="G495">
        <v>0</v>
      </c>
      <c r="H495">
        <v>4</v>
      </c>
    </row>
    <row r="496" spans="1:8">
      <c r="A496">
        <v>495</v>
      </c>
      <c r="B496" t="s">
        <v>11</v>
      </c>
      <c r="C496">
        <v>34</v>
      </c>
      <c r="D496">
        <v>135115</v>
      </c>
      <c r="E496">
        <v>54</v>
      </c>
      <c r="F496" t="s">
        <v>13</v>
      </c>
      <c r="G496">
        <v>1</v>
      </c>
      <c r="H496">
        <v>7</v>
      </c>
    </row>
    <row r="497" spans="1:8">
      <c r="A497">
        <v>496</v>
      </c>
      <c r="B497" t="s">
        <v>11</v>
      </c>
      <c r="C497">
        <v>85</v>
      </c>
      <c r="D497">
        <v>179877</v>
      </c>
      <c r="E497">
        <v>17</v>
      </c>
      <c r="F497" t="s">
        <v>9</v>
      </c>
      <c r="G497">
        <v>12</v>
      </c>
      <c r="H497">
        <v>4</v>
      </c>
    </row>
    <row r="498" spans="1:8">
      <c r="A498">
        <v>497</v>
      </c>
      <c r="B498" t="s">
        <v>11</v>
      </c>
      <c r="C498">
        <v>83</v>
      </c>
      <c r="D498">
        <v>93351</v>
      </c>
      <c r="E498">
        <v>65</v>
      </c>
      <c r="F498" t="s">
        <v>16</v>
      </c>
      <c r="G498">
        <v>1</v>
      </c>
      <c r="H498">
        <v>1</v>
      </c>
    </row>
    <row r="499" spans="1:8">
      <c r="A499">
        <v>498</v>
      </c>
      <c r="B499" t="s">
        <v>8</v>
      </c>
      <c r="C499">
        <v>12</v>
      </c>
      <c r="D499">
        <v>84547</v>
      </c>
      <c r="E499">
        <v>96</v>
      </c>
      <c r="F499" t="s">
        <v>17</v>
      </c>
      <c r="G499">
        <v>3</v>
      </c>
      <c r="H499">
        <v>3</v>
      </c>
    </row>
    <row r="500" spans="1:8">
      <c r="A500">
        <v>499</v>
      </c>
      <c r="B500" t="s">
        <v>8</v>
      </c>
      <c r="C500">
        <v>95</v>
      </c>
      <c r="D500">
        <v>121725</v>
      </c>
      <c r="E500">
        <v>3</v>
      </c>
      <c r="G500">
        <v>12</v>
      </c>
      <c r="H500">
        <v>3</v>
      </c>
    </row>
    <row r="501" spans="1:8">
      <c r="A501">
        <v>500</v>
      </c>
      <c r="B501" t="s">
        <v>8</v>
      </c>
      <c r="C501">
        <v>41</v>
      </c>
      <c r="D501">
        <v>65723</v>
      </c>
      <c r="E501">
        <v>91</v>
      </c>
      <c r="F501" t="s">
        <v>14</v>
      </c>
      <c r="G501">
        <v>6</v>
      </c>
      <c r="H501">
        <v>7</v>
      </c>
    </row>
    <row r="502" spans="1:8">
      <c r="A502">
        <v>501</v>
      </c>
      <c r="B502" t="s">
        <v>11</v>
      </c>
      <c r="C502">
        <v>38</v>
      </c>
      <c r="D502">
        <v>96794</v>
      </c>
      <c r="E502">
        <v>96</v>
      </c>
      <c r="F502" t="s">
        <v>9</v>
      </c>
      <c r="G502">
        <v>6</v>
      </c>
      <c r="H502">
        <v>3</v>
      </c>
    </row>
    <row r="503" spans="1:8">
      <c r="A503">
        <v>502</v>
      </c>
      <c r="B503" t="s">
        <v>8</v>
      </c>
      <c r="C503">
        <v>68</v>
      </c>
      <c r="D503">
        <v>72352</v>
      </c>
      <c r="E503">
        <v>61</v>
      </c>
      <c r="F503" t="s">
        <v>9</v>
      </c>
      <c r="G503">
        <v>8</v>
      </c>
      <c r="H503">
        <v>5</v>
      </c>
    </row>
    <row r="504" spans="1:8">
      <c r="A504">
        <v>503</v>
      </c>
      <c r="B504" t="s">
        <v>11</v>
      </c>
      <c r="C504">
        <v>4</v>
      </c>
      <c r="D504">
        <v>53097</v>
      </c>
      <c r="E504">
        <v>21</v>
      </c>
      <c r="F504" t="s">
        <v>9</v>
      </c>
      <c r="G504">
        <v>0</v>
      </c>
      <c r="H504">
        <v>7</v>
      </c>
    </row>
    <row r="505" spans="1:8">
      <c r="A505">
        <v>504</v>
      </c>
      <c r="B505" t="s">
        <v>11</v>
      </c>
      <c r="C505">
        <v>5</v>
      </c>
      <c r="D505">
        <v>144831</v>
      </c>
      <c r="E505">
        <v>17</v>
      </c>
      <c r="F505" t="s">
        <v>14</v>
      </c>
      <c r="G505">
        <v>1</v>
      </c>
      <c r="H505">
        <v>3</v>
      </c>
    </row>
    <row r="506" spans="1:8">
      <c r="A506">
        <v>505</v>
      </c>
      <c r="B506" t="s">
        <v>11</v>
      </c>
      <c r="C506">
        <v>3</v>
      </c>
      <c r="D506">
        <v>183851</v>
      </c>
      <c r="E506">
        <v>10</v>
      </c>
      <c r="F506" t="s">
        <v>16</v>
      </c>
      <c r="G506">
        <v>1</v>
      </c>
      <c r="H506">
        <v>2</v>
      </c>
    </row>
    <row r="507" spans="1:8">
      <c r="A507">
        <v>506</v>
      </c>
      <c r="B507" t="s">
        <v>11</v>
      </c>
      <c r="C507">
        <v>20</v>
      </c>
      <c r="D507">
        <v>111896</v>
      </c>
      <c r="E507">
        <v>90</v>
      </c>
      <c r="F507" t="s">
        <v>15</v>
      </c>
      <c r="G507">
        <v>1</v>
      </c>
      <c r="H507">
        <v>3</v>
      </c>
    </row>
    <row r="508" spans="1:8">
      <c r="A508">
        <v>507</v>
      </c>
      <c r="B508" t="s">
        <v>11</v>
      </c>
      <c r="C508">
        <v>3</v>
      </c>
      <c r="D508">
        <v>64824</v>
      </c>
      <c r="E508">
        <v>30</v>
      </c>
      <c r="F508" t="s">
        <v>15</v>
      </c>
      <c r="G508">
        <v>1</v>
      </c>
      <c r="H508">
        <v>1</v>
      </c>
    </row>
    <row r="509" spans="1:8">
      <c r="A509">
        <v>508</v>
      </c>
      <c r="B509" t="s">
        <v>8</v>
      </c>
      <c r="C509">
        <v>36</v>
      </c>
      <c r="D509">
        <v>88565</v>
      </c>
      <c r="E509">
        <v>16</v>
      </c>
      <c r="F509" t="s">
        <v>9</v>
      </c>
      <c r="G509">
        <v>1</v>
      </c>
      <c r="H509">
        <v>5</v>
      </c>
    </row>
    <row r="510" spans="1:8">
      <c r="A510">
        <v>509</v>
      </c>
      <c r="B510" t="s">
        <v>11</v>
      </c>
      <c r="C510">
        <v>70</v>
      </c>
      <c r="D510">
        <v>104974</v>
      </c>
      <c r="E510">
        <v>63</v>
      </c>
      <c r="F510" t="s">
        <v>14</v>
      </c>
      <c r="G510">
        <v>1</v>
      </c>
      <c r="H510">
        <v>1</v>
      </c>
    </row>
    <row r="511" spans="1:8">
      <c r="A511">
        <v>510</v>
      </c>
      <c r="B511" t="s">
        <v>11</v>
      </c>
      <c r="C511">
        <v>17</v>
      </c>
      <c r="D511">
        <v>167060</v>
      </c>
      <c r="E511">
        <v>47</v>
      </c>
      <c r="F511" t="s">
        <v>14</v>
      </c>
      <c r="G511">
        <v>1</v>
      </c>
      <c r="H511">
        <v>5</v>
      </c>
    </row>
    <row r="512" spans="1:8">
      <c r="A512">
        <v>511</v>
      </c>
      <c r="B512" t="s">
        <v>11</v>
      </c>
      <c r="C512">
        <v>31</v>
      </c>
      <c r="D512">
        <v>69018</v>
      </c>
      <c r="E512">
        <v>17</v>
      </c>
      <c r="F512" t="s">
        <v>14</v>
      </c>
      <c r="G512">
        <v>6</v>
      </c>
      <c r="H512">
        <v>1</v>
      </c>
    </row>
    <row r="513" spans="1:8">
      <c r="A513">
        <v>512</v>
      </c>
      <c r="B513" t="s">
        <v>11</v>
      </c>
      <c r="C513">
        <v>48</v>
      </c>
      <c r="D513">
        <v>174109</v>
      </c>
      <c r="E513">
        <v>96</v>
      </c>
      <c r="F513" t="s">
        <v>13</v>
      </c>
      <c r="G513">
        <v>0</v>
      </c>
      <c r="H513">
        <v>1</v>
      </c>
    </row>
    <row r="514" spans="1:8">
      <c r="A514">
        <v>513</v>
      </c>
      <c r="B514" t="s">
        <v>8</v>
      </c>
      <c r="C514">
        <v>28</v>
      </c>
      <c r="D514">
        <v>62186</v>
      </c>
      <c r="E514">
        <v>29</v>
      </c>
      <c r="F514" t="s">
        <v>18</v>
      </c>
      <c r="G514">
        <v>0</v>
      </c>
      <c r="H514">
        <v>1</v>
      </c>
    </row>
    <row r="515" spans="1:8">
      <c r="A515">
        <v>514</v>
      </c>
      <c r="B515" t="s">
        <v>8</v>
      </c>
      <c r="C515">
        <v>97</v>
      </c>
      <c r="D515">
        <v>183783</v>
      </c>
      <c r="E515">
        <v>70</v>
      </c>
      <c r="F515" t="s">
        <v>9</v>
      </c>
      <c r="G515">
        <v>9</v>
      </c>
      <c r="H515">
        <v>3</v>
      </c>
    </row>
    <row r="516" spans="1:8">
      <c r="A516">
        <v>515</v>
      </c>
      <c r="B516" t="s">
        <v>8</v>
      </c>
      <c r="C516">
        <v>81</v>
      </c>
      <c r="D516">
        <v>83771</v>
      </c>
      <c r="E516">
        <v>1</v>
      </c>
      <c r="F516" t="s">
        <v>14</v>
      </c>
      <c r="G516">
        <v>1</v>
      </c>
      <c r="H516">
        <v>2</v>
      </c>
    </row>
    <row r="517" spans="1:8">
      <c r="A517">
        <v>516</v>
      </c>
      <c r="B517" t="s">
        <v>11</v>
      </c>
      <c r="C517">
        <v>37</v>
      </c>
      <c r="D517">
        <v>148196</v>
      </c>
      <c r="E517">
        <v>91</v>
      </c>
      <c r="F517" t="s">
        <v>14</v>
      </c>
      <c r="G517">
        <v>0</v>
      </c>
      <c r="H517">
        <v>2</v>
      </c>
    </row>
    <row r="518" spans="1:8">
      <c r="A518">
        <v>517</v>
      </c>
      <c r="B518" t="s">
        <v>8</v>
      </c>
      <c r="C518">
        <v>85</v>
      </c>
      <c r="D518">
        <v>131742</v>
      </c>
      <c r="E518">
        <v>87</v>
      </c>
      <c r="F518" t="s">
        <v>13</v>
      </c>
      <c r="G518">
        <v>1</v>
      </c>
      <c r="H518">
        <v>1</v>
      </c>
    </row>
    <row r="519" spans="1:8">
      <c r="A519">
        <v>518</v>
      </c>
      <c r="B519" t="s">
        <v>11</v>
      </c>
      <c r="C519">
        <v>78</v>
      </c>
      <c r="D519">
        <v>59971</v>
      </c>
      <c r="E519">
        <v>94</v>
      </c>
      <c r="F519" t="s">
        <v>17</v>
      </c>
      <c r="G519">
        <v>14</v>
      </c>
      <c r="H519">
        <v>7</v>
      </c>
    </row>
    <row r="520" spans="1:8">
      <c r="A520">
        <v>519</v>
      </c>
      <c r="B520" t="s">
        <v>11</v>
      </c>
      <c r="C520">
        <v>13</v>
      </c>
      <c r="D520">
        <v>88960</v>
      </c>
      <c r="E520">
        <v>2</v>
      </c>
      <c r="F520" t="s">
        <v>13</v>
      </c>
      <c r="G520">
        <v>13</v>
      </c>
      <c r="H520">
        <v>3</v>
      </c>
    </row>
    <row r="521" spans="1:8">
      <c r="A521">
        <v>520</v>
      </c>
      <c r="B521" t="s">
        <v>11</v>
      </c>
      <c r="C521">
        <v>53</v>
      </c>
      <c r="D521">
        <v>140107</v>
      </c>
      <c r="E521">
        <v>38</v>
      </c>
      <c r="F521" t="s">
        <v>9</v>
      </c>
      <c r="G521">
        <v>1</v>
      </c>
      <c r="H521">
        <v>5</v>
      </c>
    </row>
    <row r="522" spans="1:8">
      <c r="A522">
        <v>521</v>
      </c>
      <c r="B522" t="s">
        <v>11</v>
      </c>
      <c r="C522">
        <v>41</v>
      </c>
      <c r="D522">
        <v>161896</v>
      </c>
      <c r="E522">
        <v>49</v>
      </c>
      <c r="F522" t="s">
        <v>13</v>
      </c>
      <c r="G522">
        <v>1</v>
      </c>
      <c r="H522">
        <v>3</v>
      </c>
    </row>
    <row r="523" spans="1:8">
      <c r="A523">
        <v>522</v>
      </c>
      <c r="B523" t="s">
        <v>11</v>
      </c>
      <c r="C523">
        <v>9</v>
      </c>
      <c r="D523">
        <v>57272</v>
      </c>
      <c r="E523">
        <v>60</v>
      </c>
      <c r="F523" t="s">
        <v>10</v>
      </c>
      <c r="G523">
        <v>1</v>
      </c>
      <c r="H523">
        <v>1</v>
      </c>
    </row>
    <row r="524" spans="1:8">
      <c r="A524">
        <v>523</v>
      </c>
      <c r="B524" t="s">
        <v>8</v>
      </c>
      <c r="C524">
        <v>20</v>
      </c>
      <c r="D524">
        <v>119952</v>
      </c>
      <c r="E524">
        <v>2</v>
      </c>
      <c r="F524" t="s">
        <v>9</v>
      </c>
      <c r="G524">
        <v>8</v>
      </c>
      <c r="H524">
        <v>2</v>
      </c>
    </row>
    <row r="525" spans="1:8">
      <c r="A525">
        <v>524</v>
      </c>
      <c r="B525" t="s">
        <v>11</v>
      </c>
      <c r="C525">
        <v>98</v>
      </c>
      <c r="D525">
        <v>167197</v>
      </c>
      <c r="E525">
        <v>63</v>
      </c>
      <c r="F525" t="s">
        <v>16</v>
      </c>
      <c r="G525">
        <v>1</v>
      </c>
      <c r="H525">
        <v>5</v>
      </c>
    </row>
    <row r="526" spans="1:8">
      <c r="A526">
        <v>525</v>
      </c>
      <c r="B526" t="s">
        <v>11</v>
      </c>
      <c r="C526">
        <v>44</v>
      </c>
      <c r="D526">
        <v>186116</v>
      </c>
      <c r="E526">
        <v>2</v>
      </c>
      <c r="F526" t="s">
        <v>9</v>
      </c>
      <c r="G526">
        <v>8</v>
      </c>
      <c r="H526">
        <v>6</v>
      </c>
    </row>
    <row r="527" spans="1:8">
      <c r="A527">
        <v>526</v>
      </c>
      <c r="B527" t="s">
        <v>11</v>
      </c>
      <c r="C527">
        <v>66</v>
      </c>
      <c r="D527">
        <v>134677</v>
      </c>
      <c r="E527">
        <v>59</v>
      </c>
      <c r="F527" t="s">
        <v>9</v>
      </c>
      <c r="G527">
        <v>15</v>
      </c>
      <c r="H527">
        <v>5</v>
      </c>
    </row>
    <row r="528" spans="1:8">
      <c r="A528">
        <v>527</v>
      </c>
      <c r="B528" t="s">
        <v>11</v>
      </c>
      <c r="C528">
        <v>58</v>
      </c>
      <c r="D528">
        <v>180479</v>
      </c>
      <c r="E528">
        <v>74</v>
      </c>
      <c r="F528" t="s">
        <v>9</v>
      </c>
      <c r="G528">
        <v>0</v>
      </c>
      <c r="H528">
        <v>3</v>
      </c>
    </row>
    <row r="529" spans="1:8">
      <c r="A529">
        <v>528</v>
      </c>
      <c r="B529" t="s">
        <v>8</v>
      </c>
      <c r="C529">
        <v>97</v>
      </c>
      <c r="D529">
        <v>112783</v>
      </c>
      <c r="E529">
        <v>21</v>
      </c>
      <c r="F529" t="s">
        <v>14</v>
      </c>
      <c r="G529">
        <v>9</v>
      </c>
      <c r="H529">
        <v>6</v>
      </c>
    </row>
    <row r="530" spans="1:8">
      <c r="A530">
        <v>529</v>
      </c>
      <c r="B530" t="s">
        <v>8</v>
      </c>
      <c r="C530">
        <v>13</v>
      </c>
      <c r="D530">
        <v>150258</v>
      </c>
      <c r="E530">
        <v>17</v>
      </c>
      <c r="F530" t="s">
        <v>16</v>
      </c>
      <c r="G530">
        <v>0</v>
      </c>
      <c r="H530">
        <v>3</v>
      </c>
    </row>
    <row r="531" spans="1:8">
      <c r="A531">
        <v>530</v>
      </c>
      <c r="B531" t="s">
        <v>8</v>
      </c>
      <c r="C531">
        <v>48</v>
      </c>
      <c r="D531">
        <v>115832</v>
      </c>
      <c r="E531">
        <v>92</v>
      </c>
      <c r="F531" t="s">
        <v>14</v>
      </c>
      <c r="G531">
        <v>2</v>
      </c>
      <c r="H531">
        <v>2</v>
      </c>
    </row>
    <row r="532" spans="1:8">
      <c r="A532">
        <v>531</v>
      </c>
      <c r="B532" t="s">
        <v>11</v>
      </c>
      <c r="C532">
        <v>47</v>
      </c>
      <c r="D532">
        <v>104834</v>
      </c>
      <c r="E532">
        <v>44</v>
      </c>
      <c r="F532" t="s">
        <v>14</v>
      </c>
      <c r="G532">
        <v>0</v>
      </c>
      <c r="H532">
        <v>7</v>
      </c>
    </row>
    <row r="533" spans="1:8">
      <c r="A533">
        <v>532</v>
      </c>
      <c r="B533" t="s">
        <v>8</v>
      </c>
      <c r="C533">
        <v>93</v>
      </c>
      <c r="D533">
        <v>152571</v>
      </c>
      <c r="E533">
        <v>66</v>
      </c>
      <c r="F533" t="s">
        <v>16</v>
      </c>
      <c r="G533">
        <v>14</v>
      </c>
      <c r="H533">
        <v>5</v>
      </c>
    </row>
    <row r="534" spans="1:8">
      <c r="A534">
        <v>533</v>
      </c>
      <c r="B534" t="s">
        <v>11</v>
      </c>
      <c r="C534">
        <v>11</v>
      </c>
      <c r="D534">
        <v>162287</v>
      </c>
      <c r="E534">
        <v>45</v>
      </c>
      <c r="F534" t="s">
        <v>10</v>
      </c>
      <c r="G534">
        <v>3</v>
      </c>
      <c r="H534">
        <v>2</v>
      </c>
    </row>
    <row r="535" spans="1:8">
      <c r="A535">
        <v>534</v>
      </c>
      <c r="B535" t="s">
        <v>11</v>
      </c>
      <c r="C535">
        <v>68</v>
      </c>
      <c r="D535">
        <v>171761</v>
      </c>
      <c r="E535">
        <v>59</v>
      </c>
      <c r="F535" t="s">
        <v>16</v>
      </c>
      <c r="G535">
        <v>1</v>
      </c>
      <c r="H535">
        <v>6</v>
      </c>
    </row>
    <row r="536" spans="1:8">
      <c r="A536">
        <v>535</v>
      </c>
      <c r="B536" t="s">
        <v>11</v>
      </c>
      <c r="C536">
        <v>87</v>
      </c>
      <c r="D536">
        <v>77709</v>
      </c>
      <c r="E536">
        <v>73</v>
      </c>
      <c r="F536" t="s">
        <v>14</v>
      </c>
      <c r="G536">
        <v>0</v>
      </c>
      <c r="H536">
        <v>1</v>
      </c>
    </row>
    <row r="537" spans="1:8">
      <c r="A537">
        <v>536</v>
      </c>
      <c r="B537" t="s">
        <v>11</v>
      </c>
      <c r="C537">
        <v>22</v>
      </c>
      <c r="D537">
        <v>95053</v>
      </c>
      <c r="E537">
        <v>17</v>
      </c>
      <c r="F537" t="s">
        <v>13</v>
      </c>
      <c r="G537">
        <v>1</v>
      </c>
      <c r="H537">
        <v>2</v>
      </c>
    </row>
    <row r="538" spans="1:8">
      <c r="A538">
        <v>537</v>
      </c>
      <c r="B538" t="s">
        <v>8</v>
      </c>
      <c r="C538">
        <v>89</v>
      </c>
      <c r="D538">
        <v>74820</v>
      </c>
      <c r="E538">
        <v>33</v>
      </c>
      <c r="F538" t="s">
        <v>16</v>
      </c>
      <c r="G538">
        <v>1</v>
      </c>
      <c r="H538">
        <v>2</v>
      </c>
    </row>
    <row r="539" spans="1:8">
      <c r="A539">
        <v>538</v>
      </c>
      <c r="B539" t="s">
        <v>8</v>
      </c>
      <c r="C539">
        <v>57</v>
      </c>
      <c r="D539">
        <v>152267</v>
      </c>
      <c r="E539">
        <v>92</v>
      </c>
      <c r="F539" t="s">
        <v>10</v>
      </c>
      <c r="G539">
        <v>9</v>
      </c>
      <c r="H539">
        <v>5</v>
      </c>
    </row>
    <row r="540" spans="1:8">
      <c r="A540">
        <v>539</v>
      </c>
      <c r="B540" t="s">
        <v>8</v>
      </c>
      <c r="C540">
        <v>91</v>
      </c>
      <c r="D540">
        <v>71925</v>
      </c>
      <c r="E540">
        <v>14</v>
      </c>
      <c r="F540" t="s">
        <v>14</v>
      </c>
      <c r="G540">
        <v>4</v>
      </c>
      <c r="H540">
        <v>2</v>
      </c>
    </row>
    <row r="541" spans="1:8">
      <c r="A541">
        <v>540</v>
      </c>
      <c r="B541" t="s">
        <v>11</v>
      </c>
      <c r="C541">
        <v>84</v>
      </c>
      <c r="D541">
        <v>151340</v>
      </c>
      <c r="E541">
        <v>95</v>
      </c>
      <c r="F541" t="s">
        <v>14</v>
      </c>
      <c r="G541">
        <v>1</v>
      </c>
      <c r="H541">
        <v>7</v>
      </c>
    </row>
    <row r="542" spans="1:8">
      <c r="A542">
        <v>541</v>
      </c>
      <c r="B542" t="s">
        <v>8</v>
      </c>
      <c r="C542">
        <v>56</v>
      </c>
      <c r="D542">
        <v>162921</v>
      </c>
      <c r="E542">
        <v>51</v>
      </c>
      <c r="F542" t="s">
        <v>15</v>
      </c>
      <c r="G542">
        <v>0</v>
      </c>
      <c r="H542">
        <v>4</v>
      </c>
    </row>
    <row r="543" spans="1:8">
      <c r="A543">
        <v>542</v>
      </c>
      <c r="B543" t="s">
        <v>11</v>
      </c>
      <c r="C543">
        <v>26</v>
      </c>
      <c r="D543">
        <v>52234</v>
      </c>
      <c r="E543">
        <v>30</v>
      </c>
      <c r="F543" t="s">
        <v>15</v>
      </c>
      <c r="G543">
        <v>1</v>
      </c>
      <c r="H543">
        <v>2</v>
      </c>
    </row>
    <row r="544" spans="1:8">
      <c r="A544">
        <v>543</v>
      </c>
      <c r="B544" t="s">
        <v>11</v>
      </c>
      <c r="C544">
        <v>56</v>
      </c>
      <c r="D544">
        <v>100271</v>
      </c>
      <c r="E544">
        <v>87</v>
      </c>
      <c r="F544" t="s">
        <v>14</v>
      </c>
      <c r="G544">
        <v>1</v>
      </c>
      <c r="H544">
        <v>5</v>
      </c>
    </row>
    <row r="545" spans="1:8">
      <c r="A545">
        <v>544</v>
      </c>
      <c r="B545" t="s">
        <v>11</v>
      </c>
      <c r="C545">
        <v>6</v>
      </c>
      <c r="D545">
        <v>170266</v>
      </c>
      <c r="E545">
        <v>23</v>
      </c>
      <c r="F545" t="s">
        <v>14</v>
      </c>
      <c r="G545">
        <v>3</v>
      </c>
      <c r="H545">
        <v>2</v>
      </c>
    </row>
    <row r="546" spans="1:8">
      <c r="A546">
        <v>545</v>
      </c>
      <c r="B546" t="s">
        <v>11</v>
      </c>
      <c r="C546">
        <v>33</v>
      </c>
      <c r="D546">
        <v>88763</v>
      </c>
      <c r="E546">
        <v>1</v>
      </c>
      <c r="F546" t="s">
        <v>13</v>
      </c>
      <c r="G546">
        <v>1</v>
      </c>
      <c r="H546">
        <v>1</v>
      </c>
    </row>
    <row r="547" spans="1:8">
      <c r="A547">
        <v>546</v>
      </c>
      <c r="B547" t="s">
        <v>11</v>
      </c>
      <c r="C547">
        <v>89</v>
      </c>
      <c r="D547">
        <v>107359</v>
      </c>
      <c r="E547">
        <v>26</v>
      </c>
      <c r="G547">
        <v>10</v>
      </c>
      <c r="H547">
        <v>6</v>
      </c>
    </row>
    <row r="548" spans="1:8">
      <c r="A548">
        <v>547</v>
      </c>
      <c r="B548" t="s">
        <v>8</v>
      </c>
      <c r="C548">
        <v>99</v>
      </c>
      <c r="D548">
        <v>164781</v>
      </c>
      <c r="E548">
        <v>83</v>
      </c>
      <c r="F548" t="s">
        <v>10</v>
      </c>
      <c r="G548">
        <v>0</v>
      </c>
      <c r="H548">
        <v>2</v>
      </c>
    </row>
    <row r="549" spans="1:8">
      <c r="A549">
        <v>548</v>
      </c>
      <c r="B549" t="s">
        <v>11</v>
      </c>
      <c r="C549">
        <v>25</v>
      </c>
      <c r="D549">
        <v>156016</v>
      </c>
      <c r="E549">
        <v>85</v>
      </c>
      <c r="F549" t="s">
        <v>14</v>
      </c>
      <c r="G549">
        <v>2</v>
      </c>
      <c r="H549">
        <v>1</v>
      </c>
    </row>
    <row r="550" spans="1:8">
      <c r="A550">
        <v>549</v>
      </c>
      <c r="B550" t="s">
        <v>11</v>
      </c>
      <c r="C550">
        <v>96</v>
      </c>
      <c r="D550">
        <v>186882</v>
      </c>
      <c r="E550">
        <v>40</v>
      </c>
      <c r="F550" t="s">
        <v>13</v>
      </c>
      <c r="G550">
        <v>1</v>
      </c>
      <c r="H550">
        <v>7</v>
      </c>
    </row>
    <row r="551" spans="1:8">
      <c r="A551">
        <v>550</v>
      </c>
      <c r="B551" t="s">
        <v>11</v>
      </c>
      <c r="C551">
        <v>35</v>
      </c>
      <c r="D551">
        <v>99300</v>
      </c>
      <c r="E551">
        <v>88</v>
      </c>
      <c r="F551" t="s">
        <v>17</v>
      </c>
      <c r="G551">
        <v>5</v>
      </c>
      <c r="H551">
        <v>2</v>
      </c>
    </row>
    <row r="552" spans="1:8">
      <c r="A552">
        <v>551</v>
      </c>
      <c r="B552" t="s">
        <v>8</v>
      </c>
      <c r="C552">
        <v>16</v>
      </c>
      <c r="D552">
        <v>58127</v>
      </c>
      <c r="E552">
        <v>65</v>
      </c>
      <c r="F552" t="s">
        <v>18</v>
      </c>
      <c r="G552">
        <v>0</v>
      </c>
      <c r="H552">
        <v>3</v>
      </c>
    </row>
    <row r="553" spans="1:8">
      <c r="A553">
        <v>552</v>
      </c>
      <c r="B553" t="s">
        <v>11</v>
      </c>
      <c r="C553">
        <v>81</v>
      </c>
      <c r="D553">
        <v>89211</v>
      </c>
      <c r="E553">
        <v>12</v>
      </c>
      <c r="F553" t="s">
        <v>16</v>
      </c>
      <c r="G553">
        <v>1</v>
      </c>
      <c r="H553">
        <v>7</v>
      </c>
    </row>
    <row r="554" spans="1:8">
      <c r="A554">
        <v>553</v>
      </c>
      <c r="B554" t="s">
        <v>11</v>
      </c>
      <c r="C554">
        <v>7</v>
      </c>
      <c r="D554">
        <v>148607</v>
      </c>
      <c r="E554">
        <v>59</v>
      </c>
      <c r="F554" t="s">
        <v>17</v>
      </c>
      <c r="G554">
        <v>1</v>
      </c>
      <c r="H554">
        <v>7</v>
      </c>
    </row>
    <row r="555" spans="1:8">
      <c r="A555">
        <v>554</v>
      </c>
      <c r="B555" t="s">
        <v>11</v>
      </c>
      <c r="C555">
        <v>31</v>
      </c>
      <c r="D555">
        <v>139592</v>
      </c>
      <c r="E555">
        <v>62</v>
      </c>
      <c r="F555" t="s">
        <v>18</v>
      </c>
      <c r="G555">
        <v>1</v>
      </c>
      <c r="H555">
        <v>1</v>
      </c>
    </row>
    <row r="556" spans="1:8">
      <c r="A556">
        <v>555</v>
      </c>
      <c r="B556" t="s">
        <v>11</v>
      </c>
      <c r="C556">
        <v>16</v>
      </c>
      <c r="D556">
        <v>172051</v>
      </c>
      <c r="E556">
        <v>62</v>
      </c>
      <c r="F556" t="s">
        <v>9</v>
      </c>
      <c r="G556">
        <v>1</v>
      </c>
      <c r="H556">
        <v>3</v>
      </c>
    </row>
    <row r="557" spans="1:8">
      <c r="A557">
        <v>556</v>
      </c>
      <c r="B557" t="s">
        <v>8</v>
      </c>
      <c r="C557">
        <v>89</v>
      </c>
      <c r="D557">
        <v>57033</v>
      </c>
      <c r="E557">
        <v>99</v>
      </c>
      <c r="F557" t="s">
        <v>14</v>
      </c>
      <c r="G557">
        <v>0</v>
      </c>
      <c r="H557">
        <v>4</v>
      </c>
    </row>
    <row r="558" spans="1:8">
      <c r="A558">
        <v>557</v>
      </c>
      <c r="B558" t="s">
        <v>8</v>
      </c>
      <c r="C558">
        <v>84</v>
      </c>
      <c r="D558">
        <v>117612</v>
      </c>
      <c r="E558">
        <v>63</v>
      </c>
      <c r="F558" t="s">
        <v>10</v>
      </c>
      <c r="G558">
        <v>0</v>
      </c>
      <c r="H558">
        <v>6</v>
      </c>
    </row>
    <row r="559" spans="1:8">
      <c r="A559">
        <v>558</v>
      </c>
      <c r="B559" t="s">
        <v>8</v>
      </c>
      <c r="C559">
        <v>40</v>
      </c>
      <c r="D559">
        <v>185321</v>
      </c>
      <c r="E559">
        <v>96</v>
      </c>
      <c r="F559" t="s">
        <v>14</v>
      </c>
      <c r="G559">
        <v>0</v>
      </c>
      <c r="H559">
        <v>7</v>
      </c>
    </row>
    <row r="560" spans="1:8">
      <c r="A560">
        <v>559</v>
      </c>
      <c r="B560" t="s">
        <v>11</v>
      </c>
      <c r="C560">
        <v>17</v>
      </c>
      <c r="D560">
        <v>186577</v>
      </c>
      <c r="E560">
        <v>5</v>
      </c>
      <c r="F560" t="s">
        <v>9</v>
      </c>
      <c r="G560">
        <v>8</v>
      </c>
      <c r="H560">
        <v>5</v>
      </c>
    </row>
    <row r="561" spans="1:8">
      <c r="A561">
        <v>560</v>
      </c>
      <c r="B561" t="s">
        <v>8</v>
      </c>
      <c r="C561">
        <v>0</v>
      </c>
      <c r="D561">
        <v>151298</v>
      </c>
      <c r="E561">
        <v>89</v>
      </c>
      <c r="F561" t="s">
        <v>14</v>
      </c>
      <c r="G561">
        <v>0</v>
      </c>
      <c r="H561">
        <v>6</v>
      </c>
    </row>
    <row r="562" spans="1:8">
      <c r="A562">
        <v>561</v>
      </c>
      <c r="B562" t="s">
        <v>11</v>
      </c>
      <c r="C562">
        <v>69</v>
      </c>
      <c r="D562">
        <v>123925</v>
      </c>
      <c r="E562">
        <v>52</v>
      </c>
      <c r="F562" t="s">
        <v>14</v>
      </c>
      <c r="G562">
        <v>1</v>
      </c>
      <c r="H562">
        <v>7</v>
      </c>
    </row>
    <row r="563" spans="1:8">
      <c r="A563">
        <v>562</v>
      </c>
      <c r="B563" t="s">
        <v>11</v>
      </c>
      <c r="C563">
        <v>17</v>
      </c>
      <c r="D563">
        <v>169496</v>
      </c>
      <c r="E563">
        <v>12</v>
      </c>
      <c r="F563" t="s">
        <v>12</v>
      </c>
      <c r="G563">
        <v>11</v>
      </c>
      <c r="H563">
        <v>6</v>
      </c>
    </row>
    <row r="564" spans="1:8">
      <c r="A564">
        <v>563</v>
      </c>
      <c r="B564" t="s">
        <v>11</v>
      </c>
      <c r="C564">
        <v>0</v>
      </c>
      <c r="D564">
        <v>142892</v>
      </c>
      <c r="E564">
        <v>25</v>
      </c>
      <c r="F564" t="s">
        <v>13</v>
      </c>
      <c r="G564">
        <v>8</v>
      </c>
      <c r="H564">
        <v>1</v>
      </c>
    </row>
    <row r="565" spans="1:8">
      <c r="A565">
        <v>564</v>
      </c>
      <c r="B565" t="s">
        <v>11</v>
      </c>
      <c r="C565">
        <v>34</v>
      </c>
      <c r="D565">
        <v>58979</v>
      </c>
      <c r="E565">
        <v>3</v>
      </c>
      <c r="F565" t="s">
        <v>13</v>
      </c>
      <c r="G565">
        <v>9</v>
      </c>
      <c r="H565">
        <v>5</v>
      </c>
    </row>
    <row r="566" spans="1:8">
      <c r="A566">
        <v>565</v>
      </c>
      <c r="B566" t="s">
        <v>11</v>
      </c>
      <c r="C566">
        <v>51</v>
      </c>
      <c r="D566">
        <v>141416</v>
      </c>
      <c r="E566">
        <v>100</v>
      </c>
      <c r="F566" t="s">
        <v>9</v>
      </c>
      <c r="G566">
        <v>15</v>
      </c>
      <c r="H566">
        <v>1</v>
      </c>
    </row>
    <row r="567" spans="1:8">
      <c r="A567">
        <v>566</v>
      </c>
      <c r="B567" t="s">
        <v>8</v>
      </c>
      <c r="C567">
        <v>54</v>
      </c>
      <c r="D567">
        <v>104854</v>
      </c>
      <c r="E567">
        <v>67</v>
      </c>
      <c r="F567" t="s">
        <v>9</v>
      </c>
      <c r="G567">
        <v>1</v>
      </c>
      <c r="H567">
        <v>7</v>
      </c>
    </row>
    <row r="568" spans="1:8">
      <c r="A568">
        <v>567</v>
      </c>
      <c r="B568" t="s">
        <v>11</v>
      </c>
      <c r="C568">
        <v>19</v>
      </c>
      <c r="D568">
        <v>180331</v>
      </c>
      <c r="E568">
        <v>14</v>
      </c>
      <c r="F568" t="s">
        <v>14</v>
      </c>
      <c r="G568">
        <v>17</v>
      </c>
      <c r="H568">
        <v>5</v>
      </c>
    </row>
    <row r="569" spans="1:8">
      <c r="A569">
        <v>568</v>
      </c>
      <c r="B569" t="s">
        <v>11</v>
      </c>
      <c r="C569">
        <v>99</v>
      </c>
      <c r="D569">
        <v>172896</v>
      </c>
      <c r="E569">
        <v>13</v>
      </c>
      <c r="F569" t="s">
        <v>10</v>
      </c>
      <c r="G569">
        <v>0</v>
      </c>
      <c r="H569">
        <v>3</v>
      </c>
    </row>
    <row r="570" spans="1:8">
      <c r="A570">
        <v>569</v>
      </c>
      <c r="B570" t="s">
        <v>11</v>
      </c>
      <c r="C570">
        <v>2</v>
      </c>
      <c r="D570">
        <v>101451</v>
      </c>
      <c r="E570">
        <v>82</v>
      </c>
      <c r="F570" t="s">
        <v>9</v>
      </c>
      <c r="G570">
        <v>4</v>
      </c>
      <c r="H570">
        <v>3</v>
      </c>
    </row>
    <row r="571" spans="1:8">
      <c r="A571">
        <v>570</v>
      </c>
      <c r="B571" t="s">
        <v>11</v>
      </c>
      <c r="C571">
        <v>91</v>
      </c>
      <c r="D571">
        <v>189974</v>
      </c>
      <c r="E571">
        <v>37</v>
      </c>
      <c r="F571" t="s">
        <v>10</v>
      </c>
      <c r="G571">
        <v>8</v>
      </c>
      <c r="H571">
        <v>1</v>
      </c>
    </row>
    <row r="572" spans="1:8">
      <c r="A572">
        <v>571</v>
      </c>
      <c r="B572" t="s">
        <v>8</v>
      </c>
      <c r="C572">
        <v>65</v>
      </c>
      <c r="D572">
        <v>90084</v>
      </c>
      <c r="E572">
        <v>65</v>
      </c>
      <c r="F572" t="s">
        <v>14</v>
      </c>
      <c r="G572">
        <v>1</v>
      </c>
      <c r="H572">
        <v>6</v>
      </c>
    </row>
    <row r="573" spans="1:8">
      <c r="A573">
        <v>572</v>
      </c>
      <c r="B573" t="s">
        <v>11</v>
      </c>
      <c r="C573">
        <v>47</v>
      </c>
      <c r="D573">
        <v>112247</v>
      </c>
      <c r="E573">
        <v>24</v>
      </c>
      <c r="F573" t="s">
        <v>15</v>
      </c>
      <c r="G573">
        <v>4</v>
      </c>
      <c r="H573">
        <v>5</v>
      </c>
    </row>
    <row r="574" spans="1:8">
      <c r="A574">
        <v>573</v>
      </c>
      <c r="B574" t="s">
        <v>11</v>
      </c>
      <c r="C574">
        <v>91</v>
      </c>
      <c r="D574">
        <v>181775</v>
      </c>
      <c r="E574">
        <v>61</v>
      </c>
      <c r="F574" t="s">
        <v>14</v>
      </c>
      <c r="G574">
        <v>4</v>
      </c>
      <c r="H574">
        <v>5</v>
      </c>
    </row>
    <row r="575" spans="1:8">
      <c r="A575">
        <v>574</v>
      </c>
      <c r="B575" t="s">
        <v>11</v>
      </c>
      <c r="C575">
        <v>64</v>
      </c>
      <c r="D575">
        <v>59088</v>
      </c>
      <c r="E575">
        <v>31</v>
      </c>
      <c r="F575" t="s">
        <v>14</v>
      </c>
      <c r="G575">
        <v>1</v>
      </c>
      <c r="H575">
        <v>3</v>
      </c>
    </row>
    <row r="576" spans="1:8">
      <c r="A576">
        <v>575</v>
      </c>
      <c r="B576" t="s">
        <v>11</v>
      </c>
      <c r="C576">
        <v>91</v>
      </c>
      <c r="D576">
        <v>60856</v>
      </c>
      <c r="E576">
        <v>23</v>
      </c>
      <c r="F576" t="s">
        <v>14</v>
      </c>
      <c r="G576">
        <v>1</v>
      </c>
      <c r="H576">
        <v>6</v>
      </c>
    </row>
    <row r="577" spans="1:8">
      <c r="A577">
        <v>576</v>
      </c>
      <c r="B577" t="s">
        <v>8</v>
      </c>
      <c r="C577">
        <v>32</v>
      </c>
      <c r="D577">
        <v>149900</v>
      </c>
      <c r="E577">
        <v>34</v>
      </c>
      <c r="F577" t="s">
        <v>14</v>
      </c>
      <c r="G577">
        <v>6</v>
      </c>
      <c r="H577">
        <v>3</v>
      </c>
    </row>
    <row r="578" spans="1:8">
      <c r="A578">
        <v>577</v>
      </c>
      <c r="B578" t="s">
        <v>8</v>
      </c>
      <c r="C578">
        <v>15</v>
      </c>
      <c r="D578">
        <v>142776</v>
      </c>
      <c r="E578">
        <v>98</v>
      </c>
      <c r="F578" t="s">
        <v>10</v>
      </c>
      <c r="G578">
        <v>8</v>
      </c>
      <c r="H578">
        <v>5</v>
      </c>
    </row>
    <row r="579" spans="1:8">
      <c r="A579">
        <v>578</v>
      </c>
      <c r="B579" t="s">
        <v>8</v>
      </c>
      <c r="C579">
        <v>22</v>
      </c>
      <c r="D579">
        <v>162598</v>
      </c>
      <c r="E579">
        <v>84</v>
      </c>
      <c r="F579" t="s">
        <v>14</v>
      </c>
      <c r="G579">
        <v>8</v>
      </c>
      <c r="H579">
        <v>3</v>
      </c>
    </row>
    <row r="580" spans="1:8">
      <c r="A580">
        <v>579</v>
      </c>
      <c r="B580" t="s">
        <v>11</v>
      </c>
      <c r="C580">
        <v>37</v>
      </c>
      <c r="D580">
        <v>146195</v>
      </c>
      <c r="E580">
        <v>89</v>
      </c>
      <c r="F580" t="s">
        <v>9</v>
      </c>
      <c r="G580">
        <v>4</v>
      </c>
      <c r="H580">
        <v>4</v>
      </c>
    </row>
    <row r="581" spans="1:8">
      <c r="A581">
        <v>580</v>
      </c>
      <c r="B581" t="s">
        <v>8</v>
      </c>
      <c r="C581">
        <v>83</v>
      </c>
      <c r="D581">
        <v>135268</v>
      </c>
      <c r="E581">
        <v>53</v>
      </c>
      <c r="F581" t="s">
        <v>12</v>
      </c>
      <c r="G581">
        <v>4</v>
      </c>
      <c r="H581">
        <v>5</v>
      </c>
    </row>
    <row r="582" spans="1:8">
      <c r="A582">
        <v>581</v>
      </c>
      <c r="B582" t="s">
        <v>11</v>
      </c>
      <c r="C582">
        <v>89</v>
      </c>
      <c r="D582">
        <v>136037</v>
      </c>
      <c r="E582">
        <v>1</v>
      </c>
      <c r="F582" t="s">
        <v>18</v>
      </c>
      <c r="G582">
        <v>5</v>
      </c>
      <c r="H582">
        <v>1</v>
      </c>
    </row>
    <row r="583" spans="1:8">
      <c r="A583">
        <v>582</v>
      </c>
      <c r="B583" t="s">
        <v>11</v>
      </c>
      <c r="C583">
        <v>33</v>
      </c>
      <c r="D583">
        <v>111191</v>
      </c>
      <c r="E583">
        <v>67</v>
      </c>
      <c r="F583" t="s">
        <v>14</v>
      </c>
      <c r="G583">
        <v>9</v>
      </c>
      <c r="H583">
        <v>4</v>
      </c>
    </row>
    <row r="584" spans="1:8">
      <c r="A584">
        <v>583</v>
      </c>
      <c r="B584" t="s">
        <v>11</v>
      </c>
      <c r="C584">
        <v>13</v>
      </c>
      <c r="D584">
        <v>144111</v>
      </c>
      <c r="E584">
        <v>62</v>
      </c>
      <c r="F584" t="s">
        <v>13</v>
      </c>
      <c r="G584">
        <v>12</v>
      </c>
      <c r="H584">
        <v>5</v>
      </c>
    </row>
    <row r="585" spans="1:8">
      <c r="A585">
        <v>584</v>
      </c>
      <c r="B585" t="s">
        <v>11</v>
      </c>
      <c r="C585">
        <v>71</v>
      </c>
      <c r="D585">
        <v>177359</v>
      </c>
      <c r="E585">
        <v>56</v>
      </c>
      <c r="F585" t="s">
        <v>16</v>
      </c>
      <c r="G585">
        <v>6</v>
      </c>
      <c r="H585">
        <v>2</v>
      </c>
    </row>
    <row r="586" spans="1:8">
      <c r="A586">
        <v>585</v>
      </c>
      <c r="B586" t="s">
        <v>11</v>
      </c>
      <c r="C586">
        <v>10</v>
      </c>
      <c r="D586">
        <v>112818</v>
      </c>
      <c r="E586">
        <v>85</v>
      </c>
      <c r="F586" t="s">
        <v>18</v>
      </c>
      <c r="G586">
        <v>15</v>
      </c>
      <c r="H586">
        <v>7</v>
      </c>
    </row>
    <row r="587" spans="1:8">
      <c r="A587">
        <v>586</v>
      </c>
      <c r="B587" t="s">
        <v>8</v>
      </c>
      <c r="C587">
        <v>49</v>
      </c>
      <c r="D587">
        <v>53509</v>
      </c>
      <c r="E587">
        <v>98</v>
      </c>
      <c r="F587" t="s">
        <v>14</v>
      </c>
      <c r="G587">
        <v>5</v>
      </c>
      <c r="H587">
        <v>4</v>
      </c>
    </row>
    <row r="588" spans="1:8">
      <c r="A588">
        <v>587</v>
      </c>
      <c r="B588" t="s">
        <v>11</v>
      </c>
      <c r="C588">
        <v>9</v>
      </c>
      <c r="D588">
        <v>168269</v>
      </c>
      <c r="E588">
        <v>75</v>
      </c>
      <c r="F588" t="s">
        <v>15</v>
      </c>
      <c r="G588">
        <v>10</v>
      </c>
      <c r="H588">
        <v>2</v>
      </c>
    </row>
    <row r="589" spans="1:8">
      <c r="A589">
        <v>588</v>
      </c>
      <c r="B589" t="s">
        <v>11</v>
      </c>
      <c r="C589">
        <v>53</v>
      </c>
      <c r="D589">
        <v>86766</v>
      </c>
      <c r="E589">
        <v>2</v>
      </c>
      <c r="F589" t="s">
        <v>12</v>
      </c>
      <c r="G589">
        <v>16</v>
      </c>
      <c r="H589">
        <v>3</v>
      </c>
    </row>
    <row r="590" spans="1:8">
      <c r="A590">
        <v>589</v>
      </c>
      <c r="B590" t="s">
        <v>11</v>
      </c>
      <c r="C590">
        <v>63</v>
      </c>
      <c r="D590">
        <v>52661</v>
      </c>
      <c r="E590">
        <v>25</v>
      </c>
      <c r="F590" t="s">
        <v>9</v>
      </c>
      <c r="G590">
        <v>12</v>
      </c>
      <c r="H590">
        <v>5</v>
      </c>
    </row>
    <row r="591" spans="1:8">
      <c r="A591">
        <v>590</v>
      </c>
      <c r="B591" t="s">
        <v>11</v>
      </c>
      <c r="C591">
        <v>46</v>
      </c>
      <c r="D591">
        <v>148520</v>
      </c>
      <c r="E591">
        <v>14</v>
      </c>
      <c r="F591" t="s">
        <v>9</v>
      </c>
      <c r="G591">
        <v>11</v>
      </c>
      <c r="H591">
        <v>5</v>
      </c>
    </row>
    <row r="592" spans="1:8">
      <c r="A592">
        <v>591</v>
      </c>
      <c r="B592" t="s">
        <v>8</v>
      </c>
      <c r="C592">
        <v>42</v>
      </c>
      <c r="D592">
        <v>149936</v>
      </c>
      <c r="E592">
        <v>52</v>
      </c>
      <c r="F592" t="s">
        <v>14</v>
      </c>
      <c r="G592">
        <v>15</v>
      </c>
      <c r="H592">
        <v>3</v>
      </c>
    </row>
    <row r="593" spans="1:8">
      <c r="A593">
        <v>592</v>
      </c>
      <c r="B593" t="s">
        <v>11</v>
      </c>
      <c r="C593">
        <v>73</v>
      </c>
      <c r="D593">
        <v>102296</v>
      </c>
      <c r="E593">
        <v>31</v>
      </c>
      <c r="F593" t="s">
        <v>13</v>
      </c>
      <c r="G593">
        <v>7</v>
      </c>
      <c r="H593">
        <v>5</v>
      </c>
    </row>
    <row r="594" spans="1:8">
      <c r="A594">
        <v>593</v>
      </c>
      <c r="B594" t="s">
        <v>8</v>
      </c>
      <c r="C594">
        <v>75</v>
      </c>
      <c r="D594">
        <v>178416</v>
      </c>
      <c r="E594">
        <v>16</v>
      </c>
      <c r="F594" t="s">
        <v>15</v>
      </c>
      <c r="G594">
        <v>10</v>
      </c>
      <c r="H594">
        <v>7</v>
      </c>
    </row>
    <row r="595" spans="1:8">
      <c r="A595">
        <v>594</v>
      </c>
      <c r="B595" t="s">
        <v>11</v>
      </c>
      <c r="C595">
        <v>49</v>
      </c>
      <c r="D595">
        <v>83788</v>
      </c>
      <c r="E595">
        <v>41</v>
      </c>
      <c r="F595" t="s">
        <v>16</v>
      </c>
      <c r="G595">
        <v>15</v>
      </c>
      <c r="H595">
        <v>1</v>
      </c>
    </row>
    <row r="596" spans="1:8">
      <c r="A596">
        <v>595</v>
      </c>
      <c r="B596" t="s">
        <v>11</v>
      </c>
      <c r="C596">
        <v>96</v>
      </c>
      <c r="D596">
        <v>184771</v>
      </c>
      <c r="E596">
        <v>77</v>
      </c>
      <c r="F596" t="s">
        <v>10</v>
      </c>
      <c r="G596">
        <v>8</v>
      </c>
      <c r="H596">
        <v>5</v>
      </c>
    </row>
    <row r="597" spans="1:8">
      <c r="A597">
        <v>596</v>
      </c>
      <c r="B597" t="s">
        <v>11</v>
      </c>
      <c r="C597">
        <v>52</v>
      </c>
      <c r="D597">
        <v>70302</v>
      </c>
      <c r="E597">
        <v>88</v>
      </c>
      <c r="F597" t="s">
        <v>15</v>
      </c>
      <c r="G597">
        <v>14</v>
      </c>
      <c r="H597">
        <v>3</v>
      </c>
    </row>
    <row r="598" spans="1:8">
      <c r="A598">
        <v>597</v>
      </c>
      <c r="B598" t="s">
        <v>11</v>
      </c>
      <c r="C598">
        <v>15</v>
      </c>
      <c r="D598">
        <v>58639</v>
      </c>
      <c r="E598">
        <v>51</v>
      </c>
      <c r="F598" t="s">
        <v>13</v>
      </c>
      <c r="G598">
        <v>5</v>
      </c>
      <c r="H598">
        <v>7</v>
      </c>
    </row>
    <row r="599" spans="1:8">
      <c r="A599">
        <v>598</v>
      </c>
      <c r="B599" t="s">
        <v>8</v>
      </c>
      <c r="C599">
        <v>91</v>
      </c>
      <c r="D599">
        <v>97879</v>
      </c>
      <c r="E599">
        <v>40</v>
      </c>
      <c r="F599" t="s">
        <v>13</v>
      </c>
      <c r="G599">
        <v>15</v>
      </c>
      <c r="H599">
        <v>7</v>
      </c>
    </row>
    <row r="600" spans="1:8">
      <c r="A600">
        <v>599</v>
      </c>
      <c r="B600" t="s">
        <v>8</v>
      </c>
      <c r="C600">
        <v>22</v>
      </c>
      <c r="D600">
        <v>64707</v>
      </c>
      <c r="E600">
        <v>29</v>
      </c>
      <c r="F600" t="s">
        <v>13</v>
      </c>
      <c r="G600">
        <v>7</v>
      </c>
      <c r="H600">
        <v>3</v>
      </c>
    </row>
    <row r="601" spans="1:8">
      <c r="A601">
        <v>600</v>
      </c>
      <c r="B601" t="s">
        <v>8</v>
      </c>
      <c r="C601">
        <v>62</v>
      </c>
      <c r="D601">
        <v>71795</v>
      </c>
      <c r="E601">
        <v>87</v>
      </c>
      <c r="F601" t="s">
        <v>9</v>
      </c>
      <c r="G601">
        <v>8</v>
      </c>
      <c r="H601">
        <v>1</v>
      </c>
    </row>
    <row r="602" spans="1:8">
      <c r="A602">
        <v>601</v>
      </c>
      <c r="B602" t="s">
        <v>8</v>
      </c>
      <c r="C602">
        <v>41</v>
      </c>
      <c r="D602">
        <v>76567</v>
      </c>
      <c r="E602">
        <v>85</v>
      </c>
      <c r="F602" t="s">
        <v>16</v>
      </c>
      <c r="G602">
        <v>16</v>
      </c>
      <c r="H602">
        <v>1</v>
      </c>
    </row>
    <row r="603" spans="1:8">
      <c r="A603">
        <v>602</v>
      </c>
      <c r="B603" t="s">
        <v>8</v>
      </c>
      <c r="C603">
        <v>61</v>
      </c>
      <c r="D603">
        <v>126370</v>
      </c>
      <c r="E603">
        <v>20</v>
      </c>
      <c r="G603">
        <v>11</v>
      </c>
      <c r="H603">
        <v>4</v>
      </c>
    </row>
    <row r="604" spans="1:8">
      <c r="A604">
        <v>603</v>
      </c>
      <c r="B604" t="s">
        <v>11</v>
      </c>
      <c r="C604">
        <v>71</v>
      </c>
      <c r="D604">
        <v>154007</v>
      </c>
      <c r="E604">
        <v>32</v>
      </c>
      <c r="F604" t="s">
        <v>14</v>
      </c>
      <c r="G604">
        <v>7</v>
      </c>
      <c r="H604">
        <v>7</v>
      </c>
    </row>
    <row r="605" spans="1:8">
      <c r="A605">
        <v>604</v>
      </c>
      <c r="B605" t="s">
        <v>11</v>
      </c>
      <c r="C605">
        <v>91</v>
      </c>
      <c r="D605">
        <v>69720</v>
      </c>
      <c r="E605">
        <v>78</v>
      </c>
      <c r="F605" t="s">
        <v>12</v>
      </c>
      <c r="G605">
        <v>17</v>
      </c>
      <c r="H605">
        <v>6</v>
      </c>
    </row>
    <row r="606" spans="1:8">
      <c r="A606">
        <v>605</v>
      </c>
      <c r="B606" t="s">
        <v>11</v>
      </c>
      <c r="C606">
        <v>94</v>
      </c>
      <c r="D606">
        <v>85265</v>
      </c>
      <c r="E606">
        <v>68</v>
      </c>
      <c r="F606" t="s">
        <v>15</v>
      </c>
      <c r="G606">
        <v>7</v>
      </c>
      <c r="H606">
        <v>6</v>
      </c>
    </row>
    <row r="607" spans="1:8">
      <c r="A607">
        <v>606</v>
      </c>
      <c r="B607" t="s">
        <v>11</v>
      </c>
      <c r="C607">
        <v>3</v>
      </c>
      <c r="D607">
        <v>155864</v>
      </c>
      <c r="E607">
        <v>31</v>
      </c>
      <c r="F607" t="s">
        <v>9</v>
      </c>
      <c r="G607">
        <v>13</v>
      </c>
      <c r="H607">
        <v>3</v>
      </c>
    </row>
    <row r="608" spans="1:8">
      <c r="A608">
        <v>607</v>
      </c>
      <c r="B608" t="s">
        <v>11</v>
      </c>
      <c r="C608">
        <v>15</v>
      </c>
      <c r="D608">
        <v>99421</v>
      </c>
      <c r="E608">
        <v>72</v>
      </c>
      <c r="F608" t="s">
        <v>14</v>
      </c>
      <c r="G608">
        <v>8</v>
      </c>
      <c r="H608">
        <v>7</v>
      </c>
    </row>
    <row r="609" spans="1:8">
      <c r="A609">
        <v>608</v>
      </c>
      <c r="B609" t="s">
        <v>11</v>
      </c>
      <c r="C609">
        <v>96</v>
      </c>
      <c r="D609">
        <v>145457</v>
      </c>
      <c r="E609">
        <v>57</v>
      </c>
      <c r="F609" t="s">
        <v>15</v>
      </c>
      <c r="G609">
        <v>2</v>
      </c>
      <c r="H609">
        <v>1</v>
      </c>
    </row>
    <row r="610" spans="1:8">
      <c r="A610">
        <v>609</v>
      </c>
      <c r="B610" t="s">
        <v>8</v>
      </c>
      <c r="C610">
        <v>12</v>
      </c>
      <c r="D610">
        <v>118041</v>
      </c>
      <c r="E610">
        <v>77</v>
      </c>
      <c r="F610" t="s">
        <v>14</v>
      </c>
      <c r="G610">
        <v>9</v>
      </c>
      <c r="H610">
        <v>2</v>
      </c>
    </row>
    <row r="611" spans="1:8">
      <c r="A611">
        <v>610</v>
      </c>
      <c r="B611" t="s">
        <v>11</v>
      </c>
      <c r="C611">
        <v>23</v>
      </c>
      <c r="D611">
        <v>73759</v>
      </c>
      <c r="E611">
        <v>83</v>
      </c>
      <c r="F611" t="s">
        <v>16</v>
      </c>
      <c r="G611">
        <v>0</v>
      </c>
      <c r="H611">
        <v>7</v>
      </c>
    </row>
    <row r="612" spans="1:8">
      <c r="A612">
        <v>611</v>
      </c>
      <c r="B612" t="s">
        <v>8</v>
      </c>
      <c r="C612">
        <v>94</v>
      </c>
      <c r="D612">
        <v>90082</v>
      </c>
      <c r="E612">
        <v>17</v>
      </c>
      <c r="F612" t="s">
        <v>14</v>
      </c>
      <c r="G612">
        <v>5</v>
      </c>
      <c r="H612">
        <v>7</v>
      </c>
    </row>
    <row r="613" spans="1:8">
      <c r="A613">
        <v>612</v>
      </c>
      <c r="B613" t="s">
        <v>11</v>
      </c>
      <c r="C613">
        <v>7</v>
      </c>
      <c r="D613">
        <v>74928</v>
      </c>
      <c r="E613">
        <v>12</v>
      </c>
      <c r="F613" t="s">
        <v>14</v>
      </c>
      <c r="G613">
        <v>0</v>
      </c>
      <c r="H613">
        <v>6</v>
      </c>
    </row>
    <row r="614" spans="1:8">
      <c r="A614">
        <v>613</v>
      </c>
      <c r="B614" t="s">
        <v>11</v>
      </c>
      <c r="C614">
        <v>74</v>
      </c>
      <c r="D614">
        <v>101352</v>
      </c>
      <c r="E614">
        <v>36</v>
      </c>
      <c r="F614" t="s">
        <v>12</v>
      </c>
      <c r="G614">
        <v>0</v>
      </c>
      <c r="H614">
        <v>5</v>
      </c>
    </row>
    <row r="615" spans="1:8">
      <c r="A615">
        <v>614</v>
      </c>
      <c r="B615" t="s">
        <v>11</v>
      </c>
      <c r="C615">
        <v>52</v>
      </c>
      <c r="D615">
        <v>93947</v>
      </c>
      <c r="E615">
        <v>81</v>
      </c>
      <c r="F615" t="s">
        <v>9</v>
      </c>
      <c r="G615">
        <v>9</v>
      </c>
      <c r="H615">
        <v>2</v>
      </c>
    </row>
    <row r="616" spans="1:8">
      <c r="A616">
        <v>615</v>
      </c>
      <c r="B616" t="s">
        <v>8</v>
      </c>
      <c r="C616">
        <v>39</v>
      </c>
      <c r="D616">
        <v>134629</v>
      </c>
      <c r="E616">
        <v>23</v>
      </c>
      <c r="F616" t="s">
        <v>10</v>
      </c>
      <c r="G616">
        <v>1</v>
      </c>
      <c r="H616">
        <v>6</v>
      </c>
    </row>
    <row r="617" spans="1:8">
      <c r="A617">
        <v>616</v>
      </c>
      <c r="B617" t="s">
        <v>8</v>
      </c>
      <c r="C617">
        <v>72</v>
      </c>
      <c r="D617">
        <v>101858</v>
      </c>
      <c r="E617">
        <v>70</v>
      </c>
      <c r="F617" t="s">
        <v>9</v>
      </c>
      <c r="G617">
        <v>8</v>
      </c>
      <c r="H617">
        <v>6</v>
      </c>
    </row>
    <row r="618" spans="1:8">
      <c r="A618">
        <v>617</v>
      </c>
      <c r="B618" t="s">
        <v>11</v>
      </c>
      <c r="C618">
        <v>55</v>
      </c>
      <c r="D618">
        <v>165501</v>
      </c>
      <c r="E618">
        <v>47</v>
      </c>
      <c r="F618" t="s">
        <v>14</v>
      </c>
      <c r="G618">
        <v>10</v>
      </c>
      <c r="H618">
        <v>4</v>
      </c>
    </row>
    <row r="619" spans="1:8">
      <c r="A619">
        <v>618</v>
      </c>
      <c r="B619" t="s">
        <v>8</v>
      </c>
      <c r="C619">
        <v>29</v>
      </c>
      <c r="D619">
        <v>135931</v>
      </c>
      <c r="E619">
        <v>74</v>
      </c>
      <c r="F619" t="s">
        <v>12</v>
      </c>
      <c r="G619">
        <v>5</v>
      </c>
      <c r="H619">
        <v>1</v>
      </c>
    </row>
    <row r="620" spans="1:8">
      <c r="A620">
        <v>619</v>
      </c>
      <c r="B620" t="s">
        <v>8</v>
      </c>
      <c r="C620">
        <v>38</v>
      </c>
      <c r="D620">
        <v>103356</v>
      </c>
      <c r="E620">
        <v>20</v>
      </c>
      <c r="F620" t="s">
        <v>18</v>
      </c>
      <c r="G620">
        <v>1</v>
      </c>
      <c r="H620">
        <v>6</v>
      </c>
    </row>
    <row r="621" spans="1:8">
      <c r="A621">
        <v>620</v>
      </c>
      <c r="B621" t="s">
        <v>11</v>
      </c>
      <c r="C621">
        <v>44</v>
      </c>
      <c r="D621">
        <v>75195</v>
      </c>
      <c r="E621">
        <v>79</v>
      </c>
      <c r="F621" t="s">
        <v>14</v>
      </c>
      <c r="G621">
        <v>1</v>
      </c>
      <c r="H621">
        <v>3</v>
      </c>
    </row>
    <row r="622" spans="1:8">
      <c r="A622">
        <v>621</v>
      </c>
      <c r="B622" t="s">
        <v>8</v>
      </c>
      <c r="C622">
        <v>58</v>
      </c>
      <c r="D622">
        <v>123083</v>
      </c>
      <c r="E622">
        <v>44</v>
      </c>
      <c r="F622" t="s">
        <v>13</v>
      </c>
      <c r="G622">
        <v>6</v>
      </c>
      <c r="H622">
        <v>5</v>
      </c>
    </row>
    <row r="623" spans="1:8">
      <c r="A623">
        <v>622</v>
      </c>
      <c r="B623" t="s">
        <v>8</v>
      </c>
      <c r="C623">
        <v>77</v>
      </c>
      <c r="D623">
        <v>73884</v>
      </c>
      <c r="E623">
        <v>30</v>
      </c>
      <c r="F623" t="s">
        <v>9</v>
      </c>
      <c r="G623">
        <v>1</v>
      </c>
      <c r="H623">
        <v>2</v>
      </c>
    </row>
    <row r="624" spans="1:8">
      <c r="A624">
        <v>623</v>
      </c>
      <c r="B624" t="s">
        <v>11</v>
      </c>
      <c r="C624">
        <v>56</v>
      </c>
      <c r="D624">
        <v>91180</v>
      </c>
      <c r="E624">
        <v>61</v>
      </c>
      <c r="F624" t="s">
        <v>13</v>
      </c>
      <c r="G624">
        <v>1</v>
      </c>
      <c r="H624">
        <v>7</v>
      </c>
    </row>
    <row r="625" spans="1:8">
      <c r="A625">
        <v>624</v>
      </c>
      <c r="B625" t="s">
        <v>8</v>
      </c>
      <c r="C625">
        <v>79</v>
      </c>
      <c r="D625">
        <v>86235</v>
      </c>
      <c r="E625">
        <v>52</v>
      </c>
      <c r="F625" t="s">
        <v>14</v>
      </c>
      <c r="G625">
        <v>0</v>
      </c>
      <c r="H625">
        <v>2</v>
      </c>
    </row>
    <row r="626" spans="1:8">
      <c r="A626">
        <v>625</v>
      </c>
      <c r="B626" t="s">
        <v>11</v>
      </c>
      <c r="C626">
        <v>97</v>
      </c>
      <c r="D626">
        <v>96400</v>
      </c>
      <c r="E626">
        <v>4</v>
      </c>
      <c r="F626" t="s">
        <v>16</v>
      </c>
      <c r="G626">
        <v>1</v>
      </c>
      <c r="H626">
        <v>7</v>
      </c>
    </row>
    <row r="627" spans="1:8">
      <c r="A627">
        <v>626</v>
      </c>
      <c r="B627" t="s">
        <v>8</v>
      </c>
      <c r="C627">
        <v>78</v>
      </c>
      <c r="D627">
        <v>83599</v>
      </c>
      <c r="E627">
        <v>12</v>
      </c>
      <c r="F627" t="s">
        <v>9</v>
      </c>
      <c r="G627">
        <v>1</v>
      </c>
      <c r="H627">
        <v>6</v>
      </c>
    </row>
    <row r="628" spans="1:8">
      <c r="A628">
        <v>627</v>
      </c>
      <c r="B628" t="s">
        <v>11</v>
      </c>
      <c r="C628">
        <v>91</v>
      </c>
      <c r="D628">
        <v>82535</v>
      </c>
      <c r="E628">
        <v>50</v>
      </c>
      <c r="F628" t="s">
        <v>9</v>
      </c>
      <c r="G628">
        <v>0</v>
      </c>
      <c r="H628">
        <v>1</v>
      </c>
    </row>
    <row r="629" spans="1:8">
      <c r="A629">
        <v>628</v>
      </c>
      <c r="B629" t="s">
        <v>8</v>
      </c>
      <c r="C629">
        <v>35</v>
      </c>
      <c r="D629">
        <v>92227</v>
      </c>
      <c r="E629">
        <v>8</v>
      </c>
      <c r="F629" t="s">
        <v>12</v>
      </c>
      <c r="G629">
        <v>0</v>
      </c>
      <c r="H629">
        <v>5</v>
      </c>
    </row>
    <row r="630" spans="1:8">
      <c r="A630">
        <v>629</v>
      </c>
      <c r="B630" t="s">
        <v>11</v>
      </c>
      <c r="C630">
        <v>43</v>
      </c>
      <c r="D630">
        <v>150444</v>
      </c>
      <c r="E630">
        <v>27</v>
      </c>
      <c r="F630" t="s">
        <v>14</v>
      </c>
      <c r="G630">
        <v>13</v>
      </c>
      <c r="H630">
        <v>4</v>
      </c>
    </row>
    <row r="631" spans="1:8">
      <c r="A631">
        <v>630</v>
      </c>
      <c r="B631" t="s">
        <v>11</v>
      </c>
      <c r="C631">
        <v>37</v>
      </c>
      <c r="D631">
        <v>149095</v>
      </c>
      <c r="E631">
        <v>83</v>
      </c>
      <c r="F631" t="s">
        <v>12</v>
      </c>
      <c r="G631">
        <v>1</v>
      </c>
      <c r="H631">
        <v>2</v>
      </c>
    </row>
    <row r="632" spans="1:8">
      <c r="A632">
        <v>631</v>
      </c>
      <c r="B632" t="s">
        <v>8</v>
      </c>
      <c r="C632">
        <v>63</v>
      </c>
      <c r="D632">
        <v>113605</v>
      </c>
      <c r="E632">
        <v>42</v>
      </c>
      <c r="F632" t="s">
        <v>14</v>
      </c>
      <c r="G632">
        <v>3</v>
      </c>
      <c r="H632">
        <v>3</v>
      </c>
    </row>
    <row r="633" spans="1:8">
      <c r="A633">
        <v>632</v>
      </c>
      <c r="B633" t="s">
        <v>11</v>
      </c>
      <c r="C633">
        <v>16</v>
      </c>
      <c r="D633">
        <v>93854</v>
      </c>
      <c r="E633">
        <v>82</v>
      </c>
      <c r="F633" t="s">
        <v>9</v>
      </c>
      <c r="G633">
        <v>0</v>
      </c>
      <c r="H633">
        <v>7</v>
      </c>
    </row>
    <row r="634" spans="1:8">
      <c r="A634">
        <v>633</v>
      </c>
      <c r="B634" t="s">
        <v>8</v>
      </c>
      <c r="C634">
        <v>32</v>
      </c>
      <c r="D634">
        <v>118280</v>
      </c>
      <c r="E634">
        <v>92</v>
      </c>
      <c r="F634" t="s">
        <v>14</v>
      </c>
      <c r="G634">
        <v>0</v>
      </c>
      <c r="H634">
        <v>5</v>
      </c>
    </row>
    <row r="635" spans="1:8">
      <c r="A635">
        <v>634</v>
      </c>
      <c r="B635" t="s">
        <v>8</v>
      </c>
      <c r="C635">
        <v>91</v>
      </c>
      <c r="D635">
        <v>94576</v>
      </c>
      <c r="E635">
        <v>90</v>
      </c>
      <c r="F635" t="s">
        <v>14</v>
      </c>
      <c r="G635">
        <v>0</v>
      </c>
      <c r="H635">
        <v>1</v>
      </c>
    </row>
    <row r="636" spans="1:8">
      <c r="A636">
        <v>635</v>
      </c>
      <c r="B636" t="s">
        <v>11</v>
      </c>
      <c r="C636">
        <v>33</v>
      </c>
      <c r="D636">
        <v>129257</v>
      </c>
      <c r="E636">
        <v>70</v>
      </c>
      <c r="F636" t="s">
        <v>15</v>
      </c>
      <c r="G636">
        <v>6</v>
      </c>
      <c r="H636">
        <v>3</v>
      </c>
    </row>
    <row r="637" spans="1:8">
      <c r="A637">
        <v>636</v>
      </c>
      <c r="B637" t="s">
        <v>11</v>
      </c>
      <c r="C637">
        <v>57</v>
      </c>
      <c r="D637">
        <v>70373</v>
      </c>
      <c r="E637">
        <v>10</v>
      </c>
      <c r="F637" t="s">
        <v>9</v>
      </c>
      <c r="G637">
        <v>2</v>
      </c>
      <c r="H637">
        <v>6</v>
      </c>
    </row>
    <row r="638" spans="1:8">
      <c r="A638">
        <v>637</v>
      </c>
      <c r="B638" t="s">
        <v>11</v>
      </c>
      <c r="C638">
        <v>43</v>
      </c>
      <c r="D638">
        <v>77600</v>
      </c>
      <c r="E638">
        <v>66</v>
      </c>
      <c r="F638" t="s">
        <v>9</v>
      </c>
      <c r="G638">
        <v>0</v>
      </c>
      <c r="H638">
        <v>1</v>
      </c>
    </row>
    <row r="639" spans="1:8">
      <c r="A639">
        <v>638</v>
      </c>
      <c r="B639" t="s">
        <v>11</v>
      </c>
      <c r="C639">
        <v>26</v>
      </c>
      <c r="D639">
        <v>113707</v>
      </c>
      <c r="E639">
        <v>97</v>
      </c>
      <c r="F639" t="s">
        <v>13</v>
      </c>
      <c r="G639">
        <v>0</v>
      </c>
      <c r="H639">
        <v>5</v>
      </c>
    </row>
    <row r="640" spans="1:8">
      <c r="A640">
        <v>639</v>
      </c>
      <c r="B640" t="s">
        <v>11</v>
      </c>
      <c r="C640">
        <v>59</v>
      </c>
      <c r="D640">
        <v>189672</v>
      </c>
      <c r="E640">
        <v>8</v>
      </c>
      <c r="F640" t="s">
        <v>16</v>
      </c>
      <c r="G640">
        <v>0</v>
      </c>
      <c r="H640">
        <v>7</v>
      </c>
    </row>
    <row r="641" spans="1:8">
      <c r="A641">
        <v>640</v>
      </c>
      <c r="B641" t="s">
        <v>11</v>
      </c>
      <c r="C641">
        <v>61</v>
      </c>
      <c r="D641">
        <v>143180</v>
      </c>
      <c r="E641">
        <v>58</v>
      </c>
      <c r="F641" t="s">
        <v>14</v>
      </c>
      <c r="G641">
        <v>0</v>
      </c>
      <c r="H641">
        <v>5</v>
      </c>
    </row>
    <row r="642" spans="1:8">
      <c r="A642">
        <v>641</v>
      </c>
      <c r="B642" t="s">
        <v>11</v>
      </c>
      <c r="C642">
        <v>59</v>
      </c>
      <c r="D642">
        <v>174890</v>
      </c>
      <c r="E642">
        <v>14</v>
      </c>
      <c r="F642" t="s">
        <v>18</v>
      </c>
      <c r="G642">
        <v>3</v>
      </c>
      <c r="H642">
        <v>4</v>
      </c>
    </row>
    <row r="643" spans="1:8">
      <c r="A643">
        <v>642</v>
      </c>
      <c r="B643" t="s">
        <v>8</v>
      </c>
      <c r="C643">
        <v>66</v>
      </c>
      <c r="D643">
        <v>121377</v>
      </c>
      <c r="E643">
        <v>19</v>
      </c>
      <c r="G643">
        <v>7</v>
      </c>
      <c r="H643">
        <v>7</v>
      </c>
    </row>
    <row r="644" spans="1:8">
      <c r="A644">
        <v>643</v>
      </c>
      <c r="B644" t="s">
        <v>8</v>
      </c>
      <c r="C644">
        <v>26</v>
      </c>
      <c r="D644">
        <v>154857</v>
      </c>
      <c r="E644">
        <v>13</v>
      </c>
      <c r="F644" t="s">
        <v>9</v>
      </c>
      <c r="G644">
        <v>0</v>
      </c>
      <c r="H644">
        <v>7</v>
      </c>
    </row>
    <row r="645" spans="1:8">
      <c r="A645">
        <v>644</v>
      </c>
      <c r="B645" t="s">
        <v>11</v>
      </c>
      <c r="C645">
        <v>67</v>
      </c>
      <c r="D645">
        <v>160945</v>
      </c>
      <c r="E645">
        <v>51</v>
      </c>
      <c r="F645" t="s">
        <v>9</v>
      </c>
      <c r="G645">
        <v>0</v>
      </c>
      <c r="H645">
        <v>5</v>
      </c>
    </row>
    <row r="646" spans="1:8">
      <c r="A646">
        <v>645</v>
      </c>
      <c r="B646" t="s">
        <v>11</v>
      </c>
      <c r="C646">
        <v>85</v>
      </c>
      <c r="D646">
        <v>119557</v>
      </c>
      <c r="E646">
        <v>35</v>
      </c>
      <c r="F646" t="s">
        <v>14</v>
      </c>
      <c r="G646">
        <v>0</v>
      </c>
      <c r="H646">
        <v>2</v>
      </c>
    </row>
    <row r="647" spans="1:8">
      <c r="A647">
        <v>646</v>
      </c>
      <c r="B647" t="s">
        <v>11</v>
      </c>
      <c r="C647">
        <v>76</v>
      </c>
      <c r="D647">
        <v>187141</v>
      </c>
      <c r="E647">
        <v>33</v>
      </c>
      <c r="F647" t="s">
        <v>16</v>
      </c>
      <c r="G647">
        <v>0</v>
      </c>
      <c r="H647">
        <v>7</v>
      </c>
    </row>
    <row r="648" spans="1:8">
      <c r="A648">
        <v>647</v>
      </c>
      <c r="B648" t="s">
        <v>11</v>
      </c>
      <c r="C648">
        <v>57</v>
      </c>
      <c r="D648">
        <v>97468</v>
      </c>
      <c r="E648">
        <v>22</v>
      </c>
      <c r="F648" t="s">
        <v>14</v>
      </c>
      <c r="G648">
        <v>0</v>
      </c>
      <c r="H648">
        <v>1</v>
      </c>
    </row>
    <row r="649" spans="1:8">
      <c r="A649">
        <v>648</v>
      </c>
      <c r="B649" t="s">
        <v>11</v>
      </c>
      <c r="C649">
        <v>77</v>
      </c>
      <c r="D649">
        <v>160351</v>
      </c>
      <c r="E649">
        <v>77</v>
      </c>
      <c r="F649" t="s">
        <v>12</v>
      </c>
      <c r="G649">
        <v>8</v>
      </c>
      <c r="H649">
        <v>5</v>
      </c>
    </row>
    <row r="650" spans="1:8">
      <c r="A650">
        <v>649</v>
      </c>
      <c r="B650" t="s">
        <v>11</v>
      </c>
      <c r="C650">
        <v>66</v>
      </c>
      <c r="D650">
        <v>178627</v>
      </c>
      <c r="E650">
        <v>94</v>
      </c>
      <c r="F650" t="s">
        <v>9</v>
      </c>
      <c r="G650">
        <v>1</v>
      </c>
      <c r="H650">
        <v>2</v>
      </c>
    </row>
    <row r="651" spans="1:8">
      <c r="A651">
        <v>650</v>
      </c>
      <c r="B651" t="s">
        <v>11</v>
      </c>
      <c r="C651">
        <v>49</v>
      </c>
      <c r="D651">
        <v>170188</v>
      </c>
      <c r="E651">
        <v>80</v>
      </c>
      <c r="F651" t="s">
        <v>12</v>
      </c>
      <c r="G651">
        <v>1</v>
      </c>
      <c r="H651">
        <v>6</v>
      </c>
    </row>
    <row r="652" spans="1:8">
      <c r="A652">
        <v>651</v>
      </c>
      <c r="B652" t="s">
        <v>11</v>
      </c>
      <c r="C652">
        <v>36</v>
      </c>
      <c r="D652">
        <v>166007</v>
      </c>
      <c r="E652">
        <v>40</v>
      </c>
      <c r="F652" t="s">
        <v>16</v>
      </c>
      <c r="G652">
        <v>1</v>
      </c>
      <c r="H652">
        <v>4</v>
      </c>
    </row>
    <row r="653" spans="1:8">
      <c r="A653">
        <v>652</v>
      </c>
      <c r="B653" t="s">
        <v>8</v>
      </c>
      <c r="C653">
        <v>74</v>
      </c>
      <c r="D653">
        <v>91794</v>
      </c>
      <c r="E653">
        <v>83</v>
      </c>
      <c r="F653" t="s">
        <v>13</v>
      </c>
      <c r="G653">
        <v>0</v>
      </c>
      <c r="H653">
        <v>7</v>
      </c>
    </row>
    <row r="654" spans="1:8">
      <c r="A654">
        <v>653</v>
      </c>
      <c r="B654" t="s">
        <v>11</v>
      </c>
      <c r="C654">
        <v>16</v>
      </c>
      <c r="D654">
        <v>189072</v>
      </c>
      <c r="E654">
        <v>86</v>
      </c>
      <c r="F654" t="s">
        <v>14</v>
      </c>
      <c r="G654">
        <v>6</v>
      </c>
      <c r="H654">
        <v>3</v>
      </c>
    </row>
    <row r="655" spans="1:8">
      <c r="A655">
        <v>654</v>
      </c>
      <c r="B655" t="s">
        <v>8</v>
      </c>
      <c r="C655">
        <v>27</v>
      </c>
      <c r="D655">
        <v>152717</v>
      </c>
      <c r="E655">
        <v>15</v>
      </c>
      <c r="F655" t="s">
        <v>15</v>
      </c>
      <c r="G655">
        <v>1</v>
      </c>
      <c r="H655">
        <v>6</v>
      </c>
    </row>
    <row r="656" spans="1:8">
      <c r="A656">
        <v>655</v>
      </c>
      <c r="B656" t="s">
        <v>11</v>
      </c>
      <c r="C656">
        <v>3</v>
      </c>
      <c r="D656">
        <v>158549</v>
      </c>
      <c r="E656">
        <v>98</v>
      </c>
      <c r="F656" t="s">
        <v>15</v>
      </c>
      <c r="G656">
        <v>0</v>
      </c>
      <c r="H656">
        <v>3</v>
      </c>
    </row>
    <row r="657" spans="1:8">
      <c r="A657">
        <v>656</v>
      </c>
      <c r="B657" t="s">
        <v>8</v>
      </c>
      <c r="C657">
        <v>31</v>
      </c>
      <c r="D657">
        <v>134263</v>
      </c>
      <c r="E657">
        <v>94</v>
      </c>
      <c r="F657" t="s">
        <v>18</v>
      </c>
      <c r="G657">
        <v>1</v>
      </c>
      <c r="H657">
        <v>3</v>
      </c>
    </row>
    <row r="658" spans="1:8">
      <c r="A658">
        <v>657</v>
      </c>
      <c r="B658" t="s">
        <v>11</v>
      </c>
      <c r="C658">
        <v>30</v>
      </c>
      <c r="D658">
        <v>148236</v>
      </c>
      <c r="E658">
        <v>28</v>
      </c>
      <c r="F658" t="s">
        <v>15</v>
      </c>
      <c r="G658">
        <v>1</v>
      </c>
      <c r="H658">
        <v>1</v>
      </c>
    </row>
    <row r="659" spans="1:8">
      <c r="A659">
        <v>658</v>
      </c>
      <c r="B659" t="s">
        <v>8</v>
      </c>
      <c r="C659">
        <v>94</v>
      </c>
      <c r="D659">
        <v>171677</v>
      </c>
      <c r="E659">
        <v>81</v>
      </c>
      <c r="F659" t="s">
        <v>14</v>
      </c>
      <c r="G659">
        <v>0</v>
      </c>
      <c r="H659">
        <v>6</v>
      </c>
    </row>
    <row r="660" spans="1:8">
      <c r="A660">
        <v>659</v>
      </c>
      <c r="B660" t="s">
        <v>11</v>
      </c>
      <c r="C660">
        <v>31</v>
      </c>
      <c r="D660">
        <v>189446</v>
      </c>
      <c r="E660">
        <v>38</v>
      </c>
      <c r="F660" t="s">
        <v>14</v>
      </c>
      <c r="G660">
        <v>1</v>
      </c>
      <c r="H660">
        <v>6</v>
      </c>
    </row>
    <row r="661" spans="1:8">
      <c r="A661">
        <v>660</v>
      </c>
      <c r="B661" t="s">
        <v>8</v>
      </c>
      <c r="C661">
        <v>49</v>
      </c>
      <c r="D661">
        <v>106633</v>
      </c>
      <c r="E661">
        <v>53</v>
      </c>
      <c r="F661" t="s">
        <v>14</v>
      </c>
      <c r="G661">
        <v>0</v>
      </c>
      <c r="H661">
        <v>3</v>
      </c>
    </row>
    <row r="662" spans="1:8">
      <c r="A662">
        <v>661</v>
      </c>
      <c r="B662" t="s">
        <v>8</v>
      </c>
      <c r="C662">
        <v>49</v>
      </c>
      <c r="D662">
        <v>81084</v>
      </c>
      <c r="E662">
        <v>48</v>
      </c>
      <c r="F662" t="s">
        <v>15</v>
      </c>
      <c r="G662">
        <v>6</v>
      </c>
      <c r="H662">
        <v>5</v>
      </c>
    </row>
    <row r="663" spans="1:8">
      <c r="A663">
        <v>662</v>
      </c>
      <c r="B663" t="s">
        <v>8</v>
      </c>
      <c r="C663">
        <v>53</v>
      </c>
      <c r="D663">
        <v>148759</v>
      </c>
      <c r="E663">
        <v>52</v>
      </c>
      <c r="F663" t="s">
        <v>16</v>
      </c>
      <c r="G663">
        <v>7</v>
      </c>
      <c r="H663">
        <v>7</v>
      </c>
    </row>
    <row r="664" spans="1:8">
      <c r="A664">
        <v>663</v>
      </c>
      <c r="B664" t="s">
        <v>11</v>
      </c>
      <c r="C664">
        <v>3</v>
      </c>
      <c r="D664">
        <v>117638</v>
      </c>
      <c r="E664">
        <v>95</v>
      </c>
      <c r="F664" t="s">
        <v>9</v>
      </c>
      <c r="G664">
        <v>2</v>
      </c>
      <c r="H664">
        <v>7</v>
      </c>
    </row>
    <row r="665" spans="1:8">
      <c r="A665">
        <v>664</v>
      </c>
      <c r="B665" t="s">
        <v>11</v>
      </c>
      <c r="C665">
        <v>91</v>
      </c>
      <c r="D665">
        <v>159537</v>
      </c>
      <c r="E665">
        <v>37</v>
      </c>
      <c r="F665" t="s">
        <v>16</v>
      </c>
      <c r="G665">
        <v>4</v>
      </c>
      <c r="H665">
        <v>1</v>
      </c>
    </row>
    <row r="666" spans="1:8">
      <c r="A666">
        <v>665</v>
      </c>
      <c r="B666" t="s">
        <v>8</v>
      </c>
      <c r="C666">
        <v>26</v>
      </c>
      <c r="D666">
        <v>79526</v>
      </c>
      <c r="E666">
        <v>6</v>
      </c>
      <c r="F666" t="s">
        <v>18</v>
      </c>
      <c r="G666">
        <v>9</v>
      </c>
      <c r="H666">
        <v>7</v>
      </c>
    </row>
    <row r="667" spans="1:8">
      <c r="A667">
        <v>666</v>
      </c>
      <c r="B667" t="s">
        <v>8</v>
      </c>
      <c r="C667">
        <v>28</v>
      </c>
      <c r="D667">
        <v>101414</v>
      </c>
      <c r="E667">
        <v>64</v>
      </c>
      <c r="G667">
        <v>8</v>
      </c>
      <c r="H667">
        <v>1</v>
      </c>
    </row>
    <row r="668" spans="1:8">
      <c r="A668">
        <v>667</v>
      </c>
      <c r="B668" t="s">
        <v>11</v>
      </c>
      <c r="C668">
        <v>92</v>
      </c>
      <c r="D668">
        <v>109519</v>
      </c>
      <c r="E668">
        <v>72</v>
      </c>
      <c r="F668" t="s">
        <v>13</v>
      </c>
      <c r="G668">
        <v>1</v>
      </c>
      <c r="H668">
        <v>4</v>
      </c>
    </row>
    <row r="669" spans="1:8">
      <c r="A669">
        <v>668</v>
      </c>
      <c r="B669" t="s">
        <v>11</v>
      </c>
      <c r="C669">
        <v>59</v>
      </c>
      <c r="D669">
        <v>156880</v>
      </c>
      <c r="E669">
        <v>70</v>
      </c>
      <c r="F669" t="s">
        <v>14</v>
      </c>
      <c r="G669">
        <v>0</v>
      </c>
      <c r="H669">
        <v>7</v>
      </c>
    </row>
    <row r="670" spans="1:8">
      <c r="A670">
        <v>669</v>
      </c>
      <c r="B670" t="s">
        <v>8</v>
      </c>
      <c r="C670">
        <v>15</v>
      </c>
      <c r="D670">
        <v>157278</v>
      </c>
      <c r="E670">
        <v>58</v>
      </c>
      <c r="F670" t="s">
        <v>14</v>
      </c>
      <c r="G670">
        <v>0</v>
      </c>
      <c r="H670">
        <v>6</v>
      </c>
    </row>
    <row r="671" spans="1:8">
      <c r="A671">
        <v>670</v>
      </c>
      <c r="B671" t="s">
        <v>11</v>
      </c>
      <c r="C671">
        <v>23</v>
      </c>
      <c r="D671">
        <v>144916</v>
      </c>
      <c r="E671">
        <v>84</v>
      </c>
      <c r="F671" t="s">
        <v>10</v>
      </c>
      <c r="G671">
        <v>1</v>
      </c>
      <c r="H671">
        <v>7</v>
      </c>
    </row>
    <row r="672" spans="1:8">
      <c r="A672">
        <v>671</v>
      </c>
      <c r="B672" t="s">
        <v>8</v>
      </c>
      <c r="C672">
        <v>54</v>
      </c>
      <c r="D672">
        <v>59163</v>
      </c>
      <c r="E672">
        <v>100</v>
      </c>
      <c r="F672" t="s">
        <v>18</v>
      </c>
      <c r="G672">
        <v>3</v>
      </c>
      <c r="H672">
        <v>3</v>
      </c>
    </row>
    <row r="673" spans="1:8">
      <c r="A673">
        <v>672</v>
      </c>
      <c r="B673" t="s">
        <v>11</v>
      </c>
      <c r="C673">
        <v>93</v>
      </c>
      <c r="D673">
        <v>93991</v>
      </c>
      <c r="E673">
        <v>49</v>
      </c>
      <c r="F673" t="s">
        <v>14</v>
      </c>
      <c r="G673">
        <v>1</v>
      </c>
      <c r="H673">
        <v>3</v>
      </c>
    </row>
    <row r="674" spans="1:8">
      <c r="A674">
        <v>673</v>
      </c>
      <c r="B674" t="s">
        <v>11</v>
      </c>
      <c r="C674">
        <v>65</v>
      </c>
      <c r="D674">
        <v>58318</v>
      </c>
      <c r="E674">
        <v>45</v>
      </c>
      <c r="F674" t="s">
        <v>16</v>
      </c>
      <c r="G674">
        <v>1</v>
      </c>
      <c r="H674">
        <v>1</v>
      </c>
    </row>
    <row r="675" spans="1:8">
      <c r="A675">
        <v>674</v>
      </c>
      <c r="B675" t="s">
        <v>11</v>
      </c>
      <c r="C675">
        <v>13</v>
      </c>
      <c r="D675">
        <v>180786</v>
      </c>
      <c r="E675">
        <v>88</v>
      </c>
      <c r="F675" t="s">
        <v>12</v>
      </c>
      <c r="G675">
        <v>1</v>
      </c>
      <c r="H675">
        <v>5</v>
      </c>
    </row>
    <row r="676" spans="1:8">
      <c r="A676">
        <v>675</v>
      </c>
      <c r="B676" t="s">
        <v>8</v>
      </c>
      <c r="C676">
        <v>71</v>
      </c>
      <c r="D676">
        <v>84622</v>
      </c>
      <c r="E676">
        <v>45</v>
      </c>
      <c r="F676" t="s">
        <v>16</v>
      </c>
      <c r="G676">
        <v>0</v>
      </c>
      <c r="H676">
        <v>6</v>
      </c>
    </row>
    <row r="677" spans="1:8">
      <c r="A677">
        <v>676</v>
      </c>
      <c r="B677" t="s">
        <v>8</v>
      </c>
      <c r="C677">
        <v>1</v>
      </c>
      <c r="D677">
        <v>92674</v>
      </c>
      <c r="E677">
        <v>59</v>
      </c>
      <c r="F677" t="s">
        <v>14</v>
      </c>
      <c r="G677">
        <v>8</v>
      </c>
      <c r="H677">
        <v>4</v>
      </c>
    </row>
    <row r="678" spans="1:8">
      <c r="A678">
        <v>677</v>
      </c>
      <c r="B678" t="s">
        <v>11</v>
      </c>
      <c r="C678">
        <v>57</v>
      </c>
      <c r="D678">
        <v>87553</v>
      </c>
      <c r="E678">
        <v>94</v>
      </c>
      <c r="F678" t="s">
        <v>14</v>
      </c>
      <c r="G678">
        <v>1</v>
      </c>
      <c r="H678">
        <v>1</v>
      </c>
    </row>
    <row r="679" spans="1:8">
      <c r="A679">
        <v>678</v>
      </c>
      <c r="B679" t="s">
        <v>8</v>
      </c>
      <c r="C679">
        <v>14</v>
      </c>
      <c r="D679">
        <v>74174</v>
      </c>
      <c r="E679">
        <v>79</v>
      </c>
      <c r="F679" t="s">
        <v>13</v>
      </c>
      <c r="G679">
        <v>1</v>
      </c>
      <c r="H679">
        <v>2</v>
      </c>
    </row>
    <row r="680" spans="1:8">
      <c r="A680">
        <v>679</v>
      </c>
      <c r="B680" t="s">
        <v>11</v>
      </c>
      <c r="C680">
        <v>77</v>
      </c>
      <c r="D680">
        <v>180831</v>
      </c>
      <c r="E680">
        <v>33</v>
      </c>
      <c r="F680" t="s">
        <v>9</v>
      </c>
      <c r="G680">
        <v>1</v>
      </c>
      <c r="H680">
        <v>2</v>
      </c>
    </row>
    <row r="681" spans="1:8">
      <c r="A681">
        <v>680</v>
      </c>
      <c r="B681" t="s">
        <v>11</v>
      </c>
      <c r="C681">
        <v>89</v>
      </c>
      <c r="D681">
        <v>137397</v>
      </c>
      <c r="E681">
        <v>33</v>
      </c>
      <c r="F681" t="s">
        <v>16</v>
      </c>
      <c r="G681">
        <v>1</v>
      </c>
      <c r="H681">
        <v>7</v>
      </c>
    </row>
    <row r="682" spans="1:8">
      <c r="A682">
        <v>681</v>
      </c>
      <c r="B682" t="s">
        <v>8</v>
      </c>
      <c r="C682">
        <v>17</v>
      </c>
      <c r="D682">
        <v>96154</v>
      </c>
      <c r="E682">
        <v>100</v>
      </c>
      <c r="F682" t="s">
        <v>14</v>
      </c>
      <c r="G682">
        <v>1</v>
      </c>
      <c r="H682">
        <v>4</v>
      </c>
    </row>
    <row r="683" spans="1:8">
      <c r="A683">
        <v>682</v>
      </c>
      <c r="B683" t="s">
        <v>8</v>
      </c>
      <c r="C683">
        <v>86</v>
      </c>
      <c r="D683">
        <v>172477</v>
      </c>
      <c r="E683">
        <v>69</v>
      </c>
      <c r="F683" t="s">
        <v>13</v>
      </c>
      <c r="G683">
        <v>1</v>
      </c>
      <c r="H683">
        <v>3</v>
      </c>
    </row>
    <row r="684" spans="1:8">
      <c r="A684">
        <v>683</v>
      </c>
      <c r="B684" t="s">
        <v>8</v>
      </c>
      <c r="C684">
        <v>42</v>
      </c>
      <c r="D684">
        <v>59954</v>
      </c>
      <c r="E684">
        <v>37</v>
      </c>
      <c r="F684" t="s">
        <v>15</v>
      </c>
      <c r="G684">
        <v>4</v>
      </c>
      <c r="H684">
        <v>4</v>
      </c>
    </row>
    <row r="685" spans="1:8">
      <c r="A685">
        <v>684</v>
      </c>
      <c r="B685" t="s">
        <v>11</v>
      </c>
      <c r="C685">
        <v>29</v>
      </c>
      <c r="D685">
        <v>112240</v>
      </c>
      <c r="E685">
        <v>95</v>
      </c>
      <c r="F685" t="s">
        <v>13</v>
      </c>
      <c r="G685">
        <v>0</v>
      </c>
      <c r="H685">
        <v>4</v>
      </c>
    </row>
    <row r="686" spans="1:8">
      <c r="A686">
        <v>685</v>
      </c>
      <c r="B686" t="s">
        <v>11</v>
      </c>
      <c r="C686">
        <v>54</v>
      </c>
      <c r="D686">
        <v>145679</v>
      </c>
      <c r="E686">
        <v>35</v>
      </c>
      <c r="F686" t="s">
        <v>14</v>
      </c>
      <c r="G686">
        <v>0</v>
      </c>
      <c r="H686">
        <v>2</v>
      </c>
    </row>
    <row r="687" spans="1:8">
      <c r="A687">
        <v>686</v>
      </c>
      <c r="B687" t="s">
        <v>8</v>
      </c>
      <c r="C687">
        <v>96</v>
      </c>
      <c r="D687">
        <v>136265</v>
      </c>
      <c r="E687">
        <v>49</v>
      </c>
      <c r="F687" t="s">
        <v>14</v>
      </c>
      <c r="G687">
        <v>12</v>
      </c>
      <c r="H687">
        <v>5</v>
      </c>
    </row>
    <row r="688" spans="1:8">
      <c r="A688">
        <v>687</v>
      </c>
      <c r="B688" t="s">
        <v>11</v>
      </c>
      <c r="C688">
        <v>58</v>
      </c>
      <c r="D688">
        <v>74869</v>
      </c>
      <c r="E688">
        <v>12</v>
      </c>
      <c r="F688" t="s">
        <v>9</v>
      </c>
      <c r="G688">
        <v>0</v>
      </c>
      <c r="H688">
        <v>3</v>
      </c>
    </row>
    <row r="689" spans="1:8">
      <c r="A689">
        <v>688</v>
      </c>
      <c r="B689" t="s">
        <v>11</v>
      </c>
      <c r="C689">
        <v>52</v>
      </c>
      <c r="D689">
        <v>109425</v>
      </c>
      <c r="E689">
        <v>46</v>
      </c>
      <c r="F689" t="s">
        <v>10</v>
      </c>
      <c r="G689">
        <v>0</v>
      </c>
      <c r="H689">
        <v>1</v>
      </c>
    </row>
    <row r="690" spans="1:8">
      <c r="A690">
        <v>689</v>
      </c>
      <c r="B690" t="s">
        <v>11</v>
      </c>
      <c r="C690">
        <v>3</v>
      </c>
      <c r="D690">
        <v>126015</v>
      </c>
      <c r="E690">
        <v>57</v>
      </c>
      <c r="F690" t="s">
        <v>9</v>
      </c>
      <c r="G690">
        <v>0</v>
      </c>
      <c r="H690">
        <v>1</v>
      </c>
    </row>
    <row r="691" spans="1:8">
      <c r="A691">
        <v>690</v>
      </c>
      <c r="B691" t="s">
        <v>11</v>
      </c>
      <c r="C691">
        <v>13</v>
      </c>
      <c r="D691">
        <v>156951</v>
      </c>
      <c r="E691">
        <v>66</v>
      </c>
      <c r="F691" t="s">
        <v>9</v>
      </c>
      <c r="G691">
        <v>4</v>
      </c>
      <c r="H691">
        <v>7</v>
      </c>
    </row>
    <row r="692" spans="1:8">
      <c r="A692">
        <v>691</v>
      </c>
      <c r="B692" t="s">
        <v>11</v>
      </c>
      <c r="C692">
        <v>3</v>
      </c>
      <c r="D692">
        <v>127172</v>
      </c>
      <c r="E692">
        <v>68</v>
      </c>
      <c r="F692" t="s">
        <v>9</v>
      </c>
      <c r="G692">
        <v>1</v>
      </c>
      <c r="H692">
        <v>2</v>
      </c>
    </row>
    <row r="693" spans="1:8">
      <c r="A693">
        <v>692</v>
      </c>
      <c r="B693" t="s">
        <v>8</v>
      </c>
      <c r="C693">
        <v>89</v>
      </c>
      <c r="D693">
        <v>113834</v>
      </c>
      <c r="E693">
        <v>22</v>
      </c>
      <c r="F693" t="s">
        <v>16</v>
      </c>
      <c r="G693">
        <v>0</v>
      </c>
      <c r="H693">
        <v>3</v>
      </c>
    </row>
    <row r="694" spans="1:8">
      <c r="A694">
        <v>693</v>
      </c>
      <c r="B694" t="s">
        <v>8</v>
      </c>
      <c r="C694">
        <v>83</v>
      </c>
      <c r="D694">
        <v>132005</v>
      </c>
      <c r="E694">
        <v>2</v>
      </c>
      <c r="F694" t="s">
        <v>13</v>
      </c>
      <c r="G694">
        <v>0</v>
      </c>
      <c r="H694">
        <v>5</v>
      </c>
    </row>
    <row r="695" spans="1:8">
      <c r="A695">
        <v>694</v>
      </c>
      <c r="B695" t="s">
        <v>11</v>
      </c>
      <c r="C695">
        <v>80</v>
      </c>
      <c r="D695">
        <v>171323</v>
      </c>
      <c r="E695">
        <v>78</v>
      </c>
      <c r="F695" t="s">
        <v>12</v>
      </c>
      <c r="G695">
        <v>10</v>
      </c>
      <c r="H695">
        <v>4</v>
      </c>
    </row>
    <row r="696" spans="1:8">
      <c r="A696">
        <v>695</v>
      </c>
      <c r="B696" t="s">
        <v>11</v>
      </c>
      <c r="C696">
        <v>74</v>
      </c>
      <c r="D696">
        <v>92355</v>
      </c>
      <c r="E696">
        <v>87</v>
      </c>
      <c r="F696" t="s">
        <v>13</v>
      </c>
      <c r="G696">
        <v>1</v>
      </c>
      <c r="H696">
        <v>4</v>
      </c>
    </row>
    <row r="697" spans="1:8">
      <c r="A697">
        <v>696</v>
      </c>
      <c r="B697" t="s">
        <v>8</v>
      </c>
      <c r="C697">
        <v>42</v>
      </c>
      <c r="D697">
        <v>60982</v>
      </c>
      <c r="E697">
        <v>3</v>
      </c>
      <c r="F697" t="s">
        <v>9</v>
      </c>
      <c r="G697">
        <v>0</v>
      </c>
      <c r="H697">
        <v>5</v>
      </c>
    </row>
    <row r="698" spans="1:8">
      <c r="A698">
        <v>697</v>
      </c>
      <c r="B698" t="s">
        <v>11</v>
      </c>
      <c r="C698">
        <v>91</v>
      </c>
      <c r="D698">
        <v>51742</v>
      </c>
      <c r="E698">
        <v>33</v>
      </c>
      <c r="F698" t="s">
        <v>14</v>
      </c>
      <c r="G698">
        <v>8</v>
      </c>
      <c r="H698">
        <v>3</v>
      </c>
    </row>
    <row r="699" spans="1:8">
      <c r="A699">
        <v>698</v>
      </c>
      <c r="B699" t="s">
        <v>11</v>
      </c>
      <c r="C699">
        <v>31</v>
      </c>
      <c r="D699">
        <v>138612</v>
      </c>
      <c r="E699">
        <v>71</v>
      </c>
      <c r="F699" t="s">
        <v>15</v>
      </c>
      <c r="G699">
        <v>9</v>
      </c>
      <c r="H699">
        <v>2</v>
      </c>
    </row>
    <row r="700" spans="1:8">
      <c r="A700">
        <v>699</v>
      </c>
      <c r="B700" t="s">
        <v>8</v>
      </c>
      <c r="C700">
        <v>8</v>
      </c>
      <c r="D700">
        <v>158123</v>
      </c>
      <c r="E700">
        <v>84</v>
      </c>
      <c r="F700" t="s">
        <v>14</v>
      </c>
      <c r="G700">
        <v>1</v>
      </c>
      <c r="H700">
        <v>1</v>
      </c>
    </row>
    <row r="701" spans="1:8">
      <c r="A701">
        <v>700</v>
      </c>
      <c r="B701" t="s">
        <v>8</v>
      </c>
      <c r="C701">
        <v>64</v>
      </c>
      <c r="D701">
        <v>164675</v>
      </c>
      <c r="E701">
        <v>65</v>
      </c>
      <c r="F701" t="s">
        <v>15</v>
      </c>
      <c r="G701">
        <v>0</v>
      </c>
      <c r="H701">
        <v>5</v>
      </c>
    </row>
    <row r="702" spans="1:8">
      <c r="A702">
        <v>701</v>
      </c>
      <c r="B702" t="s">
        <v>11</v>
      </c>
      <c r="C702">
        <v>41</v>
      </c>
      <c r="D702">
        <v>172882</v>
      </c>
      <c r="E702">
        <v>27</v>
      </c>
      <c r="F702" t="s">
        <v>9</v>
      </c>
      <c r="G702">
        <v>8</v>
      </c>
      <c r="H702">
        <v>7</v>
      </c>
    </row>
    <row r="703" spans="1:8">
      <c r="A703">
        <v>702</v>
      </c>
      <c r="B703" t="s">
        <v>11</v>
      </c>
      <c r="C703">
        <v>62</v>
      </c>
      <c r="D703">
        <v>70119</v>
      </c>
      <c r="E703">
        <v>93</v>
      </c>
      <c r="F703" t="s">
        <v>14</v>
      </c>
      <c r="G703">
        <v>0</v>
      </c>
      <c r="H703">
        <v>1</v>
      </c>
    </row>
    <row r="704" spans="1:8">
      <c r="A704">
        <v>703</v>
      </c>
      <c r="B704" t="s">
        <v>8</v>
      </c>
      <c r="C704">
        <v>41</v>
      </c>
      <c r="D704">
        <v>113998</v>
      </c>
      <c r="E704">
        <v>26</v>
      </c>
      <c r="F704" t="s">
        <v>9</v>
      </c>
      <c r="G704">
        <v>7</v>
      </c>
      <c r="H704">
        <v>7</v>
      </c>
    </row>
    <row r="705" spans="1:8">
      <c r="A705">
        <v>704</v>
      </c>
      <c r="B705" t="s">
        <v>8</v>
      </c>
      <c r="C705">
        <v>22</v>
      </c>
      <c r="D705">
        <v>114011</v>
      </c>
      <c r="E705">
        <v>40</v>
      </c>
      <c r="G705">
        <v>5</v>
      </c>
      <c r="H705">
        <v>7</v>
      </c>
    </row>
    <row r="706" spans="1:8">
      <c r="A706">
        <v>705</v>
      </c>
      <c r="B706" t="s">
        <v>8</v>
      </c>
      <c r="C706">
        <v>5</v>
      </c>
      <c r="D706">
        <v>57265</v>
      </c>
      <c r="E706">
        <v>89</v>
      </c>
      <c r="F706" t="s">
        <v>13</v>
      </c>
      <c r="G706">
        <v>7</v>
      </c>
      <c r="H706">
        <v>7</v>
      </c>
    </row>
    <row r="707" spans="1:8">
      <c r="A707">
        <v>706</v>
      </c>
      <c r="B707" t="s">
        <v>11</v>
      </c>
      <c r="C707">
        <v>38</v>
      </c>
      <c r="D707">
        <v>130597</v>
      </c>
      <c r="E707">
        <v>2</v>
      </c>
      <c r="F707" t="s">
        <v>14</v>
      </c>
      <c r="G707">
        <v>6</v>
      </c>
      <c r="H707">
        <v>1</v>
      </c>
    </row>
    <row r="708" spans="1:8">
      <c r="A708">
        <v>707</v>
      </c>
      <c r="B708" t="s">
        <v>11</v>
      </c>
      <c r="C708">
        <v>88</v>
      </c>
      <c r="D708">
        <v>121597</v>
      </c>
      <c r="E708">
        <v>7</v>
      </c>
      <c r="F708" t="s">
        <v>10</v>
      </c>
      <c r="G708">
        <v>0</v>
      </c>
      <c r="H708">
        <v>5</v>
      </c>
    </row>
    <row r="709" spans="1:8">
      <c r="A709">
        <v>708</v>
      </c>
      <c r="B709" t="s">
        <v>8</v>
      </c>
      <c r="C709">
        <v>56</v>
      </c>
      <c r="D709">
        <v>103210</v>
      </c>
      <c r="E709">
        <v>100</v>
      </c>
      <c r="F709" t="s">
        <v>14</v>
      </c>
      <c r="G709">
        <v>6</v>
      </c>
      <c r="H709">
        <v>6</v>
      </c>
    </row>
    <row r="710" spans="1:8">
      <c r="A710">
        <v>709</v>
      </c>
      <c r="B710" t="s">
        <v>8</v>
      </c>
      <c r="C710">
        <v>47</v>
      </c>
      <c r="D710">
        <v>66308</v>
      </c>
      <c r="E710">
        <v>8</v>
      </c>
      <c r="F710" t="s">
        <v>15</v>
      </c>
      <c r="G710">
        <v>0</v>
      </c>
      <c r="H710">
        <v>4</v>
      </c>
    </row>
    <row r="711" spans="1:8">
      <c r="A711">
        <v>710</v>
      </c>
      <c r="B711" t="s">
        <v>8</v>
      </c>
      <c r="C711">
        <v>4</v>
      </c>
      <c r="D711">
        <v>141336</v>
      </c>
      <c r="E711">
        <v>93</v>
      </c>
      <c r="F711" t="s">
        <v>17</v>
      </c>
      <c r="G711">
        <v>2</v>
      </c>
      <c r="H711">
        <v>1</v>
      </c>
    </row>
    <row r="712" spans="1:8">
      <c r="A712">
        <v>711</v>
      </c>
      <c r="B712" t="s">
        <v>8</v>
      </c>
      <c r="C712">
        <v>82</v>
      </c>
      <c r="D712">
        <v>153632</v>
      </c>
      <c r="E712">
        <v>76</v>
      </c>
      <c r="F712" t="s">
        <v>13</v>
      </c>
      <c r="G712">
        <v>9</v>
      </c>
      <c r="H712">
        <v>7</v>
      </c>
    </row>
    <row r="713" spans="1:8">
      <c r="A713">
        <v>712</v>
      </c>
      <c r="B713" t="s">
        <v>11</v>
      </c>
      <c r="C713">
        <v>31</v>
      </c>
      <c r="D713">
        <v>65520</v>
      </c>
      <c r="E713">
        <v>71</v>
      </c>
      <c r="F713" t="s">
        <v>12</v>
      </c>
      <c r="G713">
        <v>1</v>
      </c>
      <c r="H713">
        <v>2</v>
      </c>
    </row>
    <row r="714" spans="1:8">
      <c r="A714">
        <v>713</v>
      </c>
      <c r="B714" t="s">
        <v>11</v>
      </c>
      <c r="C714">
        <v>69</v>
      </c>
      <c r="D714">
        <v>153217</v>
      </c>
      <c r="E714">
        <v>83</v>
      </c>
      <c r="F714" t="s">
        <v>9</v>
      </c>
      <c r="G714">
        <v>1</v>
      </c>
      <c r="H714">
        <v>6</v>
      </c>
    </row>
    <row r="715" spans="1:8">
      <c r="A715">
        <v>714</v>
      </c>
      <c r="B715" t="s">
        <v>8</v>
      </c>
      <c r="C715">
        <v>62</v>
      </c>
      <c r="D715">
        <v>92768</v>
      </c>
      <c r="E715">
        <v>75</v>
      </c>
      <c r="F715" t="s">
        <v>16</v>
      </c>
      <c r="G715">
        <v>1</v>
      </c>
      <c r="H715">
        <v>1</v>
      </c>
    </row>
    <row r="716" spans="1:8">
      <c r="A716">
        <v>715</v>
      </c>
      <c r="B716" t="s">
        <v>11</v>
      </c>
      <c r="C716">
        <v>54</v>
      </c>
      <c r="D716">
        <v>132345</v>
      </c>
      <c r="E716">
        <v>10</v>
      </c>
      <c r="F716" t="s">
        <v>14</v>
      </c>
      <c r="G716">
        <v>0</v>
      </c>
      <c r="H716">
        <v>2</v>
      </c>
    </row>
    <row r="717" spans="1:8">
      <c r="A717">
        <v>716</v>
      </c>
      <c r="B717" t="s">
        <v>11</v>
      </c>
      <c r="C717">
        <v>60</v>
      </c>
      <c r="D717">
        <v>186069</v>
      </c>
      <c r="E717">
        <v>49</v>
      </c>
      <c r="F717" t="s">
        <v>18</v>
      </c>
      <c r="G717">
        <v>1</v>
      </c>
      <c r="H717">
        <v>2</v>
      </c>
    </row>
    <row r="718" spans="1:8">
      <c r="A718">
        <v>717</v>
      </c>
      <c r="B718" t="s">
        <v>11</v>
      </c>
      <c r="C718">
        <v>31</v>
      </c>
      <c r="D718">
        <v>53802</v>
      </c>
      <c r="E718">
        <v>32</v>
      </c>
      <c r="F718" t="s">
        <v>14</v>
      </c>
      <c r="G718">
        <v>1</v>
      </c>
      <c r="H718">
        <v>7</v>
      </c>
    </row>
    <row r="719" spans="1:8">
      <c r="A719">
        <v>718</v>
      </c>
      <c r="B719" t="s">
        <v>11</v>
      </c>
      <c r="C719">
        <v>17</v>
      </c>
      <c r="D719">
        <v>103739</v>
      </c>
      <c r="E719">
        <v>62</v>
      </c>
      <c r="F719" t="s">
        <v>9</v>
      </c>
      <c r="G719">
        <v>6</v>
      </c>
      <c r="H719">
        <v>4</v>
      </c>
    </row>
    <row r="720" spans="1:8">
      <c r="A720">
        <v>719</v>
      </c>
      <c r="B720" t="s">
        <v>11</v>
      </c>
      <c r="C720">
        <v>15</v>
      </c>
      <c r="D720">
        <v>50550</v>
      </c>
      <c r="E720">
        <v>34</v>
      </c>
      <c r="F720" t="s">
        <v>9</v>
      </c>
      <c r="G720">
        <v>9</v>
      </c>
      <c r="H720">
        <v>7</v>
      </c>
    </row>
    <row r="721" spans="1:8">
      <c r="A721">
        <v>720</v>
      </c>
      <c r="B721" t="s">
        <v>11</v>
      </c>
      <c r="C721">
        <v>37</v>
      </c>
      <c r="D721">
        <v>145648</v>
      </c>
      <c r="E721">
        <v>21</v>
      </c>
      <c r="F721" t="s">
        <v>9</v>
      </c>
      <c r="G721">
        <v>7</v>
      </c>
      <c r="H721">
        <v>6</v>
      </c>
    </row>
    <row r="722" spans="1:8">
      <c r="A722">
        <v>721</v>
      </c>
      <c r="B722" t="s">
        <v>8</v>
      </c>
      <c r="C722">
        <v>36</v>
      </c>
      <c r="D722">
        <v>85737</v>
      </c>
      <c r="E722">
        <v>37</v>
      </c>
      <c r="F722" t="s">
        <v>15</v>
      </c>
      <c r="G722">
        <v>0</v>
      </c>
      <c r="H722">
        <v>3</v>
      </c>
    </row>
    <row r="723" spans="1:8">
      <c r="A723">
        <v>722</v>
      </c>
      <c r="B723" t="s">
        <v>11</v>
      </c>
      <c r="C723">
        <v>27</v>
      </c>
      <c r="D723">
        <v>99950</v>
      </c>
      <c r="E723">
        <v>20</v>
      </c>
      <c r="F723" t="s">
        <v>13</v>
      </c>
      <c r="G723">
        <v>0</v>
      </c>
      <c r="H723">
        <v>4</v>
      </c>
    </row>
    <row r="724" spans="1:8">
      <c r="A724">
        <v>723</v>
      </c>
      <c r="B724" t="s">
        <v>11</v>
      </c>
      <c r="C724">
        <v>11</v>
      </c>
      <c r="D724">
        <v>83220</v>
      </c>
      <c r="E724">
        <v>21</v>
      </c>
      <c r="F724" t="s">
        <v>10</v>
      </c>
      <c r="G724">
        <v>7</v>
      </c>
      <c r="H724">
        <v>4</v>
      </c>
    </row>
    <row r="725" spans="1:8">
      <c r="A725">
        <v>724</v>
      </c>
      <c r="B725" t="s">
        <v>8</v>
      </c>
      <c r="C725">
        <v>83</v>
      </c>
      <c r="D725">
        <v>73410</v>
      </c>
      <c r="E725">
        <v>50</v>
      </c>
      <c r="F725" t="s">
        <v>13</v>
      </c>
      <c r="G725">
        <v>8</v>
      </c>
      <c r="H725">
        <v>5</v>
      </c>
    </row>
    <row r="726" spans="1:8">
      <c r="A726">
        <v>725</v>
      </c>
      <c r="B726" t="s">
        <v>11</v>
      </c>
      <c r="C726">
        <v>71</v>
      </c>
      <c r="D726">
        <v>64310</v>
      </c>
      <c r="E726">
        <v>43</v>
      </c>
      <c r="F726" t="s">
        <v>18</v>
      </c>
      <c r="G726">
        <v>2</v>
      </c>
      <c r="H726">
        <v>1</v>
      </c>
    </row>
    <row r="727" spans="1:8">
      <c r="A727">
        <v>726</v>
      </c>
      <c r="B727" t="s">
        <v>11</v>
      </c>
      <c r="C727">
        <v>20</v>
      </c>
      <c r="D727">
        <v>59844</v>
      </c>
      <c r="E727">
        <v>79</v>
      </c>
      <c r="F727" t="s">
        <v>16</v>
      </c>
      <c r="G727">
        <v>0</v>
      </c>
      <c r="H727">
        <v>1</v>
      </c>
    </row>
    <row r="728" spans="1:8">
      <c r="A728">
        <v>727</v>
      </c>
      <c r="B728" t="s">
        <v>8</v>
      </c>
      <c r="C728">
        <v>3</v>
      </c>
      <c r="D728">
        <v>67787</v>
      </c>
      <c r="E728">
        <v>1</v>
      </c>
      <c r="F728" t="s">
        <v>15</v>
      </c>
      <c r="G728">
        <v>1</v>
      </c>
      <c r="H728">
        <v>6</v>
      </c>
    </row>
    <row r="729" spans="1:8">
      <c r="A729">
        <v>728</v>
      </c>
      <c r="B729" t="s">
        <v>8</v>
      </c>
      <c r="C729">
        <v>52</v>
      </c>
      <c r="D729">
        <v>172841</v>
      </c>
      <c r="E729">
        <v>4</v>
      </c>
      <c r="F729" t="s">
        <v>10</v>
      </c>
      <c r="G729">
        <v>0</v>
      </c>
      <c r="H729">
        <v>1</v>
      </c>
    </row>
    <row r="730" spans="1:8">
      <c r="A730">
        <v>729</v>
      </c>
      <c r="B730" t="s">
        <v>8</v>
      </c>
      <c r="C730">
        <v>75</v>
      </c>
      <c r="D730">
        <v>145528</v>
      </c>
      <c r="E730">
        <v>61</v>
      </c>
      <c r="F730" t="s">
        <v>9</v>
      </c>
      <c r="G730">
        <v>1</v>
      </c>
      <c r="H730">
        <v>2</v>
      </c>
    </row>
    <row r="731" spans="1:8">
      <c r="A731">
        <v>730</v>
      </c>
      <c r="B731" t="s">
        <v>8</v>
      </c>
      <c r="C731">
        <v>36</v>
      </c>
      <c r="D731">
        <v>173807</v>
      </c>
      <c r="E731">
        <v>42</v>
      </c>
      <c r="F731" t="s">
        <v>14</v>
      </c>
      <c r="G731">
        <v>0</v>
      </c>
      <c r="H731">
        <v>2</v>
      </c>
    </row>
    <row r="732" spans="1:8">
      <c r="A732">
        <v>731</v>
      </c>
      <c r="B732" t="s">
        <v>8</v>
      </c>
      <c r="C732">
        <v>60</v>
      </c>
      <c r="D732">
        <v>185794</v>
      </c>
      <c r="E732">
        <v>69</v>
      </c>
      <c r="F732" t="s">
        <v>13</v>
      </c>
      <c r="G732">
        <v>7</v>
      </c>
      <c r="H732">
        <v>1</v>
      </c>
    </row>
    <row r="733" spans="1:8">
      <c r="A733">
        <v>732</v>
      </c>
      <c r="B733" t="s">
        <v>8</v>
      </c>
      <c r="C733">
        <v>8</v>
      </c>
      <c r="D733">
        <v>119780</v>
      </c>
      <c r="E733">
        <v>71</v>
      </c>
      <c r="F733" t="s">
        <v>9</v>
      </c>
      <c r="G733">
        <v>1</v>
      </c>
      <c r="H733">
        <v>3</v>
      </c>
    </row>
    <row r="734" spans="1:8">
      <c r="A734">
        <v>733</v>
      </c>
      <c r="B734" t="s">
        <v>11</v>
      </c>
      <c r="C734">
        <v>9</v>
      </c>
      <c r="D734">
        <v>158596</v>
      </c>
      <c r="E734">
        <v>86</v>
      </c>
      <c r="F734" t="s">
        <v>14</v>
      </c>
      <c r="G734">
        <v>1</v>
      </c>
      <c r="H734">
        <v>2</v>
      </c>
    </row>
    <row r="735" spans="1:8">
      <c r="A735">
        <v>734</v>
      </c>
      <c r="B735" t="s">
        <v>11</v>
      </c>
      <c r="C735">
        <v>41</v>
      </c>
      <c r="D735">
        <v>118122</v>
      </c>
      <c r="E735">
        <v>52</v>
      </c>
      <c r="F735" t="s">
        <v>13</v>
      </c>
      <c r="G735">
        <v>0</v>
      </c>
      <c r="H735">
        <v>6</v>
      </c>
    </row>
    <row r="736" spans="1:8">
      <c r="A736">
        <v>735</v>
      </c>
      <c r="B736" t="s">
        <v>8</v>
      </c>
      <c r="C736">
        <v>38</v>
      </c>
      <c r="D736">
        <v>99964</v>
      </c>
      <c r="E736">
        <v>11</v>
      </c>
      <c r="F736" t="s">
        <v>9</v>
      </c>
      <c r="G736">
        <v>7</v>
      </c>
      <c r="H736">
        <v>4</v>
      </c>
    </row>
    <row r="737" spans="1:8">
      <c r="A737">
        <v>736</v>
      </c>
      <c r="B737" t="s">
        <v>11</v>
      </c>
      <c r="C737">
        <v>69</v>
      </c>
      <c r="D737">
        <v>120752</v>
      </c>
      <c r="E737">
        <v>27</v>
      </c>
      <c r="F737" t="s">
        <v>15</v>
      </c>
      <c r="G737">
        <v>1</v>
      </c>
      <c r="H737">
        <v>6</v>
      </c>
    </row>
    <row r="738" spans="1:8">
      <c r="A738">
        <v>737</v>
      </c>
      <c r="B738" t="s">
        <v>11</v>
      </c>
      <c r="C738">
        <v>33</v>
      </c>
      <c r="D738">
        <v>189630</v>
      </c>
      <c r="E738">
        <v>53</v>
      </c>
      <c r="F738" t="s">
        <v>15</v>
      </c>
      <c r="G738">
        <v>5</v>
      </c>
      <c r="H738">
        <v>5</v>
      </c>
    </row>
    <row r="739" spans="1:8">
      <c r="A739">
        <v>738</v>
      </c>
      <c r="B739" t="s">
        <v>8</v>
      </c>
      <c r="C739">
        <v>64</v>
      </c>
      <c r="D739">
        <v>125510</v>
      </c>
      <c r="E739">
        <v>6</v>
      </c>
      <c r="F739" t="s">
        <v>9</v>
      </c>
      <c r="G739">
        <v>3</v>
      </c>
      <c r="H739">
        <v>3</v>
      </c>
    </row>
    <row r="740" spans="1:8">
      <c r="A740">
        <v>739</v>
      </c>
      <c r="B740" t="s">
        <v>8</v>
      </c>
      <c r="C740">
        <v>19</v>
      </c>
      <c r="D740">
        <v>101799</v>
      </c>
      <c r="E740">
        <v>49</v>
      </c>
      <c r="F740" t="s">
        <v>10</v>
      </c>
      <c r="G740">
        <v>1</v>
      </c>
      <c r="H740">
        <v>1</v>
      </c>
    </row>
    <row r="741" spans="1:8">
      <c r="A741">
        <v>740</v>
      </c>
      <c r="B741" t="s">
        <v>11</v>
      </c>
      <c r="C741">
        <v>88</v>
      </c>
      <c r="D741">
        <v>92914</v>
      </c>
      <c r="E741">
        <v>74</v>
      </c>
      <c r="F741" t="s">
        <v>14</v>
      </c>
      <c r="G741">
        <v>0</v>
      </c>
      <c r="H741">
        <v>3</v>
      </c>
    </row>
    <row r="742" spans="1:8">
      <c r="A742">
        <v>741</v>
      </c>
      <c r="B742" t="s">
        <v>11</v>
      </c>
      <c r="C742">
        <v>91</v>
      </c>
      <c r="D742">
        <v>162465</v>
      </c>
      <c r="E742">
        <v>59</v>
      </c>
      <c r="F742" t="s">
        <v>10</v>
      </c>
      <c r="G742">
        <v>9</v>
      </c>
      <c r="H742">
        <v>3</v>
      </c>
    </row>
    <row r="743" spans="1:8">
      <c r="A743">
        <v>742</v>
      </c>
      <c r="B743" t="s">
        <v>8</v>
      </c>
      <c r="C743">
        <v>84</v>
      </c>
      <c r="D743">
        <v>163818</v>
      </c>
      <c r="E743">
        <v>27</v>
      </c>
      <c r="F743" t="s">
        <v>10</v>
      </c>
      <c r="G743">
        <v>2</v>
      </c>
      <c r="H743">
        <v>1</v>
      </c>
    </row>
    <row r="744" spans="1:8">
      <c r="A744">
        <v>743</v>
      </c>
      <c r="B744" t="s">
        <v>11</v>
      </c>
      <c r="C744">
        <v>43</v>
      </c>
      <c r="D744">
        <v>53832</v>
      </c>
      <c r="E744">
        <v>56</v>
      </c>
      <c r="F744" t="s">
        <v>13</v>
      </c>
      <c r="G744">
        <v>4</v>
      </c>
      <c r="H744">
        <v>1</v>
      </c>
    </row>
    <row r="745" spans="1:8">
      <c r="A745">
        <v>744</v>
      </c>
      <c r="B745" t="s">
        <v>11</v>
      </c>
      <c r="C745">
        <v>30</v>
      </c>
      <c r="D745">
        <v>140190</v>
      </c>
      <c r="E745">
        <v>49</v>
      </c>
      <c r="F745" t="s">
        <v>10</v>
      </c>
      <c r="G745">
        <v>1</v>
      </c>
      <c r="H745">
        <v>4</v>
      </c>
    </row>
    <row r="746" spans="1:8">
      <c r="A746">
        <v>745</v>
      </c>
      <c r="B746" t="s">
        <v>8</v>
      </c>
      <c r="C746">
        <v>16</v>
      </c>
      <c r="D746">
        <v>125836</v>
      </c>
      <c r="E746">
        <v>69</v>
      </c>
      <c r="F746" t="s">
        <v>9</v>
      </c>
      <c r="G746">
        <v>1</v>
      </c>
      <c r="H746">
        <v>4</v>
      </c>
    </row>
    <row r="747" spans="1:8">
      <c r="A747">
        <v>746</v>
      </c>
      <c r="B747" t="s">
        <v>8</v>
      </c>
      <c r="C747">
        <v>89</v>
      </c>
      <c r="D747">
        <v>100938</v>
      </c>
      <c r="E747">
        <v>27</v>
      </c>
      <c r="F747" t="s">
        <v>13</v>
      </c>
      <c r="G747">
        <v>0</v>
      </c>
      <c r="H747">
        <v>7</v>
      </c>
    </row>
    <row r="748" spans="1:8">
      <c r="A748">
        <v>747</v>
      </c>
      <c r="B748" t="s">
        <v>8</v>
      </c>
      <c r="C748">
        <v>5</v>
      </c>
      <c r="D748">
        <v>168670</v>
      </c>
      <c r="E748">
        <v>37</v>
      </c>
      <c r="F748" t="s">
        <v>14</v>
      </c>
      <c r="G748">
        <v>1</v>
      </c>
      <c r="H748">
        <v>3</v>
      </c>
    </row>
    <row r="749" spans="1:8">
      <c r="A749">
        <v>748</v>
      </c>
      <c r="B749" t="s">
        <v>11</v>
      </c>
      <c r="C749">
        <v>54</v>
      </c>
      <c r="D749">
        <v>176885</v>
      </c>
      <c r="E749">
        <v>10</v>
      </c>
      <c r="F749" t="s">
        <v>13</v>
      </c>
      <c r="G749">
        <v>0</v>
      </c>
      <c r="H749">
        <v>3</v>
      </c>
    </row>
    <row r="750" spans="1:8">
      <c r="A750">
        <v>749</v>
      </c>
      <c r="B750" t="s">
        <v>11</v>
      </c>
      <c r="C750">
        <v>41</v>
      </c>
      <c r="D750">
        <v>111174</v>
      </c>
      <c r="E750">
        <v>28</v>
      </c>
      <c r="F750" t="s">
        <v>14</v>
      </c>
      <c r="G750">
        <v>4</v>
      </c>
      <c r="H750">
        <v>5</v>
      </c>
    </row>
    <row r="751" spans="1:8">
      <c r="A751">
        <v>750</v>
      </c>
      <c r="B751" t="s">
        <v>8</v>
      </c>
      <c r="C751">
        <v>80</v>
      </c>
      <c r="D751">
        <v>127335</v>
      </c>
      <c r="E751">
        <v>97</v>
      </c>
      <c r="F751" t="s">
        <v>14</v>
      </c>
      <c r="G751">
        <v>6</v>
      </c>
      <c r="H751">
        <v>6</v>
      </c>
    </row>
    <row r="752" spans="1:8">
      <c r="A752">
        <v>751</v>
      </c>
      <c r="B752" t="s">
        <v>8</v>
      </c>
      <c r="C752">
        <v>37</v>
      </c>
      <c r="D752">
        <v>149103</v>
      </c>
      <c r="E752">
        <v>3</v>
      </c>
      <c r="F752" t="s">
        <v>9</v>
      </c>
      <c r="G752">
        <v>10</v>
      </c>
      <c r="H752">
        <v>1</v>
      </c>
    </row>
    <row r="753" spans="1:8">
      <c r="A753">
        <v>752</v>
      </c>
      <c r="B753" t="s">
        <v>8</v>
      </c>
      <c r="C753">
        <v>87</v>
      </c>
      <c r="D753">
        <v>167705</v>
      </c>
      <c r="E753">
        <v>31</v>
      </c>
      <c r="F753" t="s">
        <v>9</v>
      </c>
      <c r="G753">
        <v>0</v>
      </c>
      <c r="H753">
        <v>7</v>
      </c>
    </row>
    <row r="754" spans="1:8">
      <c r="A754">
        <v>753</v>
      </c>
      <c r="B754" t="s">
        <v>11</v>
      </c>
      <c r="C754">
        <v>50</v>
      </c>
      <c r="D754">
        <v>183548</v>
      </c>
      <c r="E754">
        <v>85</v>
      </c>
      <c r="F754" t="s">
        <v>13</v>
      </c>
      <c r="G754">
        <v>1</v>
      </c>
      <c r="H754">
        <v>4</v>
      </c>
    </row>
    <row r="755" spans="1:8">
      <c r="A755">
        <v>754</v>
      </c>
      <c r="B755" t="s">
        <v>11</v>
      </c>
      <c r="C755">
        <v>14</v>
      </c>
      <c r="D755">
        <v>50396</v>
      </c>
      <c r="E755">
        <v>46</v>
      </c>
      <c r="F755" t="s">
        <v>12</v>
      </c>
      <c r="G755">
        <v>0</v>
      </c>
      <c r="H755">
        <v>6</v>
      </c>
    </row>
    <row r="756" spans="1:8">
      <c r="A756">
        <v>755</v>
      </c>
      <c r="B756" t="s">
        <v>11</v>
      </c>
      <c r="C756">
        <v>17</v>
      </c>
      <c r="D756">
        <v>63557</v>
      </c>
      <c r="E756">
        <v>3</v>
      </c>
      <c r="F756" t="s">
        <v>18</v>
      </c>
      <c r="G756">
        <v>1</v>
      </c>
      <c r="H756">
        <v>1</v>
      </c>
    </row>
    <row r="757" spans="1:8">
      <c r="A757">
        <v>756</v>
      </c>
      <c r="B757" t="s">
        <v>11</v>
      </c>
      <c r="C757">
        <v>98</v>
      </c>
      <c r="D757">
        <v>87878</v>
      </c>
      <c r="E757">
        <v>55</v>
      </c>
      <c r="F757" t="s">
        <v>14</v>
      </c>
      <c r="G757">
        <v>1</v>
      </c>
      <c r="H757">
        <v>6</v>
      </c>
    </row>
    <row r="758" spans="1:8">
      <c r="A758">
        <v>757</v>
      </c>
      <c r="B758" t="s">
        <v>8</v>
      </c>
      <c r="C758">
        <v>3</v>
      </c>
      <c r="D758">
        <v>55634</v>
      </c>
      <c r="E758">
        <v>53</v>
      </c>
      <c r="F758" t="s">
        <v>10</v>
      </c>
      <c r="G758">
        <v>8</v>
      </c>
      <c r="H758">
        <v>3</v>
      </c>
    </row>
    <row r="759" spans="1:8">
      <c r="A759">
        <v>758</v>
      </c>
      <c r="B759" t="s">
        <v>11</v>
      </c>
      <c r="C759">
        <v>83</v>
      </c>
      <c r="D759">
        <v>118110</v>
      </c>
      <c r="E759">
        <v>26</v>
      </c>
      <c r="F759" t="s">
        <v>10</v>
      </c>
      <c r="G759">
        <v>1</v>
      </c>
      <c r="H759">
        <v>5</v>
      </c>
    </row>
    <row r="760" spans="1:8">
      <c r="A760">
        <v>759</v>
      </c>
      <c r="B760" t="s">
        <v>8</v>
      </c>
      <c r="C760">
        <v>13</v>
      </c>
      <c r="D760">
        <v>129396</v>
      </c>
      <c r="E760">
        <v>36</v>
      </c>
      <c r="F760" t="s">
        <v>14</v>
      </c>
      <c r="G760">
        <v>6</v>
      </c>
      <c r="H760">
        <v>6</v>
      </c>
    </row>
    <row r="761" spans="1:8">
      <c r="A761">
        <v>760</v>
      </c>
      <c r="B761" t="s">
        <v>11</v>
      </c>
      <c r="C761">
        <v>46</v>
      </c>
      <c r="D761">
        <v>62628</v>
      </c>
      <c r="E761">
        <v>64</v>
      </c>
      <c r="F761" t="s">
        <v>13</v>
      </c>
      <c r="G761">
        <v>8</v>
      </c>
      <c r="H761">
        <v>6</v>
      </c>
    </row>
    <row r="762" spans="1:8">
      <c r="A762">
        <v>761</v>
      </c>
      <c r="B762" t="s">
        <v>11</v>
      </c>
      <c r="C762">
        <v>25</v>
      </c>
      <c r="D762">
        <v>51700</v>
      </c>
      <c r="E762">
        <v>17</v>
      </c>
      <c r="F762" t="s">
        <v>9</v>
      </c>
      <c r="G762">
        <v>4</v>
      </c>
      <c r="H762">
        <v>6</v>
      </c>
    </row>
    <row r="763" spans="1:8">
      <c r="A763">
        <v>762</v>
      </c>
      <c r="B763" t="s">
        <v>11</v>
      </c>
      <c r="C763">
        <v>4</v>
      </c>
      <c r="D763">
        <v>106816</v>
      </c>
      <c r="E763">
        <v>49</v>
      </c>
      <c r="F763" t="s">
        <v>14</v>
      </c>
      <c r="G763">
        <v>7</v>
      </c>
      <c r="H763">
        <v>5</v>
      </c>
    </row>
    <row r="764" spans="1:8">
      <c r="A764">
        <v>763</v>
      </c>
      <c r="B764" t="s">
        <v>8</v>
      </c>
      <c r="C764">
        <v>64</v>
      </c>
      <c r="D764">
        <v>93000</v>
      </c>
      <c r="E764">
        <v>67</v>
      </c>
      <c r="F764" t="s">
        <v>12</v>
      </c>
      <c r="G764">
        <v>0</v>
      </c>
      <c r="H764">
        <v>2</v>
      </c>
    </row>
    <row r="765" spans="1:8">
      <c r="A765">
        <v>764</v>
      </c>
      <c r="B765" t="s">
        <v>11</v>
      </c>
      <c r="C765">
        <v>84</v>
      </c>
      <c r="D765">
        <v>144148</v>
      </c>
      <c r="E765">
        <v>71</v>
      </c>
      <c r="F765" t="s">
        <v>16</v>
      </c>
      <c r="G765">
        <v>1</v>
      </c>
      <c r="H765">
        <v>4</v>
      </c>
    </row>
    <row r="766" spans="1:8">
      <c r="A766">
        <v>765</v>
      </c>
      <c r="B766" t="s">
        <v>8</v>
      </c>
      <c r="C766">
        <v>12</v>
      </c>
      <c r="D766">
        <v>101388</v>
      </c>
      <c r="E766">
        <v>90</v>
      </c>
      <c r="F766" t="s">
        <v>14</v>
      </c>
      <c r="G766">
        <v>0</v>
      </c>
      <c r="H766">
        <v>2</v>
      </c>
    </row>
    <row r="767" spans="1:8">
      <c r="A767">
        <v>766</v>
      </c>
      <c r="B767" t="s">
        <v>11</v>
      </c>
      <c r="C767">
        <v>56</v>
      </c>
      <c r="D767">
        <v>171560</v>
      </c>
      <c r="E767">
        <v>78</v>
      </c>
      <c r="F767" t="s">
        <v>10</v>
      </c>
      <c r="G767">
        <v>0</v>
      </c>
      <c r="H767">
        <v>2</v>
      </c>
    </row>
    <row r="768" spans="1:8">
      <c r="A768">
        <v>767</v>
      </c>
      <c r="B768" t="s">
        <v>8</v>
      </c>
      <c r="C768">
        <v>58</v>
      </c>
      <c r="D768">
        <v>156366</v>
      </c>
      <c r="E768">
        <v>60</v>
      </c>
      <c r="F768" t="s">
        <v>13</v>
      </c>
      <c r="G768">
        <v>8</v>
      </c>
      <c r="H768">
        <v>1</v>
      </c>
    </row>
    <row r="769" spans="1:8">
      <c r="A769">
        <v>768</v>
      </c>
      <c r="B769" t="s">
        <v>11</v>
      </c>
      <c r="C769">
        <v>0</v>
      </c>
      <c r="D769">
        <v>143910</v>
      </c>
      <c r="E769">
        <v>22</v>
      </c>
      <c r="F769" t="s">
        <v>18</v>
      </c>
      <c r="G769">
        <v>1</v>
      </c>
      <c r="H769">
        <v>7</v>
      </c>
    </row>
    <row r="770" spans="1:8">
      <c r="A770">
        <v>769</v>
      </c>
      <c r="B770" t="s">
        <v>11</v>
      </c>
      <c r="C770">
        <v>25</v>
      </c>
      <c r="D770">
        <v>106569</v>
      </c>
      <c r="E770">
        <v>84</v>
      </c>
      <c r="F770" t="s">
        <v>10</v>
      </c>
      <c r="G770">
        <v>1</v>
      </c>
      <c r="H770">
        <v>3</v>
      </c>
    </row>
    <row r="771" spans="1:8">
      <c r="A771">
        <v>770</v>
      </c>
      <c r="B771" t="s">
        <v>8</v>
      </c>
      <c r="C771">
        <v>28</v>
      </c>
      <c r="D771">
        <v>173009</v>
      </c>
      <c r="E771">
        <v>25</v>
      </c>
      <c r="F771" t="s">
        <v>9</v>
      </c>
      <c r="G771">
        <v>9</v>
      </c>
      <c r="H771">
        <v>6</v>
      </c>
    </row>
    <row r="772" spans="1:8">
      <c r="A772">
        <v>771</v>
      </c>
      <c r="B772" t="s">
        <v>8</v>
      </c>
      <c r="C772">
        <v>78</v>
      </c>
      <c r="D772">
        <v>54252</v>
      </c>
      <c r="E772">
        <v>29</v>
      </c>
      <c r="F772" t="s">
        <v>10</v>
      </c>
      <c r="G772">
        <v>0</v>
      </c>
      <c r="H772">
        <v>5</v>
      </c>
    </row>
    <row r="773" spans="1:8">
      <c r="A773">
        <v>772</v>
      </c>
      <c r="B773" t="s">
        <v>8</v>
      </c>
      <c r="C773">
        <v>56</v>
      </c>
      <c r="D773">
        <v>104600</v>
      </c>
      <c r="E773">
        <v>57</v>
      </c>
      <c r="F773" t="s">
        <v>13</v>
      </c>
      <c r="G773">
        <v>6</v>
      </c>
      <c r="H773">
        <v>3</v>
      </c>
    </row>
    <row r="774" spans="1:8">
      <c r="A774">
        <v>773</v>
      </c>
      <c r="B774" t="s">
        <v>8</v>
      </c>
      <c r="C774">
        <v>91</v>
      </c>
      <c r="D774">
        <v>50250</v>
      </c>
      <c r="E774">
        <v>54</v>
      </c>
      <c r="F774" t="s">
        <v>14</v>
      </c>
      <c r="G774">
        <v>0</v>
      </c>
      <c r="H774">
        <v>2</v>
      </c>
    </row>
    <row r="775" spans="1:8">
      <c r="A775">
        <v>774</v>
      </c>
      <c r="B775" t="s">
        <v>8</v>
      </c>
      <c r="C775">
        <v>77</v>
      </c>
      <c r="D775">
        <v>93242</v>
      </c>
      <c r="E775">
        <v>84</v>
      </c>
      <c r="F775" t="s">
        <v>13</v>
      </c>
      <c r="G775">
        <v>0</v>
      </c>
      <c r="H775">
        <v>7</v>
      </c>
    </row>
    <row r="776" spans="1:8">
      <c r="A776">
        <v>775</v>
      </c>
      <c r="B776" t="s">
        <v>11</v>
      </c>
      <c r="C776">
        <v>83</v>
      </c>
      <c r="D776">
        <v>156839</v>
      </c>
      <c r="E776">
        <v>38</v>
      </c>
      <c r="F776" t="s">
        <v>14</v>
      </c>
      <c r="G776">
        <v>3</v>
      </c>
      <c r="H776">
        <v>7</v>
      </c>
    </row>
    <row r="777" spans="1:8">
      <c r="A777">
        <v>776</v>
      </c>
      <c r="B777" t="s">
        <v>11</v>
      </c>
      <c r="C777">
        <v>64</v>
      </c>
      <c r="D777">
        <v>71305</v>
      </c>
      <c r="E777">
        <v>39</v>
      </c>
      <c r="F777" t="s">
        <v>14</v>
      </c>
      <c r="G777">
        <v>9</v>
      </c>
      <c r="H777">
        <v>2</v>
      </c>
    </row>
    <row r="778" spans="1:8">
      <c r="A778">
        <v>777</v>
      </c>
      <c r="B778" t="s">
        <v>8</v>
      </c>
      <c r="C778">
        <v>19</v>
      </c>
      <c r="D778">
        <v>85975</v>
      </c>
      <c r="E778">
        <v>73</v>
      </c>
      <c r="F778" t="s">
        <v>13</v>
      </c>
      <c r="G778">
        <v>0</v>
      </c>
      <c r="H778">
        <v>6</v>
      </c>
    </row>
    <row r="779" spans="1:8">
      <c r="A779">
        <v>778</v>
      </c>
      <c r="B779" t="s">
        <v>8</v>
      </c>
      <c r="C779">
        <v>94</v>
      </c>
      <c r="D779">
        <v>188107</v>
      </c>
      <c r="E779">
        <v>52</v>
      </c>
      <c r="F779" t="s">
        <v>10</v>
      </c>
      <c r="G779">
        <v>10</v>
      </c>
      <c r="H779">
        <v>2</v>
      </c>
    </row>
    <row r="780" spans="1:8">
      <c r="A780">
        <v>779</v>
      </c>
      <c r="B780" t="s">
        <v>8</v>
      </c>
      <c r="C780">
        <v>19</v>
      </c>
      <c r="D780">
        <v>82333</v>
      </c>
      <c r="E780">
        <v>35</v>
      </c>
      <c r="F780" t="s">
        <v>18</v>
      </c>
      <c r="G780">
        <v>1</v>
      </c>
      <c r="H780">
        <v>2</v>
      </c>
    </row>
    <row r="781" spans="1:8">
      <c r="A781">
        <v>780</v>
      </c>
      <c r="B781" t="s">
        <v>8</v>
      </c>
      <c r="C781">
        <v>84</v>
      </c>
      <c r="D781">
        <v>125016</v>
      </c>
      <c r="E781">
        <v>25</v>
      </c>
      <c r="F781" t="s">
        <v>13</v>
      </c>
      <c r="G781">
        <v>1</v>
      </c>
      <c r="H781">
        <v>7</v>
      </c>
    </row>
    <row r="782" spans="1:8">
      <c r="A782">
        <v>781</v>
      </c>
      <c r="B782" t="s">
        <v>11</v>
      </c>
      <c r="C782">
        <v>10</v>
      </c>
      <c r="D782">
        <v>148908</v>
      </c>
      <c r="E782">
        <v>10</v>
      </c>
      <c r="F782" t="s">
        <v>9</v>
      </c>
      <c r="G782">
        <v>2</v>
      </c>
      <c r="H782">
        <v>3</v>
      </c>
    </row>
    <row r="783" spans="1:8">
      <c r="A783">
        <v>782</v>
      </c>
      <c r="B783" t="s">
        <v>11</v>
      </c>
      <c r="C783">
        <v>19</v>
      </c>
      <c r="D783">
        <v>58217</v>
      </c>
      <c r="E783">
        <v>70</v>
      </c>
      <c r="F783" t="s">
        <v>14</v>
      </c>
      <c r="G783">
        <v>0</v>
      </c>
      <c r="H783">
        <v>1</v>
      </c>
    </row>
    <row r="784" spans="1:8">
      <c r="A784">
        <v>783</v>
      </c>
      <c r="B784" t="s">
        <v>8</v>
      </c>
      <c r="C784">
        <v>74</v>
      </c>
      <c r="D784">
        <v>76521</v>
      </c>
      <c r="E784">
        <v>29</v>
      </c>
      <c r="F784" t="s">
        <v>10</v>
      </c>
      <c r="G784">
        <v>7</v>
      </c>
      <c r="H784">
        <v>4</v>
      </c>
    </row>
    <row r="785" spans="1:8">
      <c r="A785">
        <v>784</v>
      </c>
      <c r="B785" t="s">
        <v>11</v>
      </c>
      <c r="C785">
        <v>95</v>
      </c>
      <c r="D785">
        <v>117763</v>
      </c>
      <c r="E785">
        <v>42</v>
      </c>
      <c r="F785" t="s">
        <v>14</v>
      </c>
      <c r="G785">
        <v>1</v>
      </c>
      <c r="H785">
        <v>2</v>
      </c>
    </row>
    <row r="786" spans="1:8">
      <c r="A786">
        <v>785</v>
      </c>
      <c r="B786" t="s">
        <v>11</v>
      </c>
      <c r="C786">
        <v>34</v>
      </c>
      <c r="D786">
        <v>115184</v>
      </c>
      <c r="E786">
        <v>93</v>
      </c>
      <c r="F786" t="s">
        <v>17</v>
      </c>
      <c r="G786">
        <v>1</v>
      </c>
      <c r="H786">
        <v>4</v>
      </c>
    </row>
    <row r="787" spans="1:8">
      <c r="A787">
        <v>786</v>
      </c>
      <c r="B787" t="s">
        <v>8</v>
      </c>
      <c r="C787">
        <v>30</v>
      </c>
      <c r="D787">
        <v>54251</v>
      </c>
      <c r="E787">
        <v>7</v>
      </c>
      <c r="F787" t="s">
        <v>14</v>
      </c>
      <c r="G787">
        <v>2</v>
      </c>
      <c r="H787">
        <v>6</v>
      </c>
    </row>
    <row r="788" spans="1:8">
      <c r="A788">
        <v>787</v>
      </c>
      <c r="B788" t="s">
        <v>11</v>
      </c>
      <c r="C788">
        <v>53</v>
      </c>
      <c r="D788">
        <v>112530</v>
      </c>
      <c r="E788">
        <v>24</v>
      </c>
      <c r="F788" t="s">
        <v>13</v>
      </c>
      <c r="G788">
        <v>2</v>
      </c>
      <c r="H788">
        <v>6</v>
      </c>
    </row>
    <row r="789" spans="1:8">
      <c r="A789">
        <v>788</v>
      </c>
      <c r="B789" t="s">
        <v>8</v>
      </c>
      <c r="C789">
        <v>67</v>
      </c>
      <c r="D789">
        <v>107409</v>
      </c>
      <c r="E789">
        <v>2</v>
      </c>
      <c r="F789" t="s">
        <v>14</v>
      </c>
      <c r="G789">
        <v>1</v>
      </c>
      <c r="H789">
        <v>6</v>
      </c>
    </row>
    <row r="790" spans="1:8">
      <c r="A790">
        <v>789</v>
      </c>
      <c r="B790" t="s">
        <v>11</v>
      </c>
      <c r="C790">
        <v>23</v>
      </c>
      <c r="D790">
        <v>84793</v>
      </c>
      <c r="E790">
        <v>23</v>
      </c>
      <c r="F790" t="s">
        <v>17</v>
      </c>
      <c r="G790">
        <v>9</v>
      </c>
      <c r="H790">
        <v>6</v>
      </c>
    </row>
    <row r="791" spans="1:8">
      <c r="A791">
        <v>790</v>
      </c>
      <c r="B791" t="s">
        <v>11</v>
      </c>
      <c r="C791">
        <v>25</v>
      </c>
      <c r="D791">
        <v>66952</v>
      </c>
      <c r="E791">
        <v>79</v>
      </c>
      <c r="F791" t="s">
        <v>13</v>
      </c>
      <c r="G791">
        <v>1</v>
      </c>
      <c r="H791">
        <v>2</v>
      </c>
    </row>
    <row r="792" spans="1:8">
      <c r="A792">
        <v>791</v>
      </c>
      <c r="B792" t="s">
        <v>11</v>
      </c>
      <c r="C792">
        <v>84</v>
      </c>
      <c r="D792">
        <v>153465</v>
      </c>
      <c r="E792">
        <v>11</v>
      </c>
      <c r="F792" t="s">
        <v>12</v>
      </c>
      <c r="G792">
        <v>1</v>
      </c>
      <c r="H792">
        <v>4</v>
      </c>
    </row>
    <row r="793" spans="1:8">
      <c r="A793">
        <v>792</v>
      </c>
      <c r="B793" t="s">
        <v>11</v>
      </c>
      <c r="C793">
        <v>1</v>
      </c>
      <c r="D793">
        <v>178214</v>
      </c>
      <c r="E793">
        <v>17</v>
      </c>
      <c r="F793" t="s">
        <v>14</v>
      </c>
      <c r="G793">
        <v>1</v>
      </c>
      <c r="H793">
        <v>7</v>
      </c>
    </row>
    <row r="794" spans="1:8">
      <c r="A794">
        <v>793</v>
      </c>
      <c r="B794" t="s">
        <v>8</v>
      </c>
      <c r="C794">
        <v>70</v>
      </c>
      <c r="D794">
        <v>152069</v>
      </c>
      <c r="E794">
        <v>42</v>
      </c>
      <c r="F794" t="s">
        <v>13</v>
      </c>
      <c r="G794">
        <v>4</v>
      </c>
      <c r="H794">
        <v>4</v>
      </c>
    </row>
    <row r="795" spans="1:8">
      <c r="A795">
        <v>794</v>
      </c>
      <c r="B795" t="s">
        <v>11</v>
      </c>
      <c r="C795">
        <v>56</v>
      </c>
      <c r="D795">
        <v>132860</v>
      </c>
      <c r="E795">
        <v>17</v>
      </c>
      <c r="F795" t="s">
        <v>9</v>
      </c>
      <c r="G795">
        <v>7</v>
      </c>
      <c r="H795">
        <v>2</v>
      </c>
    </row>
    <row r="796" spans="1:8">
      <c r="A796">
        <v>795</v>
      </c>
      <c r="B796" t="s">
        <v>11</v>
      </c>
      <c r="C796">
        <v>0</v>
      </c>
      <c r="D796">
        <v>147719</v>
      </c>
      <c r="E796">
        <v>86</v>
      </c>
      <c r="F796" t="s">
        <v>12</v>
      </c>
      <c r="G796">
        <v>1</v>
      </c>
      <c r="H796">
        <v>7</v>
      </c>
    </row>
    <row r="797" spans="1:8">
      <c r="A797">
        <v>796</v>
      </c>
      <c r="B797" t="s">
        <v>11</v>
      </c>
      <c r="C797">
        <v>91</v>
      </c>
      <c r="D797">
        <v>172915</v>
      </c>
      <c r="E797">
        <v>29</v>
      </c>
      <c r="F797" t="s">
        <v>16</v>
      </c>
      <c r="G797">
        <v>9</v>
      </c>
      <c r="H797">
        <v>1</v>
      </c>
    </row>
    <row r="798" spans="1:8">
      <c r="A798">
        <v>797</v>
      </c>
      <c r="B798" t="s">
        <v>11</v>
      </c>
      <c r="C798">
        <v>81</v>
      </c>
      <c r="D798">
        <v>148594</v>
      </c>
      <c r="E798">
        <v>29</v>
      </c>
      <c r="F798" t="s">
        <v>13</v>
      </c>
      <c r="G798">
        <v>3</v>
      </c>
      <c r="H798">
        <v>5</v>
      </c>
    </row>
    <row r="799" spans="1:8">
      <c r="A799">
        <v>798</v>
      </c>
      <c r="B799" t="s">
        <v>8</v>
      </c>
      <c r="C799">
        <v>33</v>
      </c>
      <c r="D799">
        <v>61986</v>
      </c>
      <c r="E799">
        <v>77</v>
      </c>
      <c r="F799" t="s">
        <v>15</v>
      </c>
      <c r="G799">
        <v>0</v>
      </c>
      <c r="H799">
        <v>1</v>
      </c>
    </row>
    <row r="800" spans="1:8">
      <c r="A800">
        <v>799</v>
      </c>
      <c r="B800" t="s">
        <v>8</v>
      </c>
      <c r="C800">
        <v>75</v>
      </c>
      <c r="D800">
        <v>91456</v>
      </c>
      <c r="E800">
        <v>13</v>
      </c>
      <c r="F800" t="s">
        <v>14</v>
      </c>
      <c r="G800">
        <v>1</v>
      </c>
      <c r="H800">
        <v>4</v>
      </c>
    </row>
    <row r="801" spans="1:8">
      <c r="A801">
        <v>800</v>
      </c>
      <c r="B801" t="s">
        <v>8</v>
      </c>
      <c r="C801">
        <v>11</v>
      </c>
      <c r="D801">
        <v>166247</v>
      </c>
      <c r="E801">
        <v>84</v>
      </c>
      <c r="F801" t="s">
        <v>15</v>
      </c>
      <c r="G801">
        <v>1</v>
      </c>
      <c r="H801">
        <v>2</v>
      </c>
    </row>
    <row r="802" spans="1:8">
      <c r="A802">
        <v>801</v>
      </c>
      <c r="B802" t="s">
        <v>11</v>
      </c>
      <c r="C802">
        <v>61</v>
      </c>
      <c r="D802">
        <v>140516</v>
      </c>
      <c r="E802">
        <v>50</v>
      </c>
      <c r="F802" t="s">
        <v>14</v>
      </c>
      <c r="G802">
        <v>0</v>
      </c>
      <c r="H802">
        <v>3</v>
      </c>
    </row>
    <row r="803" spans="1:8">
      <c r="A803">
        <v>802</v>
      </c>
      <c r="B803" t="s">
        <v>8</v>
      </c>
      <c r="C803">
        <v>81</v>
      </c>
      <c r="D803">
        <v>148208</v>
      </c>
      <c r="E803">
        <v>36</v>
      </c>
      <c r="G803">
        <v>5</v>
      </c>
      <c r="H803">
        <v>7</v>
      </c>
    </row>
    <row r="804" spans="1:8">
      <c r="A804">
        <v>803</v>
      </c>
      <c r="B804" t="s">
        <v>11</v>
      </c>
      <c r="C804">
        <v>62</v>
      </c>
      <c r="D804">
        <v>133822</v>
      </c>
      <c r="E804">
        <v>78</v>
      </c>
      <c r="F804" t="s">
        <v>18</v>
      </c>
      <c r="G804">
        <v>0</v>
      </c>
      <c r="H804">
        <v>4</v>
      </c>
    </row>
    <row r="805" spans="1:8">
      <c r="A805">
        <v>804</v>
      </c>
      <c r="B805" t="s">
        <v>11</v>
      </c>
      <c r="C805">
        <v>44</v>
      </c>
      <c r="D805">
        <v>175424</v>
      </c>
      <c r="E805">
        <v>32</v>
      </c>
      <c r="F805" t="s">
        <v>14</v>
      </c>
      <c r="G805">
        <v>4</v>
      </c>
      <c r="H805">
        <v>5</v>
      </c>
    </row>
    <row r="806" spans="1:8">
      <c r="A806">
        <v>805</v>
      </c>
      <c r="B806" t="s">
        <v>11</v>
      </c>
      <c r="C806">
        <v>67</v>
      </c>
      <c r="D806">
        <v>121528</v>
      </c>
      <c r="E806">
        <v>92</v>
      </c>
      <c r="F806" t="s">
        <v>9</v>
      </c>
      <c r="G806">
        <v>8</v>
      </c>
      <c r="H806">
        <v>4</v>
      </c>
    </row>
    <row r="807" spans="1:8">
      <c r="A807">
        <v>806</v>
      </c>
      <c r="B807" t="s">
        <v>11</v>
      </c>
      <c r="C807">
        <v>30</v>
      </c>
      <c r="D807">
        <v>189369</v>
      </c>
      <c r="E807">
        <v>69</v>
      </c>
      <c r="F807" t="s">
        <v>9</v>
      </c>
      <c r="G807">
        <v>0</v>
      </c>
      <c r="H807">
        <v>3</v>
      </c>
    </row>
    <row r="808" spans="1:8">
      <c r="A808">
        <v>807</v>
      </c>
      <c r="B808" t="s">
        <v>11</v>
      </c>
      <c r="C808">
        <v>92</v>
      </c>
      <c r="D808">
        <v>80808</v>
      </c>
      <c r="E808">
        <v>26</v>
      </c>
      <c r="F808" t="s">
        <v>14</v>
      </c>
      <c r="G808">
        <v>1</v>
      </c>
      <c r="H808">
        <v>1</v>
      </c>
    </row>
    <row r="809" spans="1:8">
      <c r="A809">
        <v>808</v>
      </c>
      <c r="B809" t="s">
        <v>8</v>
      </c>
      <c r="C809">
        <v>25</v>
      </c>
      <c r="D809">
        <v>57535</v>
      </c>
      <c r="E809">
        <v>84</v>
      </c>
      <c r="F809" t="s">
        <v>13</v>
      </c>
      <c r="G809">
        <v>1</v>
      </c>
      <c r="H809">
        <v>7</v>
      </c>
    </row>
    <row r="810" spans="1:8">
      <c r="A810">
        <v>809</v>
      </c>
      <c r="B810" t="s">
        <v>11</v>
      </c>
      <c r="C810">
        <v>61</v>
      </c>
      <c r="D810">
        <v>163509</v>
      </c>
      <c r="E810">
        <v>51</v>
      </c>
      <c r="F810" t="s">
        <v>9</v>
      </c>
      <c r="G810">
        <v>0</v>
      </c>
      <c r="H810">
        <v>4</v>
      </c>
    </row>
    <row r="811" spans="1:8">
      <c r="A811">
        <v>810</v>
      </c>
      <c r="B811" t="s">
        <v>11</v>
      </c>
      <c r="C811">
        <v>72</v>
      </c>
      <c r="D811">
        <v>75884</v>
      </c>
      <c r="E811">
        <v>57</v>
      </c>
      <c r="F811" t="s">
        <v>15</v>
      </c>
      <c r="G811">
        <v>0</v>
      </c>
      <c r="H811">
        <v>7</v>
      </c>
    </row>
    <row r="812" spans="1:8">
      <c r="A812">
        <v>811</v>
      </c>
      <c r="B812" t="s">
        <v>11</v>
      </c>
      <c r="C812">
        <v>89</v>
      </c>
      <c r="D812">
        <v>157759</v>
      </c>
      <c r="E812">
        <v>52</v>
      </c>
      <c r="F812" t="s">
        <v>14</v>
      </c>
      <c r="G812">
        <v>1</v>
      </c>
      <c r="H812">
        <v>6</v>
      </c>
    </row>
    <row r="813" spans="1:8">
      <c r="A813">
        <v>812</v>
      </c>
      <c r="B813" t="s">
        <v>11</v>
      </c>
      <c r="C813">
        <v>37</v>
      </c>
      <c r="D813">
        <v>184813</v>
      </c>
      <c r="E813">
        <v>44</v>
      </c>
      <c r="F813" t="s">
        <v>15</v>
      </c>
      <c r="G813">
        <v>0</v>
      </c>
      <c r="H813">
        <v>2</v>
      </c>
    </row>
    <row r="814" spans="1:8">
      <c r="A814">
        <v>813</v>
      </c>
      <c r="B814" t="s">
        <v>8</v>
      </c>
      <c r="C814">
        <v>59</v>
      </c>
      <c r="D814">
        <v>187253</v>
      </c>
      <c r="E814">
        <v>51</v>
      </c>
      <c r="F814" t="s">
        <v>15</v>
      </c>
      <c r="G814">
        <v>8</v>
      </c>
      <c r="H814">
        <v>7</v>
      </c>
    </row>
    <row r="815" spans="1:8">
      <c r="A815">
        <v>814</v>
      </c>
      <c r="B815" t="s">
        <v>8</v>
      </c>
      <c r="C815">
        <v>41</v>
      </c>
      <c r="D815">
        <v>81718</v>
      </c>
      <c r="E815">
        <v>36</v>
      </c>
      <c r="F815" t="s">
        <v>13</v>
      </c>
      <c r="G815">
        <v>1</v>
      </c>
      <c r="H815">
        <v>3</v>
      </c>
    </row>
    <row r="816" spans="1:8">
      <c r="A816">
        <v>815</v>
      </c>
      <c r="B816" t="s">
        <v>8</v>
      </c>
      <c r="C816">
        <v>60</v>
      </c>
      <c r="D816">
        <v>150019</v>
      </c>
      <c r="E816">
        <v>37</v>
      </c>
      <c r="F816" t="s">
        <v>16</v>
      </c>
      <c r="G816">
        <v>1</v>
      </c>
      <c r="H816">
        <v>2</v>
      </c>
    </row>
    <row r="817" spans="1:8">
      <c r="A817">
        <v>816</v>
      </c>
      <c r="B817" t="s">
        <v>11</v>
      </c>
      <c r="C817">
        <v>81</v>
      </c>
      <c r="D817">
        <v>53452</v>
      </c>
      <c r="E817">
        <v>73</v>
      </c>
      <c r="F817" t="s">
        <v>13</v>
      </c>
      <c r="G817">
        <v>1</v>
      </c>
      <c r="H817">
        <v>6</v>
      </c>
    </row>
    <row r="818" spans="1:8">
      <c r="A818">
        <v>817</v>
      </c>
      <c r="B818" t="s">
        <v>8</v>
      </c>
      <c r="C818">
        <v>85</v>
      </c>
      <c r="D818">
        <v>150765</v>
      </c>
      <c r="E818">
        <v>42</v>
      </c>
      <c r="F818" t="s">
        <v>17</v>
      </c>
      <c r="G818">
        <v>8</v>
      </c>
      <c r="H818">
        <v>2</v>
      </c>
    </row>
    <row r="819" spans="1:8">
      <c r="A819">
        <v>818</v>
      </c>
      <c r="B819" t="s">
        <v>11</v>
      </c>
      <c r="C819">
        <v>91</v>
      </c>
      <c r="D819">
        <v>154456</v>
      </c>
      <c r="E819">
        <v>71</v>
      </c>
      <c r="G819">
        <v>0</v>
      </c>
      <c r="H819">
        <v>7</v>
      </c>
    </row>
    <row r="820" spans="1:8">
      <c r="A820">
        <v>819</v>
      </c>
      <c r="B820" t="s">
        <v>11</v>
      </c>
      <c r="C820">
        <v>65</v>
      </c>
      <c r="D820">
        <v>56647</v>
      </c>
      <c r="E820">
        <v>12</v>
      </c>
      <c r="F820" t="s">
        <v>16</v>
      </c>
      <c r="G820">
        <v>6</v>
      </c>
      <c r="H820">
        <v>4</v>
      </c>
    </row>
    <row r="821" spans="1:8">
      <c r="A821">
        <v>820</v>
      </c>
      <c r="B821" t="s">
        <v>11</v>
      </c>
      <c r="C821">
        <v>19</v>
      </c>
      <c r="D821">
        <v>117477</v>
      </c>
      <c r="E821">
        <v>48</v>
      </c>
      <c r="F821" t="s">
        <v>9</v>
      </c>
      <c r="G821">
        <v>6</v>
      </c>
      <c r="H821">
        <v>7</v>
      </c>
    </row>
    <row r="822" spans="1:8">
      <c r="A822">
        <v>821</v>
      </c>
      <c r="B822" t="s">
        <v>11</v>
      </c>
      <c r="C822">
        <v>78</v>
      </c>
      <c r="D822">
        <v>79677</v>
      </c>
      <c r="E822">
        <v>9</v>
      </c>
      <c r="F822" t="s">
        <v>14</v>
      </c>
      <c r="G822">
        <v>10</v>
      </c>
      <c r="H822">
        <v>7</v>
      </c>
    </row>
    <row r="823" spans="1:8">
      <c r="A823">
        <v>822</v>
      </c>
      <c r="B823" t="s">
        <v>11</v>
      </c>
      <c r="C823">
        <v>0</v>
      </c>
      <c r="D823">
        <v>116759</v>
      </c>
      <c r="E823">
        <v>28</v>
      </c>
      <c r="F823" t="s">
        <v>18</v>
      </c>
      <c r="G823">
        <v>7</v>
      </c>
      <c r="H823">
        <v>3</v>
      </c>
    </row>
    <row r="824" spans="1:8">
      <c r="A824">
        <v>823</v>
      </c>
      <c r="B824" t="s">
        <v>8</v>
      </c>
      <c r="C824">
        <v>26</v>
      </c>
      <c r="D824">
        <v>180702</v>
      </c>
      <c r="E824">
        <v>21</v>
      </c>
      <c r="F824" t="s">
        <v>13</v>
      </c>
      <c r="G824">
        <v>6</v>
      </c>
      <c r="H824">
        <v>1</v>
      </c>
    </row>
    <row r="825" spans="1:8">
      <c r="A825">
        <v>824</v>
      </c>
      <c r="B825" t="s">
        <v>11</v>
      </c>
      <c r="C825">
        <v>2</v>
      </c>
      <c r="D825">
        <v>122698</v>
      </c>
      <c r="E825">
        <v>100</v>
      </c>
      <c r="F825" t="s">
        <v>13</v>
      </c>
      <c r="G825">
        <v>8</v>
      </c>
      <c r="H825">
        <v>1</v>
      </c>
    </row>
    <row r="826" spans="1:8">
      <c r="A826">
        <v>825</v>
      </c>
      <c r="B826" t="s">
        <v>11</v>
      </c>
      <c r="C826">
        <v>60</v>
      </c>
      <c r="D826">
        <v>169346</v>
      </c>
      <c r="E826">
        <v>55</v>
      </c>
      <c r="F826" t="s">
        <v>9</v>
      </c>
      <c r="G826">
        <v>7</v>
      </c>
      <c r="H826">
        <v>2</v>
      </c>
    </row>
    <row r="827" spans="1:8">
      <c r="A827">
        <v>826</v>
      </c>
      <c r="B827" t="s">
        <v>11</v>
      </c>
      <c r="C827">
        <v>67</v>
      </c>
      <c r="D827">
        <v>93176</v>
      </c>
      <c r="E827">
        <v>25</v>
      </c>
      <c r="F827" t="s">
        <v>14</v>
      </c>
      <c r="G827">
        <v>4</v>
      </c>
      <c r="H827">
        <v>1</v>
      </c>
    </row>
    <row r="828" spans="1:8">
      <c r="A828">
        <v>827</v>
      </c>
      <c r="B828" t="s">
        <v>11</v>
      </c>
      <c r="C828">
        <v>4</v>
      </c>
      <c r="D828">
        <v>75853</v>
      </c>
      <c r="E828">
        <v>40</v>
      </c>
      <c r="F828" t="s">
        <v>17</v>
      </c>
      <c r="G828">
        <v>4</v>
      </c>
      <c r="H828">
        <v>5</v>
      </c>
    </row>
    <row r="829" spans="1:8">
      <c r="A829">
        <v>828</v>
      </c>
      <c r="B829" t="s">
        <v>8</v>
      </c>
      <c r="C829">
        <v>7</v>
      </c>
      <c r="D829">
        <v>119362</v>
      </c>
      <c r="E829">
        <v>58</v>
      </c>
      <c r="F829" t="s">
        <v>10</v>
      </c>
      <c r="G829">
        <v>8</v>
      </c>
      <c r="H829">
        <v>1</v>
      </c>
    </row>
    <row r="830" spans="1:8">
      <c r="A830">
        <v>829</v>
      </c>
      <c r="B830" t="s">
        <v>8</v>
      </c>
      <c r="C830">
        <v>28</v>
      </c>
      <c r="D830">
        <v>81545</v>
      </c>
      <c r="E830">
        <v>36</v>
      </c>
      <c r="F830" t="s">
        <v>14</v>
      </c>
      <c r="G830">
        <v>4</v>
      </c>
      <c r="H830">
        <v>7</v>
      </c>
    </row>
    <row r="831" spans="1:8">
      <c r="A831">
        <v>830</v>
      </c>
      <c r="B831" t="s">
        <v>8</v>
      </c>
      <c r="C831">
        <v>67</v>
      </c>
      <c r="D831">
        <v>67372</v>
      </c>
      <c r="E831">
        <v>75</v>
      </c>
      <c r="F831" t="s">
        <v>14</v>
      </c>
      <c r="G831">
        <v>0</v>
      </c>
      <c r="H831">
        <v>7</v>
      </c>
    </row>
    <row r="832" spans="1:8">
      <c r="A832">
        <v>831</v>
      </c>
      <c r="B832" t="s">
        <v>11</v>
      </c>
      <c r="C832">
        <v>30</v>
      </c>
      <c r="D832">
        <v>109703</v>
      </c>
      <c r="E832">
        <v>61</v>
      </c>
      <c r="F832" t="s">
        <v>15</v>
      </c>
      <c r="G832">
        <v>1</v>
      </c>
      <c r="H832">
        <v>1</v>
      </c>
    </row>
    <row r="833" spans="1:8">
      <c r="A833">
        <v>832</v>
      </c>
      <c r="B833" t="s">
        <v>8</v>
      </c>
      <c r="C833">
        <v>38</v>
      </c>
      <c r="D833">
        <v>166697</v>
      </c>
      <c r="E833">
        <v>39</v>
      </c>
      <c r="F833" t="s">
        <v>18</v>
      </c>
      <c r="G833">
        <v>13</v>
      </c>
      <c r="H833">
        <v>4</v>
      </c>
    </row>
    <row r="834" spans="1:8">
      <c r="A834">
        <v>833</v>
      </c>
      <c r="B834" t="s">
        <v>11</v>
      </c>
      <c r="C834">
        <v>40</v>
      </c>
      <c r="D834">
        <v>124982</v>
      </c>
      <c r="E834">
        <v>34</v>
      </c>
      <c r="F834" t="s">
        <v>10</v>
      </c>
      <c r="G834">
        <v>1</v>
      </c>
      <c r="H834">
        <v>7</v>
      </c>
    </row>
    <row r="835" spans="1:8">
      <c r="A835">
        <v>834</v>
      </c>
      <c r="B835" t="s">
        <v>11</v>
      </c>
      <c r="C835">
        <v>6</v>
      </c>
      <c r="D835">
        <v>146776</v>
      </c>
      <c r="E835">
        <v>83</v>
      </c>
      <c r="F835" t="s">
        <v>12</v>
      </c>
      <c r="G835">
        <v>1</v>
      </c>
      <c r="H835">
        <v>7</v>
      </c>
    </row>
    <row r="836" spans="1:8">
      <c r="A836">
        <v>835</v>
      </c>
      <c r="B836" t="s">
        <v>11</v>
      </c>
      <c r="C836">
        <v>3</v>
      </c>
      <c r="D836">
        <v>147548</v>
      </c>
      <c r="E836">
        <v>45</v>
      </c>
      <c r="F836" t="s">
        <v>15</v>
      </c>
      <c r="G836">
        <v>4</v>
      </c>
      <c r="H836">
        <v>5</v>
      </c>
    </row>
    <row r="837" spans="1:8">
      <c r="A837">
        <v>836</v>
      </c>
      <c r="B837" t="s">
        <v>11</v>
      </c>
      <c r="C837">
        <v>51</v>
      </c>
      <c r="D837">
        <v>117620</v>
      </c>
      <c r="E837">
        <v>60</v>
      </c>
      <c r="F837" t="s">
        <v>9</v>
      </c>
      <c r="G837">
        <v>7</v>
      </c>
      <c r="H837">
        <v>6</v>
      </c>
    </row>
    <row r="838" spans="1:8">
      <c r="A838">
        <v>837</v>
      </c>
      <c r="B838" t="s">
        <v>8</v>
      </c>
      <c r="C838">
        <v>63</v>
      </c>
      <c r="D838">
        <v>85351</v>
      </c>
      <c r="E838">
        <v>57</v>
      </c>
      <c r="F838" t="s">
        <v>9</v>
      </c>
      <c r="G838">
        <v>0</v>
      </c>
      <c r="H838">
        <v>2</v>
      </c>
    </row>
    <row r="839" spans="1:8">
      <c r="A839">
        <v>838</v>
      </c>
      <c r="B839" t="s">
        <v>8</v>
      </c>
      <c r="C839">
        <v>65</v>
      </c>
      <c r="D839">
        <v>174432</v>
      </c>
      <c r="E839">
        <v>8</v>
      </c>
      <c r="F839" t="s">
        <v>14</v>
      </c>
      <c r="G839">
        <v>0</v>
      </c>
      <c r="H839">
        <v>7</v>
      </c>
    </row>
    <row r="840" spans="1:8">
      <c r="A840">
        <v>839</v>
      </c>
      <c r="B840" t="s">
        <v>8</v>
      </c>
      <c r="C840">
        <v>44</v>
      </c>
      <c r="D840">
        <v>70787</v>
      </c>
      <c r="E840">
        <v>68</v>
      </c>
      <c r="F840" t="s">
        <v>16</v>
      </c>
      <c r="G840">
        <v>1</v>
      </c>
      <c r="H840">
        <v>3</v>
      </c>
    </row>
    <row r="841" spans="1:8">
      <c r="A841">
        <v>840</v>
      </c>
      <c r="B841" t="s">
        <v>11</v>
      </c>
      <c r="C841">
        <v>90</v>
      </c>
      <c r="D841">
        <v>75473</v>
      </c>
      <c r="E841">
        <v>63</v>
      </c>
      <c r="F841" t="s">
        <v>9</v>
      </c>
      <c r="G841">
        <v>0</v>
      </c>
      <c r="H841">
        <v>7</v>
      </c>
    </row>
    <row r="842" spans="1:8">
      <c r="A842">
        <v>841</v>
      </c>
      <c r="B842" t="s">
        <v>8</v>
      </c>
      <c r="C842">
        <v>76</v>
      </c>
      <c r="D842">
        <v>90082</v>
      </c>
      <c r="E842">
        <v>49</v>
      </c>
      <c r="F842" t="s">
        <v>9</v>
      </c>
      <c r="G842">
        <v>1</v>
      </c>
      <c r="H842">
        <v>6</v>
      </c>
    </row>
    <row r="843" spans="1:8">
      <c r="A843">
        <v>842</v>
      </c>
      <c r="B843" t="s">
        <v>11</v>
      </c>
      <c r="C843">
        <v>62</v>
      </c>
      <c r="D843">
        <v>185388</v>
      </c>
      <c r="E843">
        <v>54</v>
      </c>
      <c r="F843" t="s">
        <v>9</v>
      </c>
      <c r="G843">
        <v>0</v>
      </c>
      <c r="H843">
        <v>2</v>
      </c>
    </row>
    <row r="844" spans="1:8">
      <c r="A844">
        <v>843</v>
      </c>
      <c r="B844" t="s">
        <v>11</v>
      </c>
      <c r="C844">
        <v>5</v>
      </c>
      <c r="D844">
        <v>168110</v>
      </c>
      <c r="E844">
        <v>69</v>
      </c>
      <c r="F844" t="s">
        <v>16</v>
      </c>
      <c r="G844">
        <v>14</v>
      </c>
      <c r="H844">
        <v>6</v>
      </c>
    </row>
    <row r="845" spans="1:8">
      <c r="A845">
        <v>844</v>
      </c>
      <c r="B845" t="s">
        <v>11</v>
      </c>
      <c r="C845">
        <v>67</v>
      </c>
      <c r="D845">
        <v>184628</v>
      </c>
      <c r="E845">
        <v>38</v>
      </c>
      <c r="F845" t="s">
        <v>14</v>
      </c>
      <c r="G845">
        <v>12</v>
      </c>
      <c r="H845">
        <v>2</v>
      </c>
    </row>
    <row r="846" spans="1:8">
      <c r="A846">
        <v>845</v>
      </c>
      <c r="B846" t="s">
        <v>11</v>
      </c>
      <c r="C846">
        <v>38</v>
      </c>
      <c r="D846">
        <v>176551</v>
      </c>
      <c r="E846">
        <v>45</v>
      </c>
      <c r="F846" t="s">
        <v>9</v>
      </c>
      <c r="G846">
        <v>8</v>
      </c>
      <c r="H846">
        <v>1</v>
      </c>
    </row>
    <row r="847" spans="1:8">
      <c r="A847">
        <v>846</v>
      </c>
      <c r="B847" t="s">
        <v>11</v>
      </c>
      <c r="C847">
        <v>31</v>
      </c>
      <c r="D847">
        <v>76422</v>
      </c>
      <c r="E847">
        <v>21</v>
      </c>
      <c r="F847" t="s">
        <v>9</v>
      </c>
      <c r="G847">
        <v>9</v>
      </c>
      <c r="H847">
        <v>7</v>
      </c>
    </row>
    <row r="848" spans="1:8">
      <c r="A848">
        <v>847</v>
      </c>
      <c r="B848" t="s">
        <v>8</v>
      </c>
      <c r="C848">
        <v>2</v>
      </c>
      <c r="D848">
        <v>164248</v>
      </c>
      <c r="E848">
        <v>51</v>
      </c>
      <c r="F848" t="s">
        <v>13</v>
      </c>
      <c r="G848">
        <v>9</v>
      </c>
      <c r="H848">
        <v>3</v>
      </c>
    </row>
    <row r="849" spans="1:8">
      <c r="A849">
        <v>848</v>
      </c>
      <c r="B849" t="s">
        <v>11</v>
      </c>
      <c r="C849">
        <v>82</v>
      </c>
      <c r="D849">
        <v>109188</v>
      </c>
      <c r="E849">
        <v>38</v>
      </c>
      <c r="F849" t="s">
        <v>12</v>
      </c>
      <c r="G849">
        <v>5</v>
      </c>
      <c r="H849">
        <v>7</v>
      </c>
    </row>
    <row r="850" spans="1:8">
      <c r="A850">
        <v>849</v>
      </c>
      <c r="B850" t="s">
        <v>11</v>
      </c>
      <c r="C850">
        <v>66</v>
      </c>
      <c r="D850">
        <v>132951</v>
      </c>
      <c r="E850">
        <v>26</v>
      </c>
      <c r="F850" t="s">
        <v>9</v>
      </c>
      <c r="G850">
        <v>4</v>
      </c>
      <c r="H850">
        <v>1</v>
      </c>
    </row>
    <row r="851" spans="1:8">
      <c r="A851">
        <v>850</v>
      </c>
      <c r="B851" t="s">
        <v>11</v>
      </c>
      <c r="C851">
        <v>75</v>
      </c>
      <c r="D851">
        <v>164598</v>
      </c>
      <c r="E851">
        <v>32</v>
      </c>
      <c r="F851" t="s">
        <v>9</v>
      </c>
      <c r="G851">
        <v>8</v>
      </c>
      <c r="H851">
        <v>1</v>
      </c>
    </row>
    <row r="852" spans="1:8">
      <c r="A852">
        <v>851</v>
      </c>
      <c r="B852" t="s">
        <v>8</v>
      </c>
      <c r="C852">
        <v>69</v>
      </c>
      <c r="D852">
        <v>186655</v>
      </c>
      <c r="E852">
        <v>32</v>
      </c>
      <c r="G852">
        <v>7</v>
      </c>
      <c r="H852">
        <v>2</v>
      </c>
    </row>
    <row r="853" spans="1:8">
      <c r="A853">
        <v>852</v>
      </c>
      <c r="B853" t="s">
        <v>11</v>
      </c>
      <c r="C853">
        <v>62</v>
      </c>
      <c r="D853">
        <v>111859</v>
      </c>
      <c r="E853">
        <v>86</v>
      </c>
      <c r="F853" t="s">
        <v>9</v>
      </c>
      <c r="G853">
        <v>6</v>
      </c>
      <c r="H853">
        <v>1</v>
      </c>
    </row>
    <row r="854" spans="1:8">
      <c r="A854">
        <v>853</v>
      </c>
      <c r="B854" t="s">
        <v>11</v>
      </c>
      <c r="C854">
        <v>0</v>
      </c>
      <c r="D854">
        <v>121926</v>
      </c>
      <c r="E854">
        <v>41</v>
      </c>
      <c r="F854" t="s">
        <v>12</v>
      </c>
      <c r="G854">
        <v>7</v>
      </c>
      <c r="H854">
        <v>1</v>
      </c>
    </row>
    <row r="855" spans="1:8">
      <c r="A855">
        <v>854</v>
      </c>
      <c r="B855" t="s">
        <v>11</v>
      </c>
      <c r="C855">
        <v>11</v>
      </c>
      <c r="D855">
        <v>143047</v>
      </c>
      <c r="E855">
        <v>42</v>
      </c>
      <c r="F855" t="s">
        <v>15</v>
      </c>
      <c r="G855">
        <v>1</v>
      </c>
      <c r="H855">
        <v>3</v>
      </c>
    </row>
    <row r="856" spans="1:8">
      <c r="A856">
        <v>855</v>
      </c>
      <c r="B856" t="s">
        <v>11</v>
      </c>
      <c r="C856">
        <v>22</v>
      </c>
      <c r="D856">
        <v>131748</v>
      </c>
      <c r="E856">
        <v>23</v>
      </c>
      <c r="F856" t="s">
        <v>14</v>
      </c>
      <c r="G856">
        <v>1</v>
      </c>
      <c r="H856">
        <v>3</v>
      </c>
    </row>
    <row r="857" spans="1:8">
      <c r="A857">
        <v>856</v>
      </c>
      <c r="B857" t="s">
        <v>8</v>
      </c>
      <c r="C857">
        <v>76</v>
      </c>
      <c r="D857">
        <v>142801</v>
      </c>
      <c r="E857">
        <v>23</v>
      </c>
      <c r="F857" t="s">
        <v>12</v>
      </c>
      <c r="G857">
        <v>0</v>
      </c>
      <c r="H857">
        <v>1</v>
      </c>
    </row>
    <row r="858" spans="1:8">
      <c r="A858">
        <v>857</v>
      </c>
      <c r="B858" t="s">
        <v>8</v>
      </c>
      <c r="C858">
        <v>85</v>
      </c>
      <c r="D858">
        <v>142723</v>
      </c>
      <c r="E858">
        <v>46</v>
      </c>
      <c r="F858" t="s">
        <v>10</v>
      </c>
      <c r="G858">
        <v>0</v>
      </c>
      <c r="H858">
        <v>6</v>
      </c>
    </row>
    <row r="859" spans="1:8">
      <c r="A859">
        <v>858</v>
      </c>
      <c r="B859" t="s">
        <v>8</v>
      </c>
      <c r="C859">
        <v>21</v>
      </c>
      <c r="D859">
        <v>155151</v>
      </c>
      <c r="E859">
        <v>16</v>
      </c>
      <c r="F859" t="s">
        <v>18</v>
      </c>
      <c r="G859">
        <v>14</v>
      </c>
      <c r="H859">
        <v>3</v>
      </c>
    </row>
    <row r="860" spans="1:8">
      <c r="A860">
        <v>859</v>
      </c>
      <c r="B860" t="s">
        <v>11</v>
      </c>
      <c r="C860">
        <v>64</v>
      </c>
      <c r="D860">
        <v>153607</v>
      </c>
      <c r="E860">
        <v>48</v>
      </c>
      <c r="F860" t="s">
        <v>9</v>
      </c>
      <c r="G860">
        <v>1</v>
      </c>
      <c r="H860">
        <v>4</v>
      </c>
    </row>
    <row r="861" spans="1:8">
      <c r="A861">
        <v>860</v>
      </c>
      <c r="B861" t="s">
        <v>8</v>
      </c>
      <c r="C861">
        <v>94</v>
      </c>
      <c r="D861">
        <v>144192</v>
      </c>
      <c r="E861">
        <v>34</v>
      </c>
      <c r="F861" t="s">
        <v>9</v>
      </c>
      <c r="G861">
        <v>0</v>
      </c>
      <c r="H861">
        <v>3</v>
      </c>
    </row>
    <row r="862" spans="1:8">
      <c r="A862">
        <v>861</v>
      </c>
      <c r="B862" t="s">
        <v>11</v>
      </c>
      <c r="C862">
        <v>83</v>
      </c>
      <c r="D862">
        <v>174159</v>
      </c>
      <c r="E862">
        <v>22</v>
      </c>
      <c r="F862" t="s">
        <v>12</v>
      </c>
      <c r="G862">
        <v>4</v>
      </c>
      <c r="H862">
        <v>4</v>
      </c>
    </row>
    <row r="863" spans="1:8">
      <c r="A863">
        <v>862</v>
      </c>
      <c r="B863" t="s">
        <v>11</v>
      </c>
      <c r="C863">
        <v>93</v>
      </c>
      <c r="D863">
        <v>73642</v>
      </c>
      <c r="E863">
        <v>50</v>
      </c>
      <c r="F863" t="s">
        <v>18</v>
      </c>
      <c r="G863">
        <v>0</v>
      </c>
      <c r="H863">
        <v>3</v>
      </c>
    </row>
    <row r="864" spans="1:8">
      <c r="A864">
        <v>863</v>
      </c>
      <c r="B864" t="s">
        <v>11</v>
      </c>
      <c r="C864">
        <v>12</v>
      </c>
      <c r="D864">
        <v>170319</v>
      </c>
      <c r="E864">
        <v>46</v>
      </c>
      <c r="F864" t="s">
        <v>14</v>
      </c>
      <c r="G864">
        <v>8</v>
      </c>
      <c r="H864">
        <v>7</v>
      </c>
    </row>
    <row r="865" spans="1:8">
      <c r="A865">
        <v>864</v>
      </c>
      <c r="B865" t="s">
        <v>11</v>
      </c>
      <c r="C865">
        <v>0</v>
      </c>
      <c r="D865">
        <v>141351</v>
      </c>
      <c r="E865">
        <v>10</v>
      </c>
      <c r="F865" t="s">
        <v>10</v>
      </c>
      <c r="G865">
        <v>0</v>
      </c>
      <c r="H865">
        <v>2</v>
      </c>
    </row>
    <row r="866" spans="1:8">
      <c r="A866">
        <v>865</v>
      </c>
      <c r="B866" t="s">
        <v>11</v>
      </c>
      <c r="C866">
        <v>79</v>
      </c>
      <c r="D866">
        <v>167411</v>
      </c>
      <c r="E866">
        <v>9</v>
      </c>
      <c r="F866" t="s">
        <v>18</v>
      </c>
      <c r="G866">
        <v>12</v>
      </c>
      <c r="H866">
        <v>5</v>
      </c>
    </row>
    <row r="867" spans="1:8">
      <c r="A867">
        <v>866</v>
      </c>
      <c r="B867" t="s">
        <v>8</v>
      </c>
      <c r="C867">
        <v>90</v>
      </c>
      <c r="D867">
        <v>58289</v>
      </c>
      <c r="E867">
        <v>49</v>
      </c>
      <c r="F867" t="s">
        <v>14</v>
      </c>
      <c r="G867">
        <v>5</v>
      </c>
      <c r="H867">
        <v>6</v>
      </c>
    </row>
    <row r="868" spans="1:8">
      <c r="A868">
        <v>867</v>
      </c>
      <c r="B868" t="s">
        <v>11</v>
      </c>
      <c r="C868">
        <v>45</v>
      </c>
      <c r="D868">
        <v>79801</v>
      </c>
      <c r="E868">
        <v>77</v>
      </c>
      <c r="F868" t="s">
        <v>16</v>
      </c>
      <c r="G868">
        <v>0</v>
      </c>
      <c r="H868">
        <v>2</v>
      </c>
    </row>
    <row r="869" spans="1:8">
      <c r="A869">
        <v>868</v>
      </c>
      <c r="B869" t="s">
        <v>11</v>
      </c>
      <c r="C869">
        <v>82</v>
      </c>
      <c r="D869">
        <v>146118</v>
      </c>
      <c r="E869">
        <v>52</v>
      </c>
      <c r="F869" t="s">
        <v>18</v>
      </c>
      <c r="G869">
        <v>8</v>
      </c>
      <c r="H869">
        <v>7</v>
      </c>
    </row>
    <row r="870" spans="1:8">
      <c r="A870">
        <v>869</v>
      </c>
      <c r="B870" t="s">
        <v>11</v>
      </c>
      <c r="C870">
        <v>57</v>
      </c>
      <c r="D870">
        <v>57337</v>
      </c>
      <c r="E870">
        <v>14</v>
      </c>
      <c r="F870" t="s">
        <v>9</v>
      </c>
      <c r="G870">
        <v>1</v>
      </c>
      <c r="H870">
        <v>4</v>
      </c>
    </row>
    <row r="871" spans="1:8">
      <c r="A871">
        <v>870</v>
      </c>
      <c r="B871" t="s">
        <v>11</v>
      </c>
      <c r="C871">
        <v>43</v>
      </c>
      <c r="D871">
        <v>113575</v>
      </c>
      <c r="E871">
        <v>6</v>
      </c>
      <c r="F871" t="s">
        <v>13</v>
      </c>
      <c r="G871">
        <v>1</v>
      </c>
      <c r="H871">
        <v>2</v>
      </c>
    </row>
    <row r="872" spans="1:8">
      <c r="A872">
        <v>871</v>
      </c>
      <c r="B872" t="s">
        <v>8</v>
      </c>
      <c r="C872">
        <v>63</v>
      </c>
      <c r="D872">
        <v>122658</v>
      </c>
      <c r="E872">
        <v>65</v>
      </c>
      <c r="F872" t="s">
        <v>10</v>
      </c>
      <c r="G872">
        <v>6</v>
      </c>
      <c r="H872">
        <v>2</v>
      </c>
    </row>
    <row r="873" spans="1:8">
      <c r="A873">
        <v>872</v>
      </c>
      <c r="B873" t="s">
        <v>11</v>
      </c>
      <c r="C873">
        <v>62</v>
      </c>
      <c r="D873">
        <v>151836</v>
      </c>
      <c r="E873">
        <v>13</v>
      </c>
      <c r="F873" t="s">
        <v>14</v>
      </c>
      <c r="G873">
        <v>0</v>
      </c>
      <c r="H873">
        <v>6</v>
      </c>
    </row>
    <row r="874" spans="1:8">
      <c r="A874">
        <v>873</v>
      </c>
      <c r="B874" t="s">
        <v>11</v>
      </c>
      <c r="C874">
        <v>43</v>
      </c>
      <c r="D874">
        <v>185900</v>
      </c>
      <c r="E874">
        <v>80</v>
      </c>
      <c r="F874" t="s">
        <v>17</v>
      </c>
      <c r="G874">
        <v>9</v>
      </c>
      <c r="H874">
        <v>4</v>
      </c>
    </row>
    <row r="875" spans="1:8">
      <c r="A875">
        <v>874</v>
      </c>
      <c r="B875" t="s">
        <v>11</v>
      </c>
      <c r="C875">
        <v>34</v>
      </c>
      <c r="D875">
        <v>94029</v>
      </c>
      <c r="E875">
        <v>98</v>
      </c>
      <c r="F875" t="s">
        <v>9</v>
      </c>
      <c r="G875">
        <v>1</v>
      </c>
      <c r="H875">
        <v>4</v>
      </c>
    </row>
    <row r="876" spans="1:8">
      <c r="A876">
        <v>875</v>
      </c>
      <c r="B876" t="s">
        <v>11</v>
      </c>
      <c r="C876">
        <v>30</v>
      </c>
      <c r="D876">
        <v>157290</v>
      </c>
      <c r="E876">
        <v>22</v>
      </c>
      <c r="F876" t="s">
        <v>14</v>
      </c>
      <c r="G876">
        <v>2</v>
      </c>
      <c r="H876">
        <v>2</v>
      </c>
    </row>
    <row r="877" spans="1:8">
      <c r="A877">
        <v>876</v>
      </c>
      <c r="B877" t="s">
        <v>8</v>
      </c>
      <c r="C877">
        <v>97</v>
      </c>
      <c r="D877">
        <v>175996</v>
      </c>
      <c r="E877">
        <v>42</v>
      </c>
      <c r="F877" t="s">
        <v>13</v>
      </c>
      <c r="G877">
        <v>10</v>
      </c>
      <c r="H877">
        <v>4</v>
      </c>
    </row>
    <row r="878" spans="1:8">
      <c r="A878">
        <v>877</v>
      </c>
      <c r="B878" t="s">
        <v>8</v>
      </c>
      <c r="C878">
        <v>68</v>
      </c>
      <c r="D878">
        <v>102016</v>
      </c>
      <c r="E878">
        <v>37</v>
      </c>
      <c r="F878" t="s">
        <v>14</v>
      </c>
      <c r="G878">
        <v>0</v>
      </c>
      <c r="H878">
        <v>4</v>
      </c>
    </row>
    <row r="879" spans="1:8">
      <c r="A879">
        <v>878</v>
      </c>
      <c r="B879" t="s">
        <v>8</v>
      </c>
      <c r="C879">
        <v>16</v>
      </c>
      <c r="D879">
        <v>77902</v>
      </c>
      <c r="E879">
        <v>67</v>
      </c>
      <c r="F879" t="s">
        <v>14</v>
      </c>
      <c r="G879">
        <v>1</v>
      </c>
      <c r="H879">
        <v>2</v>
      </c>
    </row>
    <row r="880" spans="1:8">
      <c r="A880">
        <v>879</v>
      </c>
      <c r="B880" t="s">
        <v>11</v>
      </c>
      <c r="C880">
        <v>15</v>
      </c>
      <c r="D880">
        <v>81138</v>
      </c>
      <c r="E880">
        <v>86</v>
      </c>
      <c r="F880" t="s">
        <v>9</v>
      </c>
      <c r="G880">
        <v>9</v>
      </c>
      <c r="H880">
        <v>7</v>
      </c>
    </row>
    <row r="881" spans="1:8">
      <c r="A881">
        <v>880</v>
      </c>
      <c r="B881" t="s">
        <v>8</v>
      </c>
      <c r="C881">
        <v>25</v>
      </c>
      <c r="D881">
        <v>128258</v>
      </c>
      <c r="E881">
        <v>48</v>
      </c>
      <c r="F881" t="s">
        <v>15</v>
      </c>
      <c r="G881">
        <v>0</v>
      </c>
      <c r="H881">
        <v>2</v>
      </c>
    </row>
    <row r="882" spans="1:8">
      <c r="A882">
        <v>881</v>
      </c>
      <c r="B882" t="s">
        <v>11</v>
      </c>
      <c r="C882">
        <v>29</v>
      </c>
      <c r="D882">
        <v>62475</v>
      </c>
      <c r="E882">
        <v>24</v>
      </c>
      <c r="F882" t="s">
        <v>14</v>
      </c>
      <c r="G882">
        <v>6</v>
      </c>
      <c r="H882">
        <v>4</v>
      </c>
    </row>
    <row r="883" spans="1:8">
      <c r="A883">
        <v>882</v>
      </c>
      <c r="B883" t="s">
        <v>11</v>
      </c>
      <c r="C883">
        <v>85</v>
      </c>
      <c r="D883">
        <v>82854</v>
      </c>
      <c r="E883">
        <v>75</v>
      </c>
      <c r="F883" t="s">
        <v>14</v>
      </c>
      <c r="G883">
        <v>6</v>
      </c>
      <c r="H883">
        <v>4</v>
      </c>
    </row>
    <row r="884" spans="1:8">
      <c r="A884">
        <v>883</v>
      </c>
      <c r="B884" t="s">
        <v>11</v>
      </c>
      <c r="C884">
        <v>30</v>
      </c>
      <c r="D884">
        <v>59284</v>
      </c>
      <c r="E884">
        <v>38</v>
      </c>
      <c r="F884" t="s">
        <v>16</v>
      </c>
      <c r="G884">
        <v>7</v>
      </c>
      <c r="H884">
        <v>7</v>
      </c>
    </row>
    <row r="885" spans="1:8">
      <c r="A885">
        <v>884</v>
      </c>
      <c r="B885" t="s">
        <v>11</v>
      </c>
      <c r="C885">
        <v>13</v>
      </c>
      <c r="D885">
        <v>141580</v>
      </c>
      <c r="E885">
        <v>92</v>
      </c>
      <c r="F885" t="s">
        <v>9</v>
      </c>
      <c r="G885">
        <v>0</v>
      </c>
      <c r="H885">
        <v>4</v>
      </c>
    </row>
    <row r="886" spans="1:8">
      <c r="A886">
        <v>885</v>
      </c>
      <c r="B886" t="s">
        <v>11</v>
      </c>
      <c r="C886">
        <v>88</v>
      </c>
      <c r="D886">
        <v>171362</v>
      </c>
      <c r="E886">
        <v>90</v>
      </c>
      <c r="F886" t="s">
        <v>15</v>
      </c>
      <c r="G886">
        <v>6</v>
      </c>
      <c r="H886">
        <v>4</v>
      </c>
    </row>
    <row r="887" spans="1:8">
      <c r="A887">
        <v>886</v>
      </c>
      <c r="B887" t="s">
        <v>8</v>
      </c>
      <c r="C887">
        <v>5</v>
      </c>
      <c r="D887">
        <v>78274</v>
      </c>
      <c r="E887">
        <v>65</v>
      </c>
      <c r="F887" t="s">
        <v>14</v>
      </c>
      <c r="G887">
        <v>9</v>
      </c>
      <c r="H887">
        <v>2</v>
      </c>
    </row>
    <row r="888" spans="1:8">
      <c r="A888">
        <v>887</v>
      </c>
      <c r="B888" t="s">
        <v>11</v>
      </c>
      <c r="C888">
        <v>95</v>
      </c>
      <c r="D888">
        <v>76646</v>
      </c>
      <c r="E888">
        <v>61</v>
      </c>
      <c r="F888" t="s">
        <v>14</v>
      </c>
      <c r="G888">
        <v>0</v>
      </c>
      <c r="H888">
        <v>1</v>
      </c>
    </row>
    <row r="889" spans="1:8">
      <c r="A889">
        <v>888</v>
      </c>
      <c r="B889" t="s">
        <v>11</v>
      </c>
      <c r="C889">
        <v>92</v>
      </c>
      <c r="D889">
        <v>78308</v>
      </c>
      <c r="E889">
        <v>66</v>
      </c>
      <c r="F889" t="s">
        <v>15</v>
      </c>
      <c r="G889">
        <v>5</v>
      </c>
      <c r="H889">
        <v>2</v>
      </c>
    </row>
    <row r="890" spans="1:8">
      <c r="A890">
        <v>889</v>
      </c>
      <c r="B890" t="s">
        <v>11</v>
      </c>
      <c r="C890">
        <v>63</v>
      </c>
      <c r="D890">
        <v>78971</v>
      </c>
      <c r="E890">
        <v>89</v>
      </c>
      <c r="F890" t="s">
        <v>10</v>
      </c>
      <c r="G890">
        <v>1</v>
      </c>
      <c r="H890">
        <v>2</v>
      </c>
    </row>
    <row r="891" spans="1:8">
      <c r="A891">
        <v>890</v>
      </c>
      <c r="B891" t="s">
        <v>11</v>
      </c>
      <c r="C891">
        <v>75</v>
      </c>
      <c r="D891">
        <v>65528</v>
      </c>
      <c r="E891">
        <v>73</v>
      </c>
      <c r="F891" t="s">
        <v>18</v>
      </c>
      <c r="G891">
        <v>1</v>
      </c>
      <c r="H891">
        <v>5</v>
      </c>
    </row>
    <row r="892" spans="1:8">
      <c r="A892">
        <v>891</v>
      </c>
      <c r="B892" t="s">
        <v>8</v>
      </c>
      <c r="C892">
        <v>67</v>
      </c>
      <c r="D892">
        <v>94199</v>
      </c>
      <c r="E892">
        <v>71</v>
      </c>
      <c r="F892" t="s">
        <v>14</v>
      </c>
      <c r="G892">
        <v>5</v>
      </c>
      <c r="H892">
        <v>7</v>
      </c>
    </row>
    <row r="893" spans="1:8">
      <c r="A893">
        <v>892</v>
      </c>
      <c r="B893" t="s">
        <v>11</v>
      </c>
      <c r="C893">
        <v>58</v>
      </c>
      <c r="D893">
        <v>135705</v>
      </c>
      <c r="E893">
        <v>48</v>
      </c>
      <c r="F893" t="s">
        <v>10</v>
      </c>
      <c r="G893">
        <v>8</v>
      </c>
      <c r="H893">
        <v>7</v>
      </c>
    </row>
    <row r="894" spans="1:8">
      <c r="A894">
        <v>893</v>
      </c>
      <c r="B894" t="s">
        <v>8</v>
      </c>
      <c r="C894">
        <v>52</v>
      </c>
      <c r="D894">
        <v>130573</v>
      </c>
      <c r="E894">
        <v>31</v>
      </c>
      <c r="F894" t="s">
        <v>13</v>
      </c>
      <c r="G894">
        <v>8</v>
      </c>
      <c r="H894">
        <v>3</v>
      </c>
    </row>
    <row r="895" spans="1:8">
      <c r="A895">
        <v>894</v>
      </c>
      <c r="B895" t="s">
        <v>11</v>
      </c>
      <c r="C895">
        <v>85</v>
      </c>
      <c r="D895">
        <v>152303</v>
      </c>
      <c r="E895">
        <v>68</v>
      </c>
      <c r="F895" t="s">
        <v>14</v>
      </c>
      <c r="G895">
        <v>1</v>
      </c>
      <c r="H895">
        <v>5</v>
      </c>
    </row>
    <row r="896" spans="1:8">
      <c r="A896">
        <v>895</v>
      </c>
      <c r="B896" t="s">
        <v>11</v>
      </c>
      <c r="C896">
        <v>31</v>
      </c>
      <c r="D896">
        <v>144582</v>
      </c>
      <c r="E896">
        <v>89</v>
      </c>
      <c r="F896" t="s">
        <v>16</v>
      </c>
      <c r="G896">
        <v>1</v>
      </c>
      <c r="H896">
        <v>1</v>
      </c>
    </row>
    <row r="897" spans="1:8">
      <c r="A897">
        <v>896</v>
      </c>
      <c r="B897" t="s">
        <v>11</v>
      </c>
      <c r="C897">
        <v>84</v>
      </c>
      <c r="D897">
        <v>93288</v>
      </c>
      <c r="E897">
        <v>60</v>
      </c>
      <c r="F897" t="s">
        <v>14</v>
      </c>
      <c r="G897">
        <v>10</v>
      </c>
      <c r="H897">
        <v>6</v>
      </c>
    </row>
    <row r="898" spans="1:8">
      <c r="A898">
        <v>897</v>
      </c>
      <c r="B898" t="s">
        <v>11</v>
      </c>
      <c r="C898">
        <v>93</v>
      </c>
      <c r="D898">
        <v>88192</v>
      </c>
      <c r="E898">
        <v>3</v>
      </c>
      <c r="F898" t="s">
        <v>18</v>
      </c>
      <c r="G898">
        <v>10</v>
      </c>
      <c r="H898">
        <v>2</v>
      </c>
    </row>
    <row r="899" spans="1:8">
      <c r="A899">
        <v>898</v>
      </c>
      <c r="B899" t="s">
        <v>8</v>
      </c>
      <c r="C899">
        <v>18</v>
      </c>
      <c r="D899">
        <v>62362</v>
      </c>
      <c r="E899">
        <v>81</v>
      </c>
      <c r="F899" t="s">
        <v>12</v>
      </c>
      <c r="G899">
        <v>7</v>
      </c>
      <c r="H899">
        <v>3</v>
      </c>
    </row>
    <row r="900" spans="1:8">
      <c r="A900">
        <v>899</v>
      </c>
      <c r="B900" t="s">
        <v>8</v>
      </c>
      <c r="C900">
        <v>73</v>
      </c>
      <c r="D900">
        <v>74350</v>
      </c>
      <c r="E900">
        <v>39</v>
      </c>
      <c r="F900" t="s">
        <v>12</v>
      </c>
      <c r="G900">
        <v>10</v>
      </c>
      <c r="H900">
        <v>1</v>
      </c>
    </row>
    <row r="901" spans="1:8">
      <c r="A901">
        <v>900</v>
      </c>
      <c r="B901" t="s">
        <v>8</v>
      </c>
      <c r="C901">
        <v>3</v>
      </c>
      <c r="D901">
        <v>144103</v>
      </c>
      <c r="E901">
        <v>42</v>
      </c>
      <c r="F901" t="s">
        <v>9</v>
      </c>
      <c r="G901">
        <v>8</v>
      </c>
      <c r="H901">
        <v>7</v>
      </c>
    </row>
    <row r="902" spans="1:8">
      <c r="A902">
        <v>901</v>
      </c>
      <c r="B902" t="s">
        <v>8</v>
      </c>
      <c r="C902">
        <v>1</v>
      </c>
      <c r="D902">
        <v>75518</v>
      </c>
      <c r="E902">
        <v>17</v>
      </c>
      <c r="F902" t="s">
        <v>12</v>
      </c>
      <c r="G902">
        <v>7</v>
      </c>
      <c r="H902">
        <v>3</v>
      </c>
    </row>
    <row r="903" spans="1:8">
      <c r="A903">
        <v>902</v>
      </c>
      <c r="B903" t="s">
        <v>8</v>
      </c>
      <c r="C903">
        <v>53</v>
      </c>
      <c r="D903">
        <v>160980</v>
      </c>
      <c r="E903">
        <v>62</v>
      </c>
      <c r="F903" t="s">
        <v>16</v>
      </c>
      <c r="G903">
        <v>4</v>
      </c>
      <c r="H903">
        <v>2</v>
      </c>
    </row>
    <row r="904" spans="1:8">
      <c r="A904">
        <v>903</v>
      </c>
      <c r="B904" t="s">
        <v>11</v>
      </c>
      <c r="C904">
        <v>75</v>
      </c>
      <c r="D904">
        <v>102904</v>
      </c>
      <c r="E904">
        <v>28</v>
      </c>
      <c r="F904" t="s">
        <v>14</v>
      </c>
      <c r="G904">
        <v>7</v>
      </c>
      <c r="H904">
        <v>6</v>
      </c>
    </row>
    <row r="905" spans="1:8">
      <c r="A905">
        <v>904</v>
      </c>
      <c r="B905" t="s">
        <v>11</v>
      </c>
      <c r="C905">
        <v>15</v>
      </c>
      <c r="D905">
        <v>174501</v>
      </c>
      <c r="E905">
        <v>37</v>
      </c>
      <c r="G905">
        <v>9</v>
      </c>
      <c r="H905">
        <v>7</v>
      </c>
    </row>
    <row r="906" spans="1:8">
      <c r="A906">
        <v>905</v>
      </c>
      <c r="B906" t="s">
        <v>11</v>
      </c>
      <c r="C906">
        <v>47</v>
      </c>
      <c r="D906">
        <v>157661</v>
      </c>
      <c r="E906">
        <v>57</v>
      </c>
      <c r="F906" t="s">
        <v>9</v>
      </c>
      <c r="G906">
        <v>6</v>
      </c>
      <c r="H906">
        <v>6</v>
      </c>
    </row>
    <row r="907" spans="1:8">
      <c r="A907">
        <v>906</v>
      </c>
      <c r="B907" t="s">
        <v>11</v>
      </c>
      <c r="C907">
        <v>66</v>
      </c>
      <c r="D907">
        <v>118385</v>
      </c>
      <c r="E907">
        <v>8</v>
      </c>
      <c r="F907" t="s">
        <v>9</v>
      </c>
      <c r="G907">
        <v>10</v>
      </c>
      <c r="H907">
        <v>3</v>
      </c>
    </row>
    <row r="908" spans="1:8">
      <c r="A908">
        <v>907</v>
      </c>
      <c r="B908" t="s">
        <v>11</v>
      </c>
      <c r="C908">
        <v>17</v>
      </c>
      <c r="D908">
        <v>116463</v>
      </c>
      <c r="E908">
        <v>100</v>
      </c>
      <c r="F908" t="s">
        <v>14</v>
      </c>
      <c r="G908">
        <v>8</v>
      </c>
      <c r="H908">
        <v>4</v>
      </c>
    </row>
    <row r="909" spans="1:8">
      <c r="A909">
        <v>908</v>
      </c>
      <c r="B909" t="s">
        <v>11</v>
      </c>
      <c r="C909">
        <v>1</v>
      </c>
      <c r="D909">
        <v>161212</v>
      </c>
      <c r="E909">
        <v>14</v>
      </c>
      <c r="F909" t="s">
        <v>14</v>
      </c>
      <c r="G909">
        <v>9</v>
      </c>
      <c r="H909">
        <v>6</v>
      </c>
    </row>
    <row r="910" spans="1:8">
      <c r="A910">
        <v>909</v>
      </c>
      <c r="B910" t="s">
        <v>8</v>
      </c>
      <c r="C910">
        <v>16</v>
      </c>
      <c r="D910">
        <v>172601</v>
      </c>
      <c r="E910">
        <v>50</v>
      </c>
      <c r="F910" t="s">
        <v>18</v>
      </c>
      <c r="G910">
        <v>4</v>
      </c>
      <c r="H910">
        <v>6</v>
      </c>
    </row>
    <row r="911" spans="1:8">
      <c r="A911">
        <v>910</v>
      </c>
      <c r="B911" t="s">
        <v>11</v>
      </c>
      <c r="C911">
        <v>52</v>
      </c>
      <c r="D911">
        <v>167214</v>
      </c>
      <c r="E911">
        <v>94</v>
      </c>
      <c r="F911" t="s">
        <v>17</v>
      </c>
      <c r="G911">
        <v>8</v>
      </c>
      <c r="H911">
        <v>7</v>
      </c>
    </row>
    <row r="912" spans="1:8">
      <c r="A912">
        <v>911</v>
      </c>
      <c r="B912" t="s">
        <v>8</v>
      </c>
      <c r="C912">
        <v>21</v>
      </c>
      <c r="D912">
        <v>69644</v>
      </c>
      <c r="E912">
        <v>19</v>
      </c>
      <c r="F912" t="s">
        <v>14</v>
      </c>
      <c r="G912">
        <v>5</v>
      </c>
      <c r="H912">
        <v>1</v>
      </c>
    </row>
    <row r="913" spans="1:8">
      <c r="A913">
        <v>912</v>
      </c>
      <c r="B913" t="s">
        <v>11</v>
      </c>
      <c r="C913">
        <v>19</v>
      </c>
      <c r="D913">
        <v>120215</v>
      </c>
      <c r="E913">
        <v>46</v>
      </c>
      <c r="F913" t="s">
        <v>17</v>
      </c>
      <c r="G913">
        <v>7</v>
      </c>
      <c r="H913">
        <v>2</v>
      </c>
    </row>
    <row r="914" spans="1:8">
      <c r="A914">
        <v>913</v>
      </c>
      <c r="B914" t="s">
        <v>11</v>
      </c>
      <c r="C914">
        <v>29</v>
      </c>
      <c r="D914">
        <v>180401</v>
      </c>
      <c r="E914">
        <v>23</v>
      </c>
      <c r="F914" t="s">
        <v>10</v>
      </c>
      <c r="G914">
        <v>7</v>
      </c>
      <c r="H914">
        <v>6</v>
      </c>
    </row>
    <row r="915" spans="1:8">
      <c r="A915">
        <v>914</v>
      </c>
      <c r="B915" t="s">
        <v>11</v>
      </c>
      <c r="C915">
        <v>40</v>
      </c>
      <c r="D915">
        <v>113739</v>
      </c>
      <c r="E915">
        <v>93</v>
      </c>
      <c r="F915" t="s">
        <v>14</v>
      </c>
      <c r="G915">
        <v>5</v>
      </c>
      <c r="H915">
        <v>7</v>
      </c>
    </row>
    <row r="916" spans="1:8">
      <c r="A916">
        <v>915</v>
      </c>
      <c r="B916" t="s">
        <v>8</v>
      </c>
      <c r="C916">
        <v>76</v>
      </c>
      <c r="D916">
        <v>111717</v>
      </c>
      <c r="E916">
        <v>41</v>
      </c>
      <c r="F916" t="s">
        <v>9</v>
      </c>
      <c r="G916">
        <v>1</v>
      </c>
      <c r="H916">
        <v>2</v>
      </c>
    </row>
    <row r="917" spans="1:8">
      <c r="A917">
        <v>916</v>
      </c>
      <c r="B917" t="s">
        <v>8</v>
      </c>
      <c r="C917">
        <v>91</v>
      </c>
      <c r="D917">
        <v>62808</v>
      </c>
      <c r="E917">
        <v>20</v>
      </c>
      <c r="F917" t="s">
        <v>10</v>
      </c>
      <c r="G917">
        <v>0</v>
      </c>
      <c r="H917">
        <v>4</v>
      </c>
    </row>
    <row r="918" spans="1:8">
      <c r="A918">
        <v>917</v>
      </c>
      <c r="B918" t="s">
        <v>11</v>
      </c>
      <c r="C918">
        <v>24</v>
      </c>
      <c r="D918">
        <v>67582</v>
      </c>
      <c r="E918">
        <v>13</v>
      </c>
      <c r="F918" t="s">
        <v>14</v>
      </c>
      <c r="G918">
        <v>1</v>
      </c>
      <c r="H918">
        <v>3</v>
      </c>
    </row>
    <row r="919" spans="1:8">
      <c r="A919">
        <v>918</v>
      </c>
      <c r="B919" t="s">
        <v>8</v>
      </c>
      <c r="C919">
        <v>4</v>
      </c>
      <c r="D919">
        <v>96543</v>
      </c>
      <c r="E919">
        <v>60</v>
      </c>
      <c r="F919" t="s">
        <v>14</v>
      </c>
      <c r="G919">
        <v>9</v>
      </c>
      <c r="H919">
        <v>1</v>
      </c>
    </row>
    <row r="920" spans="1:8">
      <c r="A920">
        <v>919</v>
      </c>
      <c r="B920" t="s">
        <v>8</v>
      </c>
      <c r="C920">
        <v>90</v>
      </c>
      <c r="D920">
        <v>89667</v>
      </c>
      <c r="E920">
        <v>69</v>
      </c>
      <c r="F920" t="s">
        <v>14</v>
      </c>
      <c r="G920">
        <v>0</v>
      </c>
      <c r="H920">
        <v>2</v>
      </c>
    </row>
    <row r="921" spans="1:8">
      <c r="A921">
        <v>920</v>
      </c>
      <c r="B921" t="s">
        <v>11</v>
      </c>
      <c r="C921">
        <v>56</v>
      </c>
      <c r="D921">
        <v>98980</v>
      </c>
      <c r="E921">
        <v>65</v>
      </c>
      <c r="F921" t="s">
        <v>10</v>
      </c>
      <c r="G921">
        <v>0</v>
      </c>
      <c r="H921">
        <v>1</v>
      </c>
    </row>
    <row r="922" spans="1:8">
      <c r="A922">
        <v>921</v>
      </c>
      <c r="B922" t="s">
        <v>8</v>
      </c>
      <c r="C922">
        <v>14</v>
      </c>
      <c r="D922">
        <v>124998</v>
      </c>
      <c r="E922">
        <v>17</v>
      </c>
      <c r="F922" t="s">
        <v>12</v>
      </c>
      <c r="G922">
        <v>1</v>
      </c>
      <c r="H922">
        <v>3</v>
      </c>
    </row>
    <row r="923" spans="1:8">
      <c r="A923">
        <v>922</v>
      </c>
      <c r="B923" t="s">
        <v>8</v>
      </c>
      <c r="C923">
        <v>52</v>
      </c>
      <c r="D923">
        <v>189091</v>
      </c>
      <c r="E923">
        <v>12</v>
      </c>
      <c r="F923" t="s">
        <v>14</v>
      </c>
      <c r="G923">
        <v>0</v>
      </c>
      <c r="H923">
        <v>6</v>
      </c>
    </row>
    <row r="924" spans="1:8">
      <c r="A924">
        <v>923</v>
      </c>
      <c r="B924" t="s">
        <v>11</v>
      </c>
      <c r="C924">
        <v>14</v>
      </c>
      <c r="D924">
        <v>153842</v>
      </c>
      <c r="E924">
        <v>3</v>
      </c>
      <c r="F924" t="s">
        <v>14</v>
      </c>
      <c r="G924">
        <v>1</v>
      </c>
      <c r="H924">
        <v>3</v>
      </c>
    </row>
    <row r="925" spans="1:8">
      <c r="A925">
        <v>924</v>
      </c>
      <c r="B925" t="s">
        <v>8</v>
      </c>
      <c r="C925">
        <v>30</v>
      </c>
      <c r="D925">
        <v>106314</v>
      </c>
      <c r="E925">
        <v>16</v>
      </c>
      <c r="F925" t="s">
        <v>14</v>
      </c>
      <c r="G925">
        <v>0</v>
      </c>
      <c r="H925">
        <v>7</v>
      </c>
    </row>
    <row r="926" spans="1:8">
      <c r="A926">
        <v>925</v>
      </c>
      <c r="B926" t="s">
        <v>11</v>
      </c>
      <c r="C926">
        <v>70</v>
      </c>
      <c r="D926">
        <v>62901</v>
      </c>
      <c r="E926">
        <v>60</v>
      </c>
      <c r="F926" t="s">
        <v>14</v>
      </c>
      <c r="G926">
        <v>8</v>
      </c>
      <c r="H926">
        <v>5</v>
      </c>
    </row>
    <row r="927" spans="1:8">
      <c r="A927">
        <v>926</v>
      </c>
      <c r="B927" t="s">
        <v>8</v>
      </c>
      <c r="C927">
        <v>14</v>
      </c>
      <c r="D927">
        <v>149618</v>
      </c>
      <c r="E927">
        <v>78</v>
      </c>
      <c r="F927" t="s">
        <v>9</v>
      </c>
      <c r="G927">
        <v>4</v>
      </c>
      <c r="H927">
        <v>6</v>
      </c>
    </row>
    <row r="928" spans="1:8">
      <c r="A928">
        <v>927</v>
      </c>
      <c r="B928" t="s">
        <v>11</v>
      </c>
      <c r="C928">
        <v>95</v>
      </c>
      <c r="D928">
        <v>72068</v>
      </c>
      <c r="E928">
        <v>97</v>
      </c>
      <c r="F928" t="s">
        <v>9</v>
      </c>
      <c r="G928">
        <v>0</v>
      </c>
      <c r="H928">
        <v>6</v>
      </c>
    </row>
    <row r="929" spans="1:8">
      <c r="A929">
        <v>928</v>
      </c>
      <c r="B929" t="s">
        <v>8</v>
      </c>
      <c r="C929">
        <v>25</v>
      </c>
      <c r="D929">
        <v>81367</v>
      </c>
      <c r="E929">
        <v>87</v>
      </c>
      <c r="G929">
        <v>0</v>
      </c>
      <c r="H929">
        <v>3</v>
      </c>
    </row>
    <row r="930" spans="1:8">
      <c r="A930">
        <v>929</v>
      </c>
      <c r="B930" t="s">
        <v>11</v>
      </c>
      <c r="C930">
        <v>95</v>
      </c>
      <c r="D930">
        <v>118575</v>
      </c>
      <c r="E930">
        <v>10</v>
      </c>
      <c r="F930" t="s">
        <v>13</v>
      </c>
      <c r="G930">
        <v>1</v>
      </c>
      <c r="H930">
        <v>3</v>
      </c>
    </row>
    <row r="931" spans="1:8">
      <c r="A931">
        <v>930</v>
      </c>
      <c r="B931" t="s">
        <v>11</v>
      </c>
      <c r="C931">
        <v>12</v>
      </c>
      <c r="D931">
        <v>82382</v>
      </c>
      <c r="E931">
        <v>97</v>
      </c>
      <c r="F931" t="s">
        <v>15</v>
      </c>
      <c r="G931">
        <v>1</v>
      </c>
      <c r="H931">
        <v>3</v>
      </c>
    </row>
    <row r="932" spans="1:8">
      <c r="A932">
        <v>931</v>
      </c>
      <c r="B932" t="s">
        <v>8</v>
      </c>
      <c r="C932">
        <v>82</v>
      </c>
      <c r="D932">
        <v>114776</v>
      </c>
      <c r="E932">
        <v>55</v>
      </c>
      <c r="F932" t="s">
        <v>13</v>
      </c>
      <c r="G932">
        <v>10</v>
      </c>
      <c r="H932">
        <v>3</v>
      </c>
    </row>
    <row r="933" spans="1:8">
      <c r="A933">
        <v>932</v>
      </c>
      <c r="B933" t="s">
        <v>11</v>
      </c>
      <c r="C933">
        <v>2</v>
      </c>
      <c r="D933">
        <v>145597</v>
      </c>
      <c r="E933">
        <v>81</v>
      </c>
      <c r="F933" t="s">
        <v>14</v>
      </c>
      <c r="G933">
        <v>1</v>
      </c>
      <c r="H933">
        <v>6</v>
      </c>
    </row>
    <row r="934" spans="1:8">
      <c r="A934">
        <v>933</v>
      </c>
      <c r="B934" t="s">
        <v>8</v>
      </c>
      <c r="C934">
        <v>51</v>
      </c>
      <c r="D934">
        <v>162072</v>
      </c>
      <c r="E934">
        <v>86</v>
      </c>
      <c r="F934" t="s">
        <v>10</v>
      </c>
      <c r="G934">
        <v>1</v>
      </c>
      <c r="H934">
        <v>1</v>
      </c>
    </row>
    <row r="935" spans="1:8">
      <c r="A935">
        <v>934</v>
      </c>
      <c r="B935" t="s">
        <v>8</v>
      </c>
      <c r="C935">
        <v>63</v>
      </c>
      <c r="D935">
        <v>172872</v>
      </c>
      <c r="E935">
        <v>11</v>
      </c>
      <c r="F935" t="s">
        <v>9</v>
      </c>
      <c r="G935">
        <v>0</v>
      </c>
      <c r="H935">
        <v>7</v>
      </c>
    </row>
    <row r="936" spans="1:8">
      <c r="A936">
        <v>935</v>
      </c>
      <c r="B936" t="s">
        <v>11</v>
      </c>
      <c r="C936">
        <v>30</v>
      </c>
      <c r="D936">
        <v>182162</v>
      </c>
      <c r="E936">
        <v>6</v>
      </c>
      <c r="F936" t="s">
        <v>14</v>
      </c>
      <c r="G936">
        <v>1</v>
      </c>
      <c r="H936">
        <v>3</v>
      </c>
    </row>
    <row r="937" spans="1:8">
      <c r="A937">
        <v>936</v>
      </c>
      <c r="B937" t="s">
        <v>11</v>
      </c>
      <c r="C937">
        <v>68</v>
      </c>
      <c r="D937">
        <v>71467</v>
      </c>
      <c r="E937">
        <v>81</v>
      </c>
      <c r="F937" t="s">
        <v>14</v>
      </c>
      <c r="G937">
        <v>5</v>
      </c>
      <c r="H937">
        <v>7</v>
      </c>
    </row>
    <row r="938" spans="1:8">
      <c r="A938">
        <v>937</v>
      </c>
      <c r="B938" t="s">
        <v>11</v>
      </c>
      <c r="C938">
        <v>21</v>
      </c>
      <c r="D938">
        <v>85568</v>
      </c>
      <c r="E938">
        <v>1</v>
      </c>
      <c r="F938" t="s">
        <v>9</v>
      </c>
      <c r="G938">
        <v>0</v>
      </c>
      <c r="H938">
        <v>6</v>
      </c>
    </row>
    <row r="939" spans="1:8">
      <c r="A939">
        <v>938</v>
      </c>
      <c r="B939" t="s">
        <v>11</v>
      </c>
      <c r="C939">
        <v>99</v>
      </c>
      <c r="D939">
        <v>56851</v>
      </c>
      <c r="E939">
        <v>72</v>
      </c>
      <c r="F939" t="s">
        <v>13</v>
      </c>
      <c r="G939">
        <v>6</v>
      </c>
      <c r="H939">
        <v>3</v>
      </c>
    </row>
    <row r="940" spans="1:8">
      <c r="A940">
        <v>939</v>
      </c>
      <c r="B940" t="s">
        <v>11</v>
      </c>
      <c r="C940">
        <v>0</v>
      </c>
      <c r="D940">
        <v>116782</v>
      </c>
      <c r="E940">
        <v>73</v>
      </c>
      <c r="F940" t="s">
        <v>14</v>
      </c>
      <c r="G940">
        <v>9</v>
      </c>
      <c r="H940">
        <v>5</v>
      </c>
    </row>
    <row r="941" spans="1:8">
      <c r="A941">
        <v>940</v>
      </c>
      <c r="B941" t="s">
        <v>11</v>
      </c>
      <c r="C941">
        <v>80</v>
      </c>
      <c r="D941">
        <v>67781</v>
      </c>
      <c r="E941">
        <v>1</v>
      </c>
      <c r="F941" t="s">
        <v>13</v>
      </c>
      <c r="G941">
        <v>4</v>
      </c>
      <c r="H941">
        <v>4</v>
      </c>
    </row>
    <row r="942" spans="1:8">
      <c r="A942">
        <v>941</v>
      </c>
      <c r="B942" t="s">
        <v>11</v>
      </c>
      <c r="C942">
        <v>51</v>
      </c>
      <c r="D942">
        <v>70152</v>
      </c>
      <c r="E942">
        <v>29</v>
      </c>
      <c r="F942" t="s">
        <v>9</v>
      </c>
      <c r="G942">
        <v>0</v>
      </c>
      <c r="H942">
        <v>2</v>
      </c>
    </row>
    <row r="943" spans="1:8">
      <c r="A943">
        <v>942</v>
      </c>
      <c r="B943" t="s">
        <v>8</v>
      </c>
      <c r="C943">
        <v>18</v>
      </c>
      <c r="D943">
        <v>185861</v>
      </c>
      <c r="E943">
        <v>82</v>
      </c>
      <c r="F943" t="s">
        <v>14</v>
      </c>
      <c r="G943">
        <v>3</v>
      </c>
      <c r="H943">
        <v>6</v>
      </c>
    </row>
    <row r="944" spans="1:8">
      <c r="A944">
        <v>943</v>
      </c>
      <c r="B944" t="s">
        <v>8</v>
      </c>
      <c r="C944">
        <v>43</v>
      </c>
      <c r="D944">
        <v>162595</v>
      </c>
      <c r="E944">
        <v>17</v>
      </c>
      <c r="F944" t="s">
        <v>14</v>
      </c>
      <c r="G944">
        <v>3</v>
      </c>
      <c r="H944">
        <v>3</v>
      </c>
    </row>
    <row r="945" spans="1:8">
      <c r="A945">
        <v>944</v>
      </c>
      <c r="B945" t="s">
        <v>11</v>
      </c>
      <c r="C945">
        <v>29</v>
      </c>
      <c r="D945">
        <v>80098</v>
      </c>
      <c r="E945">
        <v>54</v>
      </c>
      <c r="F945" t="s">
        <v>12</v>
      </c>
      <c r="G945">
        <v>10</v>
      </c>
      <c r="H945">
        <v>6</v>
      </c>
    </row>
    <row r="946" spans="1:8">
      <c r="A946">
        <v>945</v>
      </c>
      <c r="B946" t="s">
        <v>11</v>
      </c>
      <c r="C946">
        <v>20</v>
      </c>
      <c r="D946">
        <v>184801</v>
      </c>
      <c r="E946">
        <v>8</v>
      </c>
      <c r="F946" t="s">
        <v>12</v>
      </c>
      <c r="G946">
        <v>1</v>
      </c>
      <c r="H946">
        <v>1</v>
      </c>
    </row>
    <row r="947" spans="1:8">
      <c r="A947">
        <v>946</v>
      </c>
      <c r="B947" t="s">
        <v>11</v>
      </c>
      <c r="C947">
        <v>39</v>
      </c>
      <c r="D947">
        <v>58908</v>
      </c>
      <c r="E947">
        <v>37</v>
      </c>
      <c r="F947" t="s">
        <v>14</v>
      </c>
      <c r="G947">
        <v>6</v>
      </c>
      <c r="H947">
        <v>6</v>
      </c>
    </row>
    <row r="948" spans="1:8">
      <c r="A948">
        <v>947</v>
      </c>
      <c r="B948" t="s">
        <v>11</v>
      </c>
      <c r="C948">
        <v>9</v>
      </c>
      <c r="D948">
        <v>146011</v>
      </c>
      <c r="E948">
        <v>69</v>
      </c>
      <c r="F948" t="s">
        <v>18</v>
      </c>
      <c r="G948">
        <v>9</v>
      </c>
      <c r="H948">
        <v>5</v>
      </c>
    </row>
    <row r="949" spans="1:8">
      <c r="A949">
        <v>948</v>
      </c>
      <c r="B949" t="s">
        <v>11</v>
      </c>
      <c r="C949">
        <v>45</v>
      </c>
      <c r="D949">
        <v>135174</v>
      </c>
      <c r="E949">
        <v>39</v>
      </c>
      <c r="F949" t="s">
        <v>14</v>
      </c>
      <c r="G949">
        <v>9</v>
      </c>
      <c r="H949">
        <v>4</v>
      </c>
    </row>
    <row r="950" spans="1:8">
      <c r="A950">
        <v>949</v>
      </c>
      <c r="B950" t="s">
        <v>11</v>
      </c>
      <c r="C950">
        <v>65</v>
      </c>
      <c r="D950">
        <v>114244</v>
      </c>
      <c r="E950">
        <v>64</v>
      </c>
      <c r="F950" t="s">
        <v>14</v>
      </c>
      <c r="G950">
        <v>0</v>
      </c>
      <c r="H950">
        <v>1</v>
      </c>
    </row>
    <row r="951" spans="1:8">
      <c r="A951">
        <v>950</v>
      </c>
      <c r="B951" t="s">
        <v>11</v>
      </c>
      <c r="C951">
        <v>64</v>
      </c>
      <c r="D951">
        <v>157207</v>
      </c>
      <c r="E951">
        <v>52</v>
      </c>
      <c r="F951" t="s">
        <v>9</v>
      </c>
      <c r="G951">
        <v>0</v>
      </c>
      <c r="H951">
        <v>4</v>
      </c>
    </row>
    <row r="952" spans="1:8">
      <c r="A952">
        <v>951</v>
      </c>
      <c r="B952" t="s">
        <v>11</v>
      </c>
      <c r="C952">
        <v>81</v>
      </c>
      <c r="D952">
        <v>128834</v>
      </c>
      <c r="E952">
        <v>23</v>
      </c>
      <c r="F952" t="s">
        <v>13</v>
      </c>
      <c r="G952">
        <v>5</v>
      </c>
      <c r="H952">
        <v>4</v>
      </c>
    </row>
    <row r="953" spans="1:8">
      <c r="A953">
        <v>952</v>
      </c>
      <c r="B953" t="s">
        <v>8</v>
      </c>
      <c r="C953">
        <v>54</v>
      </c>
      <c r="D953">
        <v>51166</v>
      </c>
      <c r="E953">
        <v>24</v>
      </c>
      <c r="F953" t="s">
        <v>13</v>
      </c>
      <c r="G953">
        <v>0</v>
      </c>
      <c r="H953">
        <v>7</v>
      </c>
    </row>
    <row r="954" spans="1:8">
      <c r="A954">
        <v>953</v>
      </c>
      <c r="B954" t="s">
        <v>11</v>
      </c>
      <c r="C954">
        <v>32</v>
      </c>
      <c r="D954">
        <v>130118</v>
      </c>
      <c r="E954">
        <v>36</v>
      </c>
      <c r="F954" t="s">
        <v>14</v>
      </c>
      <c r="G954">
        <v>0</v>
      </c>
      <c r="H954">
        <v>4</v>
      </c>
    </row>
    <row r="955" spans="1:8">
      <c r="A955">
        <v>954</v>
      </c>
      <c r="B955" t="s">
        <v>8</v>
      </c>
      <c r="C955">
        <v>29</v>
      </c>
      <c r="D955">
        <v>87014</v>
      </c>
      <c r="E955">
        <v>71</v>
      </c>
      <c r="F955" t="s">
        <v>16</v>
      </c>
      <c r="G955">
        <v>11</v>
      </c>
      <c r="H955">
        <v>4</v>
      </c>
    </row>
    <row r="956" spans="1:8">
      <c r="A956">
        <v>955</v>
      </c>
      <c r="B956" t="s">
        <v>11</v>
      </c>
      <c r="C956">
        <v>25</v>
      </c>
      <c r="D956">
        <v>111379</v>
      </c>
      <c r="E956">
        <v>93</v>
      </c>
      <c r="F956" t="s">
        <v>14</v>
      </c>
      <c r="G956">
        <v>0</v>
      </c>
      <c r="H956">
        <v>2</v>
      </c>
    </row>
    <row r="957" spans="1:8">
      <c r="A957">
        <v>956</v>
      </c>
      <c r="B957" t="s">
        <v>8</v>
      </c>
      <c r="C957">
        <v>5</v>
      </c>
      <c r="D957">
        <v>83704</v>
      </c>
      <c r="E957">
        <v>82</v>
      </c>
      <c r="F957" t="s">
        <v>13</v>
      </c>
      <c r="G957">
        <v>1</v>
      </c>
      <c r="H957">
        <v>1</v>
      </c>
    </row>
    <row r="958" spans="1:8">
      <c r="A958">
        <v>957</v>
      </c>
      <c r="B958" t="s">
        <v>11</v>
      </c>
      <c r="C958">
        <v>55</v>
      </c>
      <c r="D958">
        <v>90558</v>
      </c>
      <c r="E958">
        <v>49</v>
      </c>
      <c r="F958" t="s">
        <v>9</v>
      </c>
      <c r="G958">
        <v>8</v>
      </c>
      <c r="H958">
        <v>2</v>
      </c>
    </row>
    <row r="959" spans="1:8">
      <c r="A959">
        <v>958</v>
      </c>
      <c r="B959" t="s">
        <v>8</v>
      </c>
      <c r="C959">
        <v>12</v>
      </c>
      <c r="D959">
        <v>187343</v>
      </c>
      <c r="E959">
        <v>14</v>
      </c>
      <c r="F959" t="s">
        <v>9</v>
      </c>
      <c r="G959">
        <v>6</v>
      </c>
      <c r="H959">
        <v>3</v>
      </c>
    </row>
    <row r="960" spans="1:8">
      <c r="A960">
        <v>959</v>
      </c>
      <c r="B960" t="s">
        <v>11</v>
      </c>
      <c r="C960">
        <v>81</v>
      </c>
      <c r="D960">
        <v>111174</v>
      </c>
      <c r="E960">
        <v>48</v>
      </c>
      <c r="F960" t="s">
        <v>13</v>
      </c>
      <c r="G960">
        <v>9</v>
      </c>
      <c r="H960">
        <v>6</v>
      </c>
    </row>
    <row r="961" spans="1:8">
      <c r="A961">
        <v>960</v>
      </c>
      <c r="B961" t="s">
        <v>8</v>
      </c>
      <c r="C961">
        <v>87</v>
      </c>
      <c r="D961">
        <v>64461</v>
      </c>
      <c r="E961">
        <v>63</v>
      </c>
      <c r="F961" t="s">
        <v>10</v>
      </c>
      <c r="G961">
        <v>4</v>
      </c>
      <c r="H961">
        <v>4</v>
      </c>
    </row>
    <row r="962" spans="1:8">
      <c r="A962">
        <v>961</v>
      </c>
      <c r="B962" t="s">
        <v>8</v>
      </c>
      <c r="C962">
        <v>12</v>
      </c>
      <c r="D962">
        <v>109618</v>
      </c>
      <c r="E962">
        <v>97</v>
      </c>
      <c r="F962" t="s">
        <v>14</v>
      </c>
      <c r="G962">
        <v>7</v>
      </c>
      <c r="H962">
        <v>3</v>
      </c>
    </row>
    <row r="963" spans="1:8">
      <c r="A963">
        <v>962</v>
      </c>
      <c r="B963" t="s">
        <v>8</v>
      </c>
      <c r="C963">
        <v>91</v>
      </c>
      <c r="D963">
        <v>189357</v>
      </c>
      <c r="E963">
        <v>4</v>
      </c>
      <c r="F963" t="s">
        <v>12</v>
      </c>
      <c r="G963">
        <v>7</v>
      </c>
      <c r="H963">
        <v>1</v>
      </c>
    </row>
    <row r="964" spans="1:8">
      <c r="A964">
        <v>963</v>
      </c>
      <c r="B964" t="s">
        <v>11</v>
      </c>
      <c r="C964">
        <v>63</v>
      </c>
      <c r="D964">
        <v>120955</v>
      </c>
      <c r="E964">
        <v>79</v>
      </c>
      <c r="F964" t="s">
        <v>14</v>
      </c>
      <c r="G964">
        <v>6</v>
      </c>
      <c r="H964">
        <v>1</v>
      </c>
    </row>
    <row r="965" spans="1:8">
      <c r="A965">
        <v>964</v>
      </c>
      <c r="B965" t="s">
        <v>11</v>
      </c>
      <c r="C965">
        <v>97</v>
      </c>
      <c r="D965">
        <v>168898</v>
      </c>
      <c r="E965">
        <v>54</v>
      </c>
      <c r="F965" t="s">
        <v>17</v>
      </c>
      <c r="G965">
        <v>8</v>
      </c>
      <c r="H965">
        <v>7</v>
      </c>
    </row>
    <row r="966" spans="1:8">
      <c r="A966">
        <v>965</v>
      </c>
      <c r="B966" t="s">
        <v>8</v>
      </c>
      <c r="C966">
        <v>89</v>
      </c>
      <c r="D966">
        <v>130431</v>
      </c>
      <c r="E966">
        <v>52</v>
      </c>
      <c r="F966" t="s">
        <v>9</v>
      </c>
      <c r="G966">
        <v>6</v>
      </c>
      <c r="H966">
        <v>3</v>
      </c>
    </row>
    <row r="967" spans="1:8">
      <c r="A967">
        <v>966</v>
      </c>
      <c r="B967" t="s">
        <v>8</v>
      </c>
      <c r="C967">
        <v>59</v>
      </c>
      <c r="D967">
        <v>161091</v>
      </c>
      <c r="E967">
        <v>56</v>
      </c>
      <c r="F967" t="s">
        <v>10</v>
      </c>
      <c r="G967">
        <v>9</v>
      </c>
      <c r="H967">
        <v>1</v>
      </c>
    </row>
    <row r="968" spans="1:8">
      <c r="A968">
        <v>967</v>
      </c>
      <c r="B968" t="s">
        <v>11</v>
      </c>
      <c r="C968">
        <v>26</v>
      </c>
      <c r="D968">
        <v>69988</v>
      </c>
      <c r="E968">
        <v>2</v>
      </c>
      <c r="F968" t="s">
        <v>17</v>
      </c>
      <c r="G968">
        <v>5</v>
      </c>
      <c r="H968">
        <v>4</v>
      </c>
    </row>
    <row r="969" spans="1:8">
      <c r="A969">
        <v>968</v>
      </c>
      <c r="B969" t="s">
        <v>11</v>
      </c>
      <c r="C969">
        <v>5</v>
      </c>
      <c r="D969">
        <v>169702</v>
      </c>
      <c r="E969">
        <v>98</v>
      </c>
      <c r="F969" t="s">
        <v>16</v>
      </c>
      <c r="G969">
        <v>5</v>
      </c>
      <c r="H969">
        <v>1</v>
      </c>
    </row>
    <row r="970" spans="1:8">
      <c r="A970">
        <v>969</v>
      </c>
      <c r="B970" t="s">
        <v>8</v>
      </c>
      <c r="C970">
        <v>32</v>
      </c>
      <c r="D970">
        <v>186897</v>
      </c>
      <c r="E970">
        <v>49</v>
      </c>
      <c r="F970" t="s">
        <v>9</v>
      </c>
      <c r="G970">
        <v>1</v>
      </c>
      <c r="H970">
        <v>7</v>
      </c>
    </row>
    <row r="971" spans="1:8">
      <c r="A971">
        <v>970</v>
      </c>
      <c r="B971" t="s">
        <v>11</v>
      </c>
      <c r="C971">
        <v>98</v>
      </c>
      <c r="D971">
        <v>109061</v>
      </c>
      <c r="E971">
        <v>41</v>
      </c>
      <c r="F971" t="s">
        <v>10</v>
      </c>
      <c r="G971">
        <v>6</v>
      </c>
      <c r="H971">
        <v>1</v>
      </c>
    </row>
    <row r="972" spans="1:8">
      <c r="A972">
        <v>971</v>
      </c>
      <c r="B972" t="s">
        <v>8</v>
      </c>
      <c r="C972">
        <v>31</v>
      </c>
      <c r="D972">
        <v>188620</v>
      </c>
      <c r="E972">
        <v>30</v>
      </c>
      <c r="F972" t="s">
        <v>14</v>
      </c>
      <c r="G972">
        <v>3</v>
      </c>
      <c r="H972">
        <v>6</v>
      </c>
    </row>
    <row r="973" spans="1:8">
      <c r="A973">
        <v>972</v>
      </c>
      <c r="B973" t="s">
        <v>11</v>
      </c>
      <c r="C973">
        <v>59</v>
      </c>
      <c r="D973">
        <v>108675</v>
      </c>
      <c r="E973">
        <v>57</v>
      </c>
      <c r="F973" t="s">
        <v>14</v>
      </c>
      <c r="G973">
        <v>4</v>
      </c>
      <c r="H973">
        <v>5</v>
      </c>
    </row>
    <row r="974" spans="1:8">
      <c r="A974">
        <v>973</v>
      </c>
      <c r="B974" t="s">
        <v>11</v>
      </c>
      <c r="C974">
        <v>80</v>
      </c>
      <c r="D974">
        <v>177601</v>
      </c>
      <c r="E974">
        <v>34</v>
      </c>
      <c r="F974" t="s">
        <v>13</v>
      </c>
      <c r="G974">
        <v>0</v>
      </c>
      <c r="H974">
        <v>2</v>
      </c>
    </row>
    <row r="975" spans="1:8">
      <c r="A975">
        <v>974</v>
      </c>
      <c r="B975" t="s">
        <v>11</v>
      </c>
      <c r="C975">
        <v>12</v>
      </c>
      <c r="D975">
        <v>87365</v>
      </c>
      <c r="E975">
        <v>3</v>
      </c>
      <c r="F975" t="s">
        <v>18</v>
      </c>
      <c r="G975">
        <v>1</v>
      </c>
      <c r="H975">
        <v>2</v>
      </c>
    </row>
    <row r="976" spans="1:8">
      <c r="A976">
        <v>975</v>
      </c>
      <c r="B976" t="s">
        <v>8</v>
      </c>
      <c r="C976">
        <v>80</v>
      </c>
      <c r="D976">
        <v>95929</v>
      </c>
      <c r="E976">
        <v>23</v>
      </c>
      <c r="F976" t="s">
        <v>10</v>
      </c>
      <c r="G976">
        <v>0</v>
      </c>
      <c r="H976">
        <v>2</v>
      </c>
    </row>
    <row r="977" spans="1:8">
      <c r="A977">
        <v>976</v>
      </c>
      <c r="B977" t="s">
        <v>8</v>
      </c>
      <c r="C977">
        <v>59</v>
      </c>
      <c r="D977">
        <v>97185</v>
      </c>
      <c r="E977">
        <v>87</v>
      </c>
      <c r="F977" t="s">
        <v>13</v>
      </c>
      <c r="G977">
        <v>0</v>
      </c>
      <c r="H977">
        <v>5</v>
      </c>
    </row>
    <row r="978" spans="1:8">
      <c r="A978">
        <v>977</v>
      </c>
      <c r="B978" t="s">
        <v>11</v>
      </c>
      <c r="C978">
        <v>56</v>
      </c>
      <c r="D978">
        <v>103838</v>
      </c>
      <c r="E978">
        <v>17</v>
      </c>
      <c r="F978" t="s">
        <v>14</v>
      </c>
      <c r="G978">
        <v>1</v>
      </c>
      <c r="H978">
        <v>2</v>
      </c>
    </row>
    <row r="979" spans="1:8">
      <c r="A979">
        <v>978</v>
      </c>
      <c r="B979" t="s">
        <v>8</v>
      </c>
      <c r="C979">
        <v>18</v>
      </c>
      <c r="D979">
        <v>129260</v>
      </c>
      <c r="E979">
        <v>11</v>
      </c>
      <c r="F979" t="s">
        <v>16</v>
      </c>
      <c r="G979">
        <v>1</v>
      </c>
      <c r="H979">
        <v>3</v>
      </c>
    </row>
    <row r="980" spans="1:8">
      <c r="A980">
        <v>979</v>
      </c>
      <c r="B980" t="s">
        <v>11</v>
      </c>
      <c r="C980">
        <v>66</v>
      </c>
      <c r="D980">
        <v>151184</v>
      </c>
      <c r="E980">
        <v>19</v>
      </c>
      <c r="F980" t="s">
        <v>14</v>
      </c>
      <c r="G980">
        <v>1</v>
      </c>
      <c r="H980">
        <v>4</v>
      </c>
    </row>
    <row r="981" spans="1:8">
      <c r="A981">
        <v>980</v>
      </c>
      <c r="B981" t="s">
        <v>11</v>
      </c>
      <c r="C981">
        <v>67</v>
      </c>
      <c r="D981">
        <v>177512</v>
      </c>
      <c r="E981">
        <v>62</v>
      </c>
      <c r="F981" t="s">
        <v>10</v>
      </c>
      <c r="G981">
        <v>2</v>
      </c>
      <c r="H981">
        <v>3</v>
      </c>
    </row>
    <row r="982" spans="1:8">
      <c r="A982">
        <v>981</v>
      </c>
      <c r="B982" t="s">
        <v>8</v>
      </c>
      <c r="C982">
        <v>39</v>
      </c>
      <c r="D982">
        <v>140099</v>
      </c>
      <c r="E982">
        <v>51</v>
      </c>
      <c r="F982" t="s">
        <v>12</v>
      </c>
      <c r="G982">
        <v>0</v>
      </c>
      <c r="H982">
        <v>7</v>
      </c>
    </row>
    <row r="983" spans="1:8">
      <c r="A983">
        <v>982</v>
      </c>
      <c r="B983" t="s">
        <v>8</v>
      </c>
      <c r="C983">
        <v>23</v>
      </c>
      <c r="D983">
        <v>67535</v>
      </c>
      <c r="E983">
        <v>97</v>
      </c>
      <c r="F983" t="s">
        <v>9</v>
      </c>
      <c r="G983">
        <v>7</v>
      </c>
      <c r="H983">
        <v>6</v>
      </c>
    </row>
    <row r="984" spans="1:8">
      <c r="A984">
        <v>983</v>
      </c>
      <c r="B984" t="s">
        <v>8</v>
      </c>
      <c r="C984">
        <v>47</v>
      </c>
      <c r="D984">
        <v>133236</v>
      </c>
      <c r="E984">
        <v>61</v>
      </c>
      <c r="F984" t="s">
        <v>15</v>
      </c>
      <c r="G984">
        <v>1</v>
      </c>
      <c r="H984">
        <v>6</v>
      </c>
    </row>
    <row r="985" spans="1:8">
      <c r="A985">
        <v>984</v>
      </c>
      <c r="B985" t="s">
        <v>11</v>
      </c>
      <c r="C985">
        <v>41</v>
      </c>
      <c r="D985">
        <v>87975</v>
      </c>
      <c r="E985">
        <v>5</v>
      </c>
      <c r="F985" t="s">
        <v>17</v>
      </c>
      <c r="G985">
        <v>9</v>
      </c>
      <c r="H985">
        <v>7</v>
      </c>
    </row>
    <row r="986" spans="1:8">
      <c r="A986">
        <v>985</v>
      </c>
      <c r="B986" t="s">
        <v>11</v>
      </c>
      <c r="C986">
        <v>40</v>
      </c>
      <c r="D986">
        <v>164350</v>
      </c>
      <c r="E986">
        <v>23</v>
      </c>
      <c r="F986" t="s">
        <v>9</v>
      </c>
      <c r="G986">
        <v>0</v>
      </c>
      <c r="H986">
        <v>5</v>
      </c>
    </row>
    <row r="987" spans="1:8">
      <c r="A987">
        <v>986</v>
      </c>
      <c r="B987" t="s">
        <v>8</v>
      </c>
      <c r="C987">
        <v>36</v>
      </c>
      <c r="D987">
        <v>55109</v>
      </c>
      <c r="E987">
        <v>53</v>
      </c>
      <c r="F987" t="s">
        <v>14</v>
      </c>
      <c r="G987">
        <v>8</v>
      </c>
      <c r="H987">
        <v>3</v>
      </c>
    </row>
    <row r="988" spans="1:8">
      <c r="A988">
        <v>987</v>
      </c>
      <c r="B988" t="s">
        <v>11</v>
      </c>
      <c r="C988">
        <v>12</v>
      </c>
      <c r="D988">
        <v>67613</v>
      </c>
      <c r="E988">
        <v>40</v>
      </c>
      <c r="F988" t="s">
        <v>13</v>
      </c>
      <c r="G988">
        <v>1</v>
      </c>
      <c r="H988">
        <v>2</v>
      </c>
    </row>
    <row r="989" spans="1:8">
      <c r="A989">
        <v>988</v>
      </c>
      <c r="B989" t="s">
        <v>11</v>
      </c>
      <c r="C989">
        <v>60</v>
      </c>
      <c r="D989">
        <v>185306</v>
      </c>
      <c r="E989">
        <v>47</v>
      </c>
      <c r="F989" t="s">
        <v>13</v>
      </c>
      <c r="G989">
        <v>0</v>
      </c>
      <c r="H989">
        <v>2</v>
      </c>
    </row>
    <row r="990" spans="1:8">
      <c r="A990">
        <v>989</v>
      </c>
      <c r="B990" t="s">
        <v>11</v>
      </c>
      <c r="C990">
        <v>24</v>
      </c>
      <c r="D990">
        <v>154787</v>
      </c>
      <c r="E990">
        <v>84</v>
      </c>
      <c r="F990" t="s">
        <v>15</v>
      </c>
      <c r="G990">
        <v>3</v>
      </c>
      <c r="H990">
        <v>5</v>
      </c>
    </row>
    <row r="991" spans="1:8">
      <c r="A991">
        <v>990</v>
      </c>
      <c r="B991" t="s">
        <v>11</v>
      </c>
      <c r="C991">
        <v>17</v>
      </c>
      <c r="D991">
        <v>109759</v>
      </c>
      <c r="E991">
        <v>96</v>
      </c>
      <c r="F991" t="s">
        <v>14</v>
      </c>
      <c r="G991">
        <v>9</v>
      </c>
      <c r="H991">
        <v>3</v>
      </c>
    </row>
    <row r="992" spans="1:8">
      <c r="A992">
        <v>991</v>
      </c>
      <c r="B992" t="s">
        <v>11</v>
      </c>
      <c r="C992">
        <v>92</v>
      </c>
      <c r="D992">
        <v>114571</v>
      </c>
      <c r="E992">
        <v>51</v>
      </c>
      <c r="F992" t="s">
        <v>15</v>
      </c>
      <c r="G992">
        <v>1</v>
      </c>
      <c r="H992">
        <v>3</v>
      </c>
    </row>
    <row r="993" spans="1:8">
      <c r="A993">
        <v>992</v>
      </c>
      <c r="B993" t="s">
        <v>8</v>
      </c>
      <c r="C993">
        <v>32</v>
      </c>
      <c r="D993">
        <v>130697</v>
      </c>
      <c r="E993">
        <v>93</v>
      </c>
      <c r="F993" t="s">
        <v>14</v>
      </c>
      <c r="G993">
        <v>1</v>
      </c>
      <c r="H993">
        <v>2</v>
      </c>
    </row>
    <row r="994" spans="1:8">
      <c r="A994">
        <v>993</v>
      </c>
      <c r="B994" t="s">
        <v>8</v>
      </c>
      <c r="C994">
        <v>39</v>
      </c>
      <c r="D994">
        <v>115916</v>
      </c>
      <c r="E994">
        <v>24</v>
      </c>
      <c r="F994" t="s">
        <v>16</v>
      </c>
      <c r="G994">
        <v>13</v>
      </c>
      <c r="H994">
        <v>6</v>
      </c>
    </row>
    <row r="995" spans="1:8">
      <c r="A995">
        <v>994</v>
      </c>
      <c r="B995" t="s">
        <v>11</v>
      </c>
      <c r="C995">
        <v>50</v>
      </c>
      <c r="D995">
        <v>69814</v>
      </c>
      <c r="E995">
        <v>53</v>
      </c>
      <c r="F995" t="s">
        <v>14</v>
      </c>
      <c r="G995">
        <v>9</v>
      </c>
      <c r="H995">
        <v>2</v>
      </c>
    </row>
    <row r="996" spans="1:8">
      <c r="A996">
        <v>995</v>
      </c>
      <c r="B996" t="s">
        <v>11</v>
      </c>
      <c r="C996">
        <v>85</v>
      </c>
      <c r="D996">
        <v>118161</v>
      </c>
      <c r="E996">
        <v>74</v>
      </c>
      <c r="F996" t="s">
        <v>10</v>
      </c>
      <c r="G996">
        <v>0</v>
      </c>
      <c r="H996">
        <v>4</v>
      </c>
    </row>
    <row r="997" spans="1:8">
      <c r="A997">
        <v>996</v>
      </c>
      <c r="B997" t="s">
        <v>8</v>
      </c>
      <c r="C997">
        <v>65</v>
      </c>
      <c r="D997">
        <v>56583</v>
      </c>
      <c r="E997">
        <v>65</v>
      </c>
      <c r="F997" t="s">
        <v>9</v>
      </c>
      <c r="G997">
        <v>2</v>
      </c>
      <c r="H997">
        <v>3</v>
      </c>
    </row>
    <row r="998" spans="1:8">
      <c r="A998">
        <v>997</v>
      </c>
      <c r="B998" t="s">
        <v>11</v>
      </c>
      <c r="C998">
        <v>17</v>
      </c>
      <c r="D998">
        <v>185843</v>
      </c>
      <c r="E998">
        <v>36</v>
      </c>
      <c r="F998" t="s">
        <v>14</v>
      </c>
      <c r="G998">
        <v>4</v>
      </c>
      <c r="H998">
        <v>3</v>
      </c>
    </row>
    <row r="999" spans="1:8">
      <c r="A999">
        <v>998</v>
      </c>
      <c r="B999" t="s">
        <v>11</v>
      </c>
      <c r="C999">
        <v>31</v>
      </c>
      <c r="D999">
        <v>171825</v>
      </c>
      <c r="E999">
        <v>22</v>
      </c>
      <c r="F999" t="s">
        <v>13</v>
      </c>
      <c r="G999">
        <v>10</v>
      </c>
      <c r="H999">
        <v>4</v>
      </c>
    </row>
    <row r="1000" spans="1:8">
      <c r="A1000">
        <v>999</v>
      </c>
      <c r="B1000" t="s">
        <v>8</v>
      </c>
      <c r="C1000">
        <v>24</v>
      </c>
      <c r="D1000">
        <v>77976</v>
      </c>
      <c r="E1000">
        <v>95</v>
      </c>
      <c r="F1000" t="s">
        <v>14</v>
      </c>
      <c r="G1000">
        <v>11</v>
      </c>
      <c r="H1000">
        <v>3</v>
      </c>
    </row>
    <row r="1001" spans="1:8">
      <c r="A1001">
        <v>1000</v>
      </c>
      <c r="B1001" t="s">
        <v>8</v>
      </c>
      <c r="C1001">
        <v>97</v>
      </c>
      <c r="D1001">
        <v>66312</v>
      </c>
      <c r="E1001">
        <v>75</v>
      </c>
      <c r="F1001" t="s">
        <v>13</v>
      </c>
      <c r="G1001">
        <v>0</v>
      </c>
      <c r="H1001">
        <v>1</v>
      </c>
    </row>
    <row r="1002" spans="1:8">
      <c r="A1002">
        <v>1001</v>
      </c>
      <c r="B1002" t="s">
        <v>11</v>
      </c>
      <c r="C1002">
        <v>92</v>
      </c>
      <c r="D1002">
        <v>81839</v>
      </c>
      <c r="E1002">
        <v>11</v>
      </c>
      <c r="F1002" t="s">
        <v>13</v>
      </c>
      <c r="G1002">
        <v>0</v>
      </c>
      <c r="H1002">
        <v>4</v>
      </c>
    </row>
    <row r="1003" spans="1:8">
      <c r="A1003">
        <v>1002</v>
      </c>
      <c r="B1003" t="s">
        <v>11</v>
      </c>
      <c r="C1003">
        <v>80</v>
      </c>
      <c r="D1003">
        <v>55712</v>
      </c>
      <c r="E1003">
        <v>5</v>
      </c>
      <c r="F1003" t="s">
        <v>14</v>
      </c>
      <c r="G1003">
        <v>5</v>
      </c>
      <c r="H1003">
        <v>6</v>
      </c>
    </row>
    <row r="1004" spans="1:8">
      <c r="A1004">
        <v>1003</v>
      </c>
      <c r="B1004" t="s">
        <v>8</v>
      </c>
      <c r="C1004">
        <v>33</v>
      </c>
      <c r="D1004">
        <v>158335</v>
      </c>
      <c r="E1004">
        <v>45</v>
      </c>
      <c r="F1004" t="s">
        <v>9</v>
      </c>
      <c r="G1004">
        <v>2</v>
      </c>
      <c r="H1004">
        <v>5</v>
      </c>
    </row>
    <row r="1005" spans="1:8">
      <c r="A1005">
        <v>1004</v>
      </c>
      <c r="B1005" t="s">
        <v>8</v>
      </c>
      <c r="C1005">
        <v>8</v>
      </c>
      <c r="D1005">
        <v>74253</v>
      </c>
      <c r="E1005">
        <v>45</v>
      </c>
      <c r="F1005" t="s">
        <v>12</v>
      </c>
      <c r="G1005">
        <v>1</v>
      </c>
      <c r="H1005">
        <v>6</v>
      </c>
    </row>
    <row r="1006" spans="1:8">
      <c r="A1006">
        <v>1005</v>
      </c>
      <c r="B1006" t="s">
        <v>8</v>
      </c>
      <c r="C1006">
        <v>67</v>
      </c>
      <c r="D1006">
        <v>119625</v>
      </c>
      <c r="E1006">
        <v>3</v>
      </c>
      <c r="F1006" t="s">
        <v>9</v>
      </c>
      <c r="G1006">
        <v>4</v>
      </c>
      <c r="H1006">
        <v>4</v>
      </c>
    </row>
    <row r="1007" spans="1:8">
      <c r="A1007">
        <v>1006</v>
      </c>
      <c r="B1007" t="s">
        <v>11</v>
      </c>
      <c r="C1007">
        <v>8</v>
      </c>
      <c r="D1007">
        <v>129743</v>
      </c>
      <c r="E1007">
        <v>6</v>
      </c>
      <c r="F1007" t="s">
        <v>14</v>
      </c>
      <c r="G1007">
        <v>0</v>
      </c>
      <c r="H1007">
        <v>2</v>
      </c>
    </row>
    <row r="1008" spans="1:8">
      <c r="A1008">
        <v>1007</v>
      </c>
      <c r="B1008" t="s">
        <v>11</v>
      </c>
      <c r="C1008">
        <v>61</v>
      </c>
      <c r="D1008">
        <v>101007</v>
      </c>
      <c r="E1008">
        <v>60</v>
      </c>
      <c r="F1008" t="s">
        <v>12</v>
      </c>
      <c r="G1008">
        <v>0</v>
      </c>
      <c r="H1008">
        <v>6</v>
      </c>
    </row>
    <row r="1009" spans="1:8">
      <c r="A1009">
        <v>1008</v>
      </c>
      <c r="B1009" t="s">
        <v>8</v>
      </c>
      <c r="C1009">
        <v>83</v>
      </c>
      <c r="D1009">
        <v>87529</v>
      </c>
      <c r="E1009">
        <v>49</v>
      </c>
      <c r="F1009" t="s">
        <v>14</v>
      </c>
      <c r="G1009">
        <v>9</v>
      </c>
      <c r="H1009">
        <v>7</v>
      </c>
    </row>
    <row r="1010" spans="1:8">
      <c r="A1010">
        <v>1009</v>
      </c>
      <c r="B1010" t="s">
        <v>8</v>
      </c>
      <c r="C1010">
        <v>8</v>
      </c>
      <c r="D1010">
        <v>151648</v>
      </c>
      <c r="E1010">
        <v>98</v>
      </c>
      <c r="F1010" t="s">
        <v>9</v>
      </c>
      <c r="G1010">
        <v>8</v>
      </c>
      <c r="H1010">
        <v>6</v>
      </c>
    </row>
    <row r="1011" spans="1:8">
      <c r="A1011">
        <v>1010</v>
      </c>
      <c r="B1011" t="s">
        <v>8</v>
      </c>
      <c r="C1011">
        <v>69</v>
      </c>
      <c r="D1011">
        <v>61637</v>
      </c>
      <c r="E1011">
        <v>67</v>
      </c>
      <c r="G1011">
        <v>0</v>
      </c>
      <c r="H1011">
        <v>5</v>
      </c>
    </row>
    <row r="1012" spans="1:8">
      <c r="A1012">
        <v>1011</v>
      </c>
      <c r="B1012" t="s">
        <v>8</v>
      </c>
      <c r="C1012">
        <v>14</v>
      </c>
      <c r="D1012">
        <v>164659</v>
      </c>
      <c r="E1012">
        <v>59</v>
      </c>
      <c r="F1012" t="s">
        <v>13</v>
      </c>
      <c r="G1012">
        <v>1</v>
      </c>
      <c r="H1012">
        <v>6</v>
      </c>
    </row>
    <row r="1013" spans="1:8">
      <c r="A1013">
        <v>1012</v>
      </c>
      <c r="B1013" t="s">
        <v>11</v>
      </c>
      <c r="C1013">
        <v>80</v>
      </c>
      <c r="D1013">
        <v>125623</v>
      </c>
      <c r="E1013">
        <v>62</v>
      </c>
      <c r="F1013" t="s">
        <v>15</v>
      </c>
      <c r="G1013">
        <v>0</v>
      </c>
      <c r="H1013">
        <v>4</v>
      </c>
    </row>
    <row r="1014" spans="1:8">
      <c r="A1014">
        <v>1013</v>
      </c>
      <c r="B1014" t="s">
        <v>11</v>
      </c>
      <c r="C1014">
        <v>85</v>
      </c>
      <c r="D1014">
        <v>104054</v>
      </c>
      <c r="E1014">
        <v>22</v>
      </c>
      <c r="F1014" t="s">
        <v>14</v>
      </c>
      <c r="G1014">
        <v>8</v>
      </c>
      <c r="H1014">
        <v>4</v>
      </c>
    </row>
    <row r="1015" spans="1:8">
      <c r="A1015">
        <v>1014</v>
      </c>
      <c r="B1015" t="s">
        <v>8</v>
      </c>
      <c r="C1015">
        <v>88</v>
      </c>
      <c r="D1015">
        <v>83535</v>
      </c>
      <c r="E1015">
        <v>56</v>
      </c>
      <c r="F1015" t="s">
        <v>14</v>
      </c>
      <c r="G1015">
        <v>1</v>
      </c>
      <c r="H1015">
        <v>5</v>
      </c>
    </row>
    <row r="1016" spans="1:8">
      <c r="A1016">
        <v>1015</v>
      </c>
      <c r="B1016" t="s">
        <v>11</v>
      </c>
      <c r="C1016">
        <v>76</v>
      </c>
      <c r="D1016">
        <v>166245</v>
      </c>
      <c r="E1016">
        <v>13</v>
      </c>
      <c r="F1016" t="s">
        <v>15</v>
      </c>
      <c r="G1016">
        <v>7</v>
      </c>
      <c r="H1016">
        <v>3</v>
      </c>
    </row>
    <row r="1017" spans="1:8">
      <c r="A1017">
        <v>1016</v>
      </c>
      <c r="B1017" t="s">
        <v>11</v>
      </c>
      <c r="C1017">
        <v>32</v>
      </c>
      <c r="D1017">
        <v>100890</v>
      </c>
      <c r="E1017">
        <v>60</v>
      </c>
      <c r="F1017" t="s">
        <v>13</v>
      </c>
      <c r="G1017">
        <v>4</v>
      </c>
      <c r="H1017">
        <v>4</v>
      </c>
    </row>
    <row r="1018" spans="1:8">
      <c r="A1018">
        <v>1017</v>
      </c>
      <c r="B1018" t="s">
        <v>11</v>
      </c>
      <c r="C1018">
        <v>99</v>
      </c>
      <c r="D1018">
        <v>55972</v>
      </c>
      <c r="E1018">
        <v>83</v>
      </c>
      <c r="F1018" t="s">
        <v>13</v>
      </c>
      <c r="G1018">
        <v>1</v>
      </c>
      <c r="H1018">
        <v>7</v>
      </c>
    </row>
    <row r="1019" spans="1:8">
      <c r="A1019">
        <v>1018</v>
      </c>
      <c r="B1019" t="s">
        <v>11</v>
      </c>
      <c r="C1019">
        <v>85</v>
      </c>
      <c r="D1019">
        <v>134282</v>
      </c>
      <c r="E1019">
        <v>39</v>
      </c>
      <c r="F1019" t="s">
        <v>14</v>
      </c>
      <c r="G1019">
        <v>2</v>
      </c>
      <c r="H1019">
        <v>5</v>
      </c>
    </row>
    <row r="1020" spans="1:8">
      <c r="A1020">
        <v>1019</v>
      </c>
      <c r="B1020" t="s">
        <v>11</v>
      </c>
      <c r="C1020">
        <v>25</v>
      </c>
      <c r="D1020">
        <v>106669</v>
      </c>
      <c r="E1020">
        <v>22</v>
      </c>
      <c r="F1020" t="s">
        <v>12</v>
      </c>
      <c r="G1020">
        <v>1</v>
      </c>
      <c r="H1020">
        <v>7</v>
      </c>
    </row>
    <row r="1021" spans="1:8">
      <c r="A1021">
        <v>1020</v>
      </c>
      <c r="B1021" t="s">
        <v>11</v>
      </c>
      <c r="C1021">
        <v>99</v>
      </c>
      <c r="D1021">
        <v>145777</v>
      </c>
      <c r="E1021">
        <v>94</v>
      </c>
      <c r="F1021" t="s">
        <v>15</v>
      </c>
      <c r="G1021">
        <v>1</v>
      </c>
      <c r="H1021">
        <v>5</v>
      </c>
    </row>
    <row r="1022" spans="1:8">
      <c r="A1022">
        <v>1021</v>
      </c>
      <c r="B1022" t="s">
        <v>8</v>
      </c>
      <c r="C1022">
        <v>41</v>
      </c>
      <c r="D1022">
        <v>119259</v>
      </c>
      <c r="E1022">
        <v>91</v>
      </c>
      <c r="F1022" t="s">
        <v>9</v>
      </c>
      <c r="G1022">
        <v>1</v>
      </c>
      <c r="H1022">
        <v>5</v>
      </c>
    </row>
    <row r="1023" spans="1:8">
      <c r="A1023">
        <v>1022</v>
      </c>
      <c r="B1023" t="s">
        <v>11</v>
      </c>
      <c r="C1023">
        <v>1</v>
      </c>
      <c r="D1023">
        <v>150174</v>
      </c>
      <c r="E1023">
        <v>59</v>
      </c>
      <c r="F1023" t="s">
        <v>14</v>
      </c>
      <c r="G1023">
        <v>2</v>
      </c>
      <c r="H1023">
        <v>2</v>
      </c>
    </row>
    <row r="1024" spans="1:8">
      <c r="A1024">
        <v>1023</v>
      </c>
      <c r="B1024" t="s">
        <v>11</v>
      </c>
      <c r="C1024">
        <v>45</v>
      </c>
      <c r="D1024">
        <v>55472</v>
      </c>
      <c r="E1024">
        <v>51</v>
      </c>
      <c r="F1024" t="s">
        <v>9</v>
      </c>
      <c r="G1024">
        <v>1</v>
      </c>
      <c r="H1024">
        <v>3</v>
      </c>
    </row>
    <row r="1025" spans="1:8">
      <c r="A1025">
        <v>1024</v>
      </c>
      <c r="B1025" t="s">
        <v>8</v>
      </c>
      <c r="C1025">
        <v>55</v>
      </c>
      <c r="D1025">
        <v>99423</v>
      </c>
      <c r="E1025">
        <v>82</v>
      </c>
      <c r="F1025" t="s">
        <v>9</v>
      </c>
      <c r="G1025">
        <v>0</v>
      </c>
      <c r="H1025">
        <v>5</v>
      </c>
    </row>
    <row r="1026" spans="1:8">
      <c r="A1026">
        <v>1025</v>
      </c>
      <c r="B1026" t="s">
        <v>11</v>
      </c>
      <c r="C1026">
        <v>20</v>
      </c>
      <c r="D1026">
        <v>146221</v>
      </c>
      <c r="E1026">
        <v>25</v>
      </c>
      <c r="F1026" t="s">
        <v>18</v>
      </c>
      <c r="G1026">
        <v>0</v>
      </c>
      <c r="H1026">
        <v>3</v>
      </c>
    </row>
    <row r="1027" spans="1:8">
      <c r="A1027">
        <v>1026</v>
      </c>
      <c r="B1027" t="s">
        <v>11</v>
      </c>
      <c r="C1027">
        <v>33</v>
      </c>
      <c r="D1027">
        <v>84238</v>
      </c>
      <c r="E1027">
        <v>31</v>
      </c>
      <c r="F1027" t="s">
        <v>14</v>
      </c>
      <c r="G1027">
        <v>1</v>
      </c>
      <c r="H1027">
        <v>2</v>
      </c>
    </row>
    <row r="1028" spans="1:8">
      <c r="A1028">
        <v>1027</v>
      </c>
      <c r="B1028" t="s">
        <v>8</v>
      </c>
      <c r="C1028">
        <v>92</v>
      </c>
      <c r="D1028">
        <v>57032</v>
      </c>
      <c r="E1028">
        <v>75</v>
      </c>
      <c r="F1028" t="s">
        <v>13</v>
      </c>
      <c r="G1028">
        <v>1</v>
      </c>
      <c r="H1028">
        <v>5</v>
      </c>
    </row>
    <row r="1029" spans="1:8">
      <c r="A1029">
        <v>1028</v>
      </c>
      <c r="B1029" t="s">
        <v>8</v>
      </c>
      <c r="C1029">
        <v>93</v>
      </c>
      <c r="D1029">
        <v>88811</v>
      </c>
      <c r="E1029">
        <v>52</v>
      </c>
      <c r="F1029" t="s">
        <v>10</v>
      </c>
      <c r="G1029">
        <v>0</v>
      </c>
      <c r="H1029">
        <v>4</v>
      </c>
    </row>
    <row r="1030" spans="1:8">
      <c r="A1030">
        <v>1029</v>
      </c>
      <c r="B1030" t="s">
        <v>8</v>
      </c>
      <c r="C1030">
        <v>60</v>
      </c>
      <c r="D1030">
        <v>167420</v>
      </c>
      <c r="E1030">
        <v>38</v>
      </c>
      <c r="F1030" t="s">
        <v>14</v>
      </c>
      <c r="G1030">
        <v>5</v>
      </c>
      <c r="H1030">
        <v>2</v>
      </c>
    </row>
    <row r="1031" spans="1:8">
      <c r="A1031">
        <v>1030</v>
      </c>
      <c r="B1031" t="s">
        <v>8</v>
      </c>
      <c r="C1031">
        <v>38</v>
      </c>
      <c r="D1031">
        <v>101846</v>
      </c>
      <c r="E1031">
        <v>17</v>
      </c>
      <c r="F1031" t="s">
        <v>16</v>
      </c>
      <c r="G1031">
        <v>3</v>
      </c>
      <c r="H1031">
        <v>2</v>
      </c>
    </row>
    <row r="1032" spans="1:8">
      <c r="A1032">
        <v>1031</v>
      </c>
      <c r="B1032" t="s">
        <v>8</v>
      </c>
      <c r="C1032">
        <v>15</v>
      </c>
      <c r="D1032">
        <v>114061</v>
      </c>
      <c r="E1032">
        <v>87</v>
      </c>
      <c r="F1032" t="s">
        <v>14</v>
      </c>
      <c r="G1032">
        <v>2</v>
      </c>
      <c r="H1032">
        <v>5</v>
      </c>
    </row>
    <row r="1033" spans="1:8">
      <c r="A1033">
        <v>1032</v>
      </c>
      <c r="B1033" t="s">
        <v>8</v>
      </c>
      <c r="C1033">
        <v>74</v>
      </c>
      <c r="D1033">
        <v>147449</v>
      </c>
      <c r="E1033">
        <v>16</v>
      </c>
      <c r="F1033" t="s">
        <v>14</v>
      </c>
      <c r="G1033">
        <v>1</v>
      </c>
      <c r="H1033">
        <v>5</v>
      </c>
    </row>
    <row r="1034" spans="1:8">
      <c r="A1034">
        <v>1033</v>
      </c>
      <c r="B1034" t="s">
        <v>11</v>
      </c>
      <c r="C1034">
        <v>47</v>
      </c>
      <c r="D1034">
        <v>83043</v>
      </c>
      <c r="E1034">
        <v>76</v>
      </c>
      <c r="F1034" t="s">
        <v>15</v>
      </c>
      <c r="G1034">
        <v>0</v>
      </c>
      <c r="H1034">
        <v>1</v>
      </c>
    </row>
    <row r="1035" spans="1:8">
      <c r="A1035">
        <v>1034</v>
      </c>
      <c r="B1035" t="s">
        <v>11</v>
      </c>
      <c r="C1035">
        <v>96</v>
      </c>
      <c r="D1035">
        <v>168990</v>
      </c>
      <c r="E1035">
        <v>81</v>
      </c>
      <c r="F1035" t="s">
        <v>16</v>
      </c>
      <c r="G1035">
        <v>9</v>
      </c>
      <c r="H1035">
        <v>5</v>
      </c>
    </row>
    <row r="1036" spans="1:8">
      <c r="A1036">
        <v>1035</v>
      </c>
      <c r="B1036" t="s">
        <v>8</v>
      </c>
      <c r="C1036">
        <v>97</v>
      </c>
      <c r="D1036">
        <v>73867</v>
      </c>
      <c r="E1036">
        <v>65</v>
      </c>
      <c r="F1036" t="s">
        <v>9</v>
      </c>
      <c r="G1036">
        <v>4</v>
      </c>
      <c r="H1036">
        <v>5</v>
      </c>
    </row>
    <row r="1037" spans="1:8">
      <c r="A1037">
        <v>1036</v>
      </c>
      <c r="B1037" t="s">
        <v>11</v>
      </c>
      <c r="C1037">
        <v>35</v>
      </c>
      <c r="D1037">
        <v>165772</v>
      </c>
      <c r="E1037">
        <v>51</v>
      </c>
      <c r="F1037" t="s">
        <v>9</v>
      </c>
      <c r="G1037">
        <v>1</v>
      </c>
      <c r="H1037">
        <v>4</v>
      </c>
    </row>
    <row r="1038" spans="1:8">
      <c r="A1038">
        <v>1037</v>
      </c>
      <c r="B1038" t="s">
        <v>11</v>
      </c>
      <c r="C1038">
        <v>19</v>
      </c>
      <c r="D1038">
        <v>178217</v>
      </c>
      <c r="E1038">
        <v>38</v>
      </c>
      <c r="F1038" t="s">
        <v>18</v>
      </c>
      <c r="G1038">
        <v>0</v>
      </c>
      <c r="H1038">
        <v>3</v>
      </c>
    </row>
    <row r="1039" spans="1:8">
      <c r="A1039">
        <v>1038</v>
      </c>
      <c r="B1039" t="s">
        <v>8</v>
      </c>
      <c r="C1039">
        <v>60</v>
      </c>
      <c r="D1039">
        <v>162612</v>
      </c>
      <c r="E1039">
        <v>98</v>
      </c>
      <c r="F1039" t="s">
        <v>10</v>
      </c>
      <c r="G1039">
        <v>1</v>
      </c>
      <c r="H1039">
        <v>6</v>
      </c>
    </row>
    <row r="1040" spans="1:8">
      <c r="A1040">
        <v>1039</v>
      </c>
      <c r="B1040" t="s">
        <v>8</v>
      </c>
      <c r="C1040">
        <v>37</v>
      </c>
      <c r="D1040">
        <v>99872</v>
      </c>
      <c r="E1040">
        <v>53</v>
      </c>
      <c r="F1040" t="s">
        <v>13</v>
      </c>
      <c r="G1040">
        <v>11</v>
      </c>
      <c r="H1040">
        <v>3</v>
      </c>
    </row>
    <row r="1041" spans="1:8">
      <c r="A1041">
        <v>1040</v>
      </c>
      <c r="B1041" t="s">
        <v>11</v>
      </c>
      <c r="C1041">
        <v>49</v>
      </c>
      <c r="D1041">
        <v>142566</v>
      </c>
      <c r="E1041">
        <v>77</v>
      </c>
      <c r="F1041" t="s">
        <v>14</v>
      </c>
      <c r="G1041">
        <v>1</v>
      </c>
      <c r="H1041">
        <v>7</v>
      </c>
    </row>
    <row r="1042" spans="1:8">
      <c r="A1042">
        <v>1041</v>
      </c>
      <c r="B1042" t="s">
        <v>11</v>
      </c>
      <c r="C1042">
        <v>1</v>
      </c>
      <c r="D1042">
        <v>111424</v>
      </c>
      <c r="E1042">
        <v>80</v>
      </c>
      <c r="F1042" t="s">
        <v>13</v>
      </c>
      <c r="G1042">
        <v>8</v>
      </c>
      <c r="H1042">
        <v>5</v>
      </c>
    </row>
    <row r="1043" spans="1:8">
      <c r="A1043">
        <v>1042</v>
      </c>
      <c r="B1043" t="s">
        <v>8</v>
      </c>
      <c r="C1043">
        <v>43</v>
      </c>
      <c r="D1043">
        <v>187841</v>
      </c>
      <c r="E1043">
        <v>38</v>
      </c>
      <c r="F1043" t="s">
        <v>14</v>
      </c>
      <c r="G1043">
        <v>1</v>
      </c>
      <c r="H1043">
        <v>4</v>
      </c>
    </row>
    <row r="1044" spans="1:8">
      <c r="A1044">
        <v>1043</v>
      </c>
      <c r="B1044" t="s">
        <v>11</v>
      </c>
      <c r="C1044">
        <v>46</v>
      </c>
      <c r="D1044">
        <v>171921</v>
      </c>
      <c r="E1044">
        <v>50</v>
      </c>
      <c r="F1044" t="s">
        <v>14</v>
      </c>
      <c r="G1044">
        <v>1</v>
      </c>
      <c r="H1044">
        <v>6</v>
      </c>
    </row>
    <row r="1045" spans="1:8">
      <c r="A1045">
        <v>1044</v>
      </c>
      <c r="B1045" t="s">
        <v>11</v>
      </c>
      <c r="C1045">
        <v>65</v>
      </c>
      <c r="D1045">
        <v>115299</v>
      </c>
      <c r="E1045">
        <v>87</v>
      </c>
      <c r="F1045" t="s">
        <v>14</v>
      </c>
      <c r="G1045">
        <v>6</v>
      </c>
      <c r="H1045">
        <v>3</v>
      </c>
    </row>
    <row r="1046" spans="1:8">
      <c r="A1046">
        <v>1045</v>
      </c>
      <c r="B1046" t="s">
        <v>8</v>
      </c>
      <c r="C1046">
        <v>75</v>
      </c>
      <c r="D1046">
        <v>94129</v>
      </c>
      <c r="E1046">
        <v>27</v>
      </c>
      <c r="F1046" t="s">
        <v>9</v>
      </c>
      <c r="G1046">
        <v>6</v>
      </c>
      <c r="H1046">
        <v>7</v>
      </c>
    </row>
    <row r="1047" spans="1:8">
      <c r="A1047">
        <v>1046</v>
      </c>
      <c r="B1047" t="s">
        <v>8</v>
      </c>
      <c r="C1047">
        <v>40</v>
      </c>
      <c r="D1047">
        <v>172378</v>
      </c>
      <c r="E1047">
        <v>39</v>
      </c>
      <c r="F1047" t="s">
        <v>13</v>
      </c>
      <c r="G1047">
        <v>5</v>
      </c>
      <c r="H1047">
        <v>6</v>
      </c>
    </row>
    <row r="1048" spans="1:8">
      <c r="A1048">
        <v>1047</v>
      </c>
      <c r="B1048" t="s">
        <v>8</v>
      </c>
      <c r="C1048">
        <v>28</v>
      </c>
      <c r="D1048">
        <v>146597</v>
      </c>
      <c r="E1048">
        <v>31</v>
      </c>
      <c r="F1048" t="s">
        <v>10</v>
      </c>
      <c r="G1048">
        <v>1</v>
      </c>
      <c r="H1048">
        <v>4</v>
      </c>
    </row>
    <row r="1049" spans="1:8">
      <c r="A1049">
        <v>1048</v>
      </c>
      <c r="B1049" t="s">
        <v>11</v>
      </c>
      <c r="C1049">
        <v>78</v>
      </c>
      <c r="D1049">
        <v>64057</v>
      </c>
      <c r="E1049">
        <v>44</v>
      </c>
      <c r="F1049" t="s">
        <v>16</v>
      </c>
      <c r="G1049">
        <v>0</v>
      </c>
      <c r="H1049">
        <v>3</v>
      </c>
    </row>
    <row r="1050" spans="1:8">
      <c r="A1050">
        <v>1049</v>
      </c>
      <c r="B1050" t="s">
        <v>11</v>
      </c>
      <c r="C1050">
        <v>22</v>
      </c>
      <c r="D1050">
        <v>163585</v>
      </c>
      <c r="E1050">
        <v>49</v>
      </c>
      <c r="F1050" t="s">
        <v>14</v>
      </c>
      <c r="G1050">
        <v>9</v>
      </c>
      <c r="H1050">
        <v>5</v>
      </c>
    </row>
    <row r="1051" spans="1:8">
      <c r="A1051">
        <v>1050</v>
      </c>
      <c r="B1051" t="s">
        <v>8</v>
      </c>
      <c r="C1051">
        <v>6</v>
      </c>
      <c r="D1051">
        <v>93186</v>
      </c>
      <c r="E1051">
        <v>83</v>
      </c>
      <c r="F1051" t="s">
        <v>13</v>
      </c>
      <c r="G1051">
        <v>1</v>
      </c>
      <c r="H1051">
        <v>3</v>
      </c>
    </row>
    <row r="1052" spans="1:8">
      <c r="A1052">
        <v>1051</v>
      </c>
      <c r="B1052" t="s">
        <v>8</v>
      </c>
      <c r="C1052">
        <v>46</v>
      </c>
      <c r="D1052">
        <v>149764</v>
      </c>
      <c r="E1052">
        <v>1</v>
      </c>
      <c r="F1052" t="s">
        <v>13</v>
      </c>
      <c r="G1052">
        <v>0</v>
      </c>
      <c r="H1052">
        <v>6</v>
      </c>
    </row>
    <row r="1053" spans="1:8">
      <c r="A1053">
        <v>1052</v>
      </c>
      <c r="B1053" t="s">
        <v>8</v>
      </c>
      <c r="C1053">
        <v>17</v>
      </c>
      <c r="D1053">
        <v>116822</v>
      </c>
      <c r="E1053">
        <v>84</v>
      </c>
      <c r="F1053" t="s">
        <v>16</v>
      </c>
      <c r="G1053">
        <v>1</v>
      </c>
      <c r="H1053">
        <v>3</v>
      </c>
    </row>
    <row r="1054" spans="1:8">
      <c r="A1054">
        <v>1053</v>
      </c>
      <c r="B1054" t="s">
        <v>11</v>
      </c>
      <c r="C1054">
        <v>46</v>
      </c>
      <c r="D1054">
        <v>109346</v>
      </c>
      <c r="E1054">
        <v>37</v>
      </c>
      <c r="F1054" t="s">
        <v>13</v>
      </c>
      <c r="G1054">
        <v>1</v>
      </c>
      <c r="H1054">
        <v>2</v>
      </c>
    </row>
    <row r="1055" spans="1:8">
      <c r="A1055">
        <v>1054</v>
      </c>
      <c r="B1055" t="s">
        <v>11</v>
      </c>
      <c r="C1055">
        <v>72</v>
      </c>
      <c r="D1055">
        <v>111587</v>
      </c>
      <c r="E1055">
        <v>99</v>
      </c>
      <c r="F1055" t="s">
        <v>14</v>
      </c>
      <c r="G1055">
        <v>7</v>
      </c>
      <c r="H1055">
        <v>4</v>
      </c>
    </row>
    <row r="1056" spans="1:8">
      <c r="A1056">
        <v>1055</v>
      </c>
      <c r="B1056" t="s">
        <v>11</v>
      </c>
      <c r="C1056">
        <v>38</v>
      </c>
      <c r="D1056">
        <v>166644</v>
      </c>
      <c r="E1056">
        <v>66</v>
      </c>
      <c r="F1056" t="s">
        <v>14</v>
      </c>
      <c r="G1056">
        <v>8</v>
      </c>
      <c r="H1056">
        <v>6</v>
      </c>
    </row>
    <row r="1057" spans="1:8">
      <c r="A1057">
        <v>1056</v>
      </c>
      <c r="B1057" t="s">
        <v>11</v>
      </c>
      <c r="C1057">
        <v>50</v>
      </c>
      <c r="D1057">
        <v>181270</v>
      </c>
      <c r="E1057">
        <v>56</v>
      </c>
      <c r="F1057" t="s">
        <v>14</v>
      </c>
      <c r="G1057">
        <v>1</v>
      </c>
      <c r="H1057">
        <v>1</v>
      </c>
    </row>
    <row r="1058" spans="1:8">
      <c r="A1058">
        <v>1057</v>
      </c>
      <c r="B1058" t="s">
        <v>8</v>
      </c>
      <c r="C1058">
        <v>47</v>
      </c>
      <c r="D1058">
        <v>65207</v>
      </c>
      <c r="E1058">
        <v>81</v>
      </c>
      <c r="F1058" t="s">
        <v>9</v>
      </c>
      <c r="G1058">
        <v>1</v>
      </c>
      <c r="H1058">
        <v>2</v>
      </c>
    </row>
    <row r="1059" spans="1:8">
      <c r="A1059">
        <v>1058</v>
      </c>
      <c r="B1059" t="s">
        <v>11</v>
      </c>
      <c r="C1059">
        <v>72</v>
      </c>
      <c r="D1059">
        <v>112146</v>
      </c>
      <c r="E1059">
        <v>21</v>
      </c>
      <c r="F1059" t="s">
        <v>17</v>
      </c>
      <c r="G1059">
        <v>8</v>
      </c>
      <c r="H1059">
        <v>4</v>
      </c>
    </row>
    <row r="1060" spans="1:8">
      <c r="A1060">
        <v>1059</v>
      </c>
      <c r="B1060" t="s">
        <v>8</v>
      </c>
      <c r="C1060">
        <v>8</v>
      </c>
      <c r="D1060">
        <v>104953</v>
      </c>
      <c r="E1060">
        <v>57</v>
      </c>
      <c r="F1060" t="s">
        <v>16</v>
      </c>
      <c r="G1060">
        <v>1</v>
      </c>
      <c r="H1060">
        <v>6</v>
      </c>
    </row>
    <row r="1061" spans="1:8">
      <c r="A1061">
        <v>1060</v>
      </c>
      <c r="B1061" t="s">
        <v>11</v>
      </c>
      <c r="C1061">
        <v>34</v>
      </c>
      <c r="D1061">
        <v>139009</v>
      </c>
      <c r="E1061">
        <v>24</v>
      </c>
      <c r="F1061" t="s">
        <v>14</v>
      </c>
      <c r="G1061">
        <v>0</v>
      </c>
      <c r="H1061">
        <v>4</v>
      </c>
    </row>
    <row r="1062" spans="1:8">
      <c r="A1062">
        <v>1061</v>
      </c>
      <c r="B1062" t="s">
        <v>11</v>
      </c>
      <c r="C1062">
        <v>53</v>
      </c>
      <c r="D1062">
        <v>67916</v>
      </c>
      <c r="E1062">
        <v>82</v>
      </c>
      <c r="F1062" t="s">
        <v>9</v>
      </c>
      <c r="G1062">
        <v>0</v>
      </c>
      <c r="H1062">
        <v>6</v>
      </c>
    </row>
    <row r="1063" spans="1:8">
      <c r="A1063">
        <v>1062</v>
      </c>
      <c r="B1063" t="s">
        <v>11</v>
      </c>
      <c r="C1063">
        <v>82</v>
      </c>
      <c r="D1063">
        <v>99983</v>
      </c>
      <c r="E1063">
        <v>88</v>
      </c>
      <c r="F1063" t="s">
        <v>15</v>
      </c>
      <c r="G1063">
        <v>0</v>
      </c>
      <c r="H1063">
        <v>1</v>
      </c>
    </row>
    <row r="1064" spans="1:8">
      <c r="A1064">
        <v>1063</v>
      </c>
      <c r="B1064" t="s">
        <v>8</v>
      </c>
      <c r="C1064">
        <v>63</v>
      </c>
      <c r="D1064">
        <v>131122</v>
      </c>
      <c r="E1064">
        <v>40</v>
      </c>
      <c r="F1064" t="s">
        <v>14</v>
      </c>
      <c r="G1064">
        <v>9</v>
      </c>
      <c r="H1064">
        <v>6</v>
      </c>
    </row>
    <row r="1065" spans="1:8">
      <c r="A1065">
        <v>1064</v>
      </c>
      <c r="B1065" t="s">
        <v>11</v>
      </c>
      <c r="C1065">
        <v>58</v>
      </c>
      <c r="D1065">
        <v>173190</v>
      </c>
      <c r="E1065">
        <v>37</v>
      </c>
      <c r="F1065" t="s">
        <v>16</v>
      </c>
      <c r="G1065">
        <v>9</v>
      </c>
      <c r="H1065">
        <v>4</v>
      </c>
    </row>
    <row r="1066" spans="1:8">
      <c r="A1066">
        <v>1065</v>
      </c>
      <c r="B1066" t="s">
        <v>8</v>
      </c>
      <c r="C1066">
        <v>23</v>
      </c>
      <c r="D1066">
        <v>122712</v>
      </c>
      <c r="E1066">
        <v>21</v>
      </c>
      <c r="F1066" t="s">
        <v>18</v>
      </c>
      <c r="G1066">
        <v>1</v>
      </c>
      <c r="H1066">
        <v>1</v>
      </c>
    </row>
    <row r="1067" spans="1:8">
      <c r="A1067">
        <v>1066</v>
      </c>
      <c r="B1067" t="s">
        <v>11</v>
      </c>
      <c r="C1067">
        <v>80</v>
      </c>
      <c r="D1067">
        <v>55792</v>
      </c>
      <c r="E1067">
        <v>30</v>
      </c>
      <c r="F1067" t="s">
        <v>14</v>
      </c>
      <c r="G1067">
        <v>1</v>
      </c>
      <c r="H1067">
        <v>6</v>
      </c>
    </row>
    <row r="1068" spans="1:8">
      <c r="A1068">
        <v>1067</v>
      </c>
      <c r="B1068" t="s">
        <v>8</v>
      </c>
      <c r="C1068">
        <v>45</v>
      </c>
      <c r="D1068">
        <v>73892</v>
      </c>
      <c r="E1068">
        <v>45</v>
      </c>
      <c r="F1068" t="s">
        <v>16</v>
      </c>
      <c r="G1068">
        <v>1</v>
      </c>
      <c r="H1068">
        <v>4</v>
      </c>
    </row>
    <row r="1069" spans="1:8">
      <c r="A1069">
        <v>1068</v>
      </c>
      <c r="B1069" t="s">
        <v>11</v>
      </c>
      <c r="C1069">
        <v>30</v>
      </c>
      <c r="D1069">
        <v>78821</v>
      </c>
      <c r="E1069">
        <v>46</v>
      </c>
      <c r="G1069">
        <v>1</v>
      </c>
      <c r="H1069">
        <v>4</v>
      </c>
    </row>
    <row r="1070" spans="1:8">
      <c r="A1070">
        <v>1069</v>
      </c>
      <c r="B1070" t="s">
        <v>11</v>
      </c>
      <c r="C1070">
        <v>84</v>
      </c>
      <c r="D1070">
        <v>152475</v>
      </c>
      <c r="E1070">
        <v>12</v>
      </c>
      <c r="F1070" t="s">
        <v>14</v>
      </c>
      <c r="G1070">
        <v>0</v>
      </c>
      <c r="H1070">
        <v>7</v>
      </c>
    </row>
    <row r="1071" spans="1:8">
      <c r="A1071">
        <v>1070</v>
      </c>
      <c r="B1071" t="s">
        <v>8</v>
      </c>
      <c r="C1071">
        <v>45</v>
      </c>
      <c r="D1071">
        <v>152226</v>
      </c>
      <c r="E1071">
        <v>87</v>
      </c>
      <c r="F1071" t="s">
        <v>14</v>
      </c>
      <c r="G1071">
        <v>4</v>
      </c>
      <c r="H1071">
        <v>4</v>
      </c>
    </row>
    <row r="1072" spans="1:8">
      <c r="A1072">
        <v>1071</v>
      </c>
      <c r="B1072" t="s">
        <v>8</v>
      </c>
      <c r="C1072">
        <v>85</v>
      </c>
      <c r="D1072">
        <v>117679</v>
      </c>
      <c r="E1072">
        <v>18</v>
      </c>
      <c r="F1072" t="s">
        <v>13</v>
      </c>
      <c r="G1072">
        <v>1</v>
      </c>
      <c r="H1072">
        <v>3</v>
      </c>
    </row>
    <row r="1073" spans="1:8">
      <c r="A1073">
        <v>1072</v>
      </c>
      <c r="B1073" t="s">
        <v>8</v>
      </c>
      <c r="C1073">
        <v>23</v>
      </c>
      <c r="D1073">
        <v>146473</v>
      </c>
      <c r="E1073">
        <v>87</v>
      </c>
      <c r="F1073" t="s">
        <v>14</v>
      </c>
      <c r="G1073">
        <v>1</v>
      </c>
      <c r="H1073">
        <v>4</v>
      </c>
    </row>
    <row r="1074" spans="1:8">
      <c r="A1074">
        <v>1073</v>
      </c>
      <c r="B1074" t="s">
        <v>8</v>
      </c>
      <c r="C1074">
        <v>79</v>
      </c>
      <c r="D1074">
        <v>66051</v>
      </c>
      <c r="E1074">
        <v>75</v>
      </c>
      <c r="F1074" t="s">
        <v>9</v>
      </c>
      <c r="G1074">
        <v>1</v>
      </c>
      <c r="H1074">
        <v>7</v>
      </c>
    </row>
    <row r="1075" spans="1:8">
      <c r="A1075">
        <v>1074</v>
      </c>
      <c r="B1075" t="s">
        <v>8</v>
      </c>
      <c r="C1075">
        <v>47</v>
      </c>
      <c r="D1075">
        <v>162332</v>
      </c>
      <c r="E1075">
        <v>72</v>
      </c>
      <c r="F1075" t="s">
        <v>13</v>
      </c>
      <c r="G1075">
        <v>1</v>
      </c>
      <c r="H1075">
        <v>5</v>
      </c>
    </row>
    <row r="1076" spans="1:8">
      <c r="A1076">
        <v>1075</v>
      </c>
      <c r="B1076" t="s">
        <v>11</v>
      </c>
      <c r="C1076">
        <v>93</v>
      </c>
      <c r="D1076">
        <v>166018</v>
      </c>
      <c r="E1076">
        <v>71</v>
      </c>
      <c r="F1076" t="s">
        <v>16</v>
      </c>
      <c r="G1076">
        <v>0</v>
      </c>
      <c r="H1076">
        <v>3</v>
      </c>
    </row>
    <row r="1077" spans="1:8">
      <c r="A1077">
        <v>1076</v>
      </c>
      <c r="B1077" t="s">
        <v>11</v>
      </c>
      <c r="C1077">
        <v>95</v>
      </c>
      <c r="D1077">
        <v>67398</v>
      </c>
      <c r="E1077">
        <v>81</v>
      </c>
      <c r="F1077" t="s">
        <v>13</v>
      </c>
      <c r="G1077">
        <v>2</v>
      </c>
      <c r="H1077">
        <v>5</v>
      </c>
    </row>
    <row r="1078" spans="1:8">
      <c r="A1078">
        <v>1077</v>
      </c>
      <c r="B1078" t="s">
        <v>8</v>
      </c>
      <c r="C1078">
        <v>44</v>
      </c>
      <c r="D1078">
        <v>73760</v>
      </c>
      <c r="E1078">
        <v>70</v>
      </c>
      <c r="F1078" t="s">
        <v>13</v>
      </c>
      <c r="G1078">
        <v>1</v>
      </c>
      <c r="H1078">
        <v>6</v>
      </c>
    </row>
    <row r="1079" spans="1:8">
      <c r="A1079">
        <v>1078</v>
      </c>
      <c r="B1079" t="s">
        <v>8</v>
      </c>
      <c r="C1079">
        <v>95</v>
      </c>
      <c r="D1079">
        <v>167578</v>
      </c>
      <c r="E1079">
        <v>66</v>
      </c>
      <c r="F1079" t="s">
        <v>13</v>
      </c>
      <c r="G1079">
        <v>0</v>
      </c>
      <c r="H1079">
        <v>1</v>
      </c>
    </row>
    <row r="1080" spans="1:8">
      <c r="A1080">
        <v>1079</v>
      </c>
      <c r="B1080" t="s">
        <v>8</v>
      </c>
      <c r="C1080">
        <v>28</v>
      </c>
      <c r="D1080">
        <v>130267</v>
      </c>
      <c r="E1080">
        <v>45</v>
      </c>
      <c r="F1080" t="s">
        <v>10</v>
      </c>
      <c r="G1080">
        <v>8</v>
      </c>
      <c r="H1080">
        <v>4</v>
      </c>
    </row>
    <row r="1081" spans="1:8">
      <c r="A1081">
        <v>1080</v>
      </c>
      <c r="B1081" t="s">
        <v>8</v>
      </c>
      <c r="C1081">
        <v>91</v>
      </c>
      <c r="D1081">
        <v>94846</v>
      </c>
      <c r="E1081">
        <v>95</v>
      </c>
      <c r="F1081" t="s">
        <v>10</v>
      </c>
      <c r="G1081">
        <v>0</v>
      </c>
      <c r="H1081">
        <v>5</v>
      </c>
    </row>
    <row r="1082" spans="1:8">
      <c r="A1082">
        <v>1081</v>
      </c>
      <c r="B1082" t="s">
        <v>11</v>
      </c>
      <c r="C1082">
        <v>81</v>
      </c>
      <c r="D1082">
        <v>155396</v>
      </c>
      <c r="E1082">
        <v>1</v>
      </c>
      <c r="F1082" t="s">
        <v>10</v>
      </c>
      <c r="G1082">
        <v>9</v>
      </c>
      <c r="H1082">
        <v>5</v>
      </c>
    </row>
    <row r="1083" spans="1:8">
      <c r="A1083">
        <v>1082</v>
      </c>
      <c r="B1083" t="s">
        <v>11</v>
      </c>
      <c r="C1083">
        <v>90</v>
      </c>
      <c r="D1083">
        <v>138013</v>
      </c>
      <c r="E1083">
        <v>16</v>
      </c>
      <c r="F1083" t="s">
        <v>14</v>
      </c>
      <c r="G1083">
        <v>8</v>
      </c>
      <c r="H1083">
        <v>7</v>
      </c>
    </row>
    <row r="1084" spans="1:8">
      <c r="A1084">
        <v>1083</v>
      </c>
      <c r="B1084" t="s">
        <v>8</v>
      </c>
      <c r="C1084">
        <v>79</v>
      </c>
      <c r="D1084">
        <v>148286</v>
      </c>
      <c r="E1084">
        <v>77</v>
      </c>
      <c r="F1084" t="s">
        <v>13</v>
      </c>
      <c r="G1084">
        <v>0</v>
      </c>
      <c r="H1084">
        <v>4</v>
      </c>
    </row>
    <row r="1085" spans="1:8">
      <c r="A1085">
        <v>1084</v>
      </c>
      <c r="B1085" t="s">
        <v>11</v>
      </c>
      <c r="C1085">
        <v>6</v>
      </c>
      <c r="D1085">
        <v>101031</v>
      </c>
      <c r="E1085">
        <v>28</v>
      </c>
      <c r="F1085" t="s">
        <v>14</v>
      </c>
      <c r="G1085">
        <v>1</v>
      </c>
      <c r="H1085">
        <v>1</v>
      </c>
    </row>
    <row r="1086" spans="1:8">
      <c r="A1086">
        <v>1085</v>
      </c>
      <c r="B1086" t="s">
        <v>11</v>
      </c>
      <c r="C1086">
        <v>38</v>
      </c>
      <c r="D1086">
        <v>52884</v>
      </c>
      <c r="E1086">
        <v>24</v>
      </c>
      <c r="F1086" t="s">
        <v>12</v>
      </c>
      <c r="G1086">
        <v>1</v>
      </c>
      <c r="H1086">
        <v>1</v>
      </c>
    </row>
    <row r="1087" spans="1:8">
      <c r="A1087">
        <v>1086</v>
      </c>
      <c r="B1087" t="s">
        <v>8</v>
      </c>
      <c r="C1087">
        <v>87</v>
      </c>
      <c r="D1087">
        <v>153230</v>
      </c>
      <c r="E1087">
        <v>15</v>
      </c>
      <c r="F1087" t="s">
        <v>9</v>
      </c>
      <c r="G1087">
        <v>8</v>
      </c>
      <c r="H1087">
        <v>1</v>
      </c>
    </row>
    <row r="1088" spans="1:8">
      <c r="A1088">
        <v>1087</v>
      </c>
      <c r="B1088" t="s">
        <v>11</v>
      </c>
      <c r="C1088">
        <v>93</v>
      </c>
      <c r="D1088">
        <v>63261</v>
      </c>
      <c r="E1088">
        <v>13</v>
      </c>
      <c r="F1088" t="s">
        <v>10</v>
      </c>
      <c r="G1088">
        <v>1</v>
      </c>
      <c r="H1088">
        <v>7</v>
      </c>
    </row>
    <row r="1089" spans="1:8">
      <c r="A1089">
        <v>1088</v>
      </c>
      <c r="B1089" t="s">
        <v>8</v>
      </c>
      <c r="C1089">
        <v>44</v>
      </c>
      <c r="D1089">
        <v>90167</v>
      </c>
      <c r="E1089">
        <v>84</v>
      </c>
      <c r="F1089" t="s">
        <v>10</v>
      </c>
      <c r="G1089">
        <v>0</v>
      </c>
      <c r="H1089">
        <v>3</v>
      </c>
    </row>
    <row r="1090" spans="1:8">
      <c r="A1090">
        <v>1089</v>
      </c>
      <c r="B1090" t="s">
        <v>11</v>
      </c>
      <c r="C1090">
        <v>10</v>
      </c>
      <c r="D1090">
        <v>162076</v>
      </c>
      <c r="E1090">
        <v>78</v>
      </c>
      <c r="G1090">
        <v>0</v>
      </c>
      <c r="H1090">
        <v>3</v>
      </c>
    </row>
    <row r="1091" spans="1:8">
      <c r="A1091">
        <v>1090</v>
      </c>
      <c r="B1091" t="s">
        <v>11</v>
      </c>
      <c r="C1091">
        <v>84</v>
      </c>
      <c r="D1091">
        <v>53622</v>
      </c>
      <c r="E1091">
        <v>27</v>
      </c>
      <c r="F1091" t="s">
        <v>14</v>
      </c>
      <c r="G1091">
        <v>0</v>
      </c>
      <c r="H1091">
        <v>3</v>
      </c>
    </row>
    <row r="1092" spans="1:8">
      <c r="A1092">
        <v>1091</v>
      </c>
      <c r="B1092" t="s">
        <v>11</v>
      </c>
      <c r="C1092">
        <v>7</v>
      </c>
      <c r="D1092">
        <v>172913</v>
      </c>
      <c r="E1092">
        <v>94</v>
      </c>
      <c r="F1092" t="s">
        <v>15</v>
      </c>
      <c r="G1092">
        <v>3</v>
      </c>
      <c r="H1092">
        <v>4</v>
      </c>
    </row>
    <row r="1093" spans="1:8">
      <c r="A1093">
        <v>1092</v>
      </c>
      <c r="B1093" t="s">
        <v>11</v>
      </c>
      <c r="C1093">
        <v>41</v>
      </c>
      <c r="D1093">
        <v>94316</v>
      </c>
      <c r="E1093">
        <v>86</v>
      </c>
      <c r="F1093" t="s">
        <v>14</v>
      </c>
      <c r="G1093">
        <v>0</v>
      </c>
      <c r="H1093">
        <v>6</v>
      </c>
    </row>
    <row r="1094" spans="1:8">
      <c r="A1094">
        <v>1093</v>
      </c>
      <c r="B1094" t="s">
        <v>8</v>
      </c>
      <c r="C1094">
        <v>87</v>
      </c>
      <c r="D1094">
        <v>141383</v>
      </c>
      <c r="E1094">
        <v>3</v>
      </c>
      <c r="G1094">
        <v>7</v>
      </c>
      <c r="H1094">
        <v>5</v>
      </c>
    </row>
    <row r="1095" spans="1:8">
      <c r="A1095">
        <v>1094</v>
      </c>
      <c r="B1095" t="s">
        <v>11</v>
      </c>
      <c r="C1095">
        <v>33</v>
      </c>
      <c r="D1095">
        <v>67874</v>
      </c>
      <c r="E1095">
        <v>55</v>
      </c>
      <c r="F1095" t="s">
        <v>14</v>
      </c>
      <c r="G1095">
        <v>0</v>
      </c>
      <c r="H1095">
        <v>2</v>
      </c>
    </row>
    <row r="1096" spans="1:8">
      <c r="A1096">
        <v>1095</v>
      </c>
      <c r="B1096" t="s">
        <v>11</v>
      </c>
      <c r="C1096">
        <v>34</v>
      </c>
      <c r="D1096">
        <v>176554</v>
      </c>
      <c r="E1096">
        <v>62</v>
      </c>
      <c r="F1096" t="s">
        <v>9</v>
      </c>
      <c r="G1096">
        <v>1</v>
      </c>
      <c r="H1096">
        <v>2</v>
      </c>
    </row>
    <row r="1097" spans="1:8">
      <c r="A1097">
        <v>1096</v>
      </c>
      <c r="B1097" t="s">
        <v>11</v>
      </c>
      <c r="C1097">
        <v>53</v>
      </c>
      <c r="D1097">
        <v>135341</v>
      </c>
      <c r="E1097">
        <v>56</v>
      </c>
      <c r="F1097" t="s">
        <v>9</v>
      </c>
      <c r="G1097">
        <v>10</v>
      </c>
      <c r="H1097">
        <v>2</v>
      </c>
    </row>
    <row r="1098" spans="1:8">
      <c r="A1098">
        <v>1097</v>
      </c>
      <c r="B1098" t="s">
        <v>11</v>
      </c>
      <c r="C1098">
        <v>47</v>
      </c>
      <c r="D1098">
        <v>129019</v>
      </c>
      <c r="E1098">
        <v>57</v>
      </c>
      <c r="F1098" t="s">
        <v>9</v>
      </c>
      <c r="G1098">
        <v>0</v>
      </c>
      <c r="H1098">
        <v>3</v>
      </c>
    </row>
    <row r="1099" spans="1:8">
      <c r="A1099">
        <v>1098</v>
      </c>
      <c r="B1099" t="s">
        <v>8</v>
      </c>
      <c r="C1099">
        <v>53</v>
      </c>
      <c r="D1099">
        <v>107879</v>
      </c>
      <c r="E1099">
        <v>3</v>
      </c>
      <c r="F1099" t="s">
        <v>16</v>
      </c>
      <c r="G1099">
        <v>1</v>
      </c>
      <c r="H1099">
        <v>6</v>
      </c>
    </row>
    <row r="1100" spans="1:8">
      <c r="A1100">
        <v>1099</v>
      </c>
      <c r="B1100" t="s">
        <v>8</v>
      </c>
      <c r="C1100">
        <v>92</v>
      </c>
      <c r="D1100">
        <v>79531</v>
      </c>
      <c r="E1100">
        <v>4</v>
      </c>
      <c r="F1100" t="s">
        <v>14</v>
      </c>
      <c r="G1100">
        <v>1</v>
      </c>
      <c r="H1100">
        <v>1</v>
      </c>
    </row>
    <row r="1101" spans="1:8">
      <c r="A1101">
        <v>1100</v>
      </c>
      <c r="B1101" t="s">
        <v>8</v>
      </c>
      <c r="C1101">
        <v>89</v>
      </c>
      <c r="D1101">
        <v>63379</v>
      </c>
      <c r="E1101">
        <v>59</v>
      </c>
      <c r="F1101" t="s">
        <v>14</v>
      </c>
      <c r="G1101">
        <v>12</v>
      </c>
      <c r="H1101">
        <v>7</v>
      </c>
    </row>
    <row r="1102" spans="1:8">
      <c r="A1102">
        <v>1101</v>
      </c>
      <c r="B1102" t="s">
        <v>11</v>
      </c>
      <c r="C1102">
        <v>27</v>
      </c>
      <c r="D1102">
        <v>156258</v>
      </c>
      <c r="E1102">
        <v>54</v>
      </c>
      <c r="F1102" t="s">
        <v>13</v>
      </c>
      <c r="G1102">
        <v>0</v>
      </c>
      <c r="H1102">
        <v>4</v>
      </c>
    </row>
    <row r="1103" spans="1:8">
      <c r="A1103">
        <v>1102</v>
      </c>
      <c r="B1103" t="s">
        <v>8</v>
      </c>
      <c r="C1103">
        <v>70</v>
      </c>
      <c r="D1103">
        <v>67874</v>
      </c>
      <c r="E1103">
        <v>41</v>
      </c>
      <c r="F1103" t="s">
        <v>13</v>
      </c>
      <c r="G1103">
        <v>9</v>
      </c>
      <c r="H1103">
        <v>3</v>
      </c>
    </row>
    <row r="1104" spans="1:8">
      <c r="A1104">
        <v>1103</v>
      </c>
      <c r="B1104" t="s">
        <v>11</v>
      </c>
      <c r="C1104">
        <v>86</v>
      </c>
      <c r="D1104">
        <v>159964</v>
      </c>
      <c r="E1104">
        <v>57</v>
      </c>
      <c r="F1104" t="s">
        <v>10</v>
      </c>
      <c r="G1104">
        <v>5</v>
      </c>
      <c r="H1104">
        <v>6</v>
      </c>
    </row>
    <row r="1105" spans="1:8">
      <c r="A1105">
        <v>1104</v>
      </c>
      <c r="B1105" t="s">
        <v>11</v>
      </c>
      <c r="C1105">
        <v>99</v>
      </c>
      <c r="D1105">
        <v>103706</v>
      </c>
      <c r="E1105">
        <v>50</v>
      </c>
      <c r="F1105" t="s">
        <v>13</v>
      </c>
      <c r="G1105">
        <v>1</v>
      </c>
      <c r="H1105">
        <v>2</v>
      </c>
    </row>
    <row r="1106" spans="1:8">
      <c r="A1106">
        <v>1105</v>
      </c>
      <c r="B1106" t="s">
        <v>11</v>
      </c>
      <c r="C1106">
        <v>96</v>
      </c>
      <c r="D1106">
        <v>64713</v>
      </c>
      <c r="E1106">
        <v>84</v>
      </c>
      <c r="F1106" t="s">
        <v>13</v>
      </c>
      <c r="G1106">
        <v>2</v>
      </c>
      <c r="H1106">
        <v>7</v>
      </c>
    </row>
    <row r="1107" spans="1:8">
      <c r="A1107">
        <v>1106</v>
      </c>
      <c r="B1107" t="s">
        <v>11</v>
      </c>
      <c r="C1107">
        <v>65</v>
      </c>
      <c r="D1107">
        <v>90414</v>
      </c>
      <c r="E1107">
        <v>55</v>
      </c>
      <c r="F1107" t="s">
        <v>14</v>
      </c>
      <c r="G1107">
        <v>1</v>
      </c>
      <c r="H1107">
        <v>5</v>
      </c>
    </row>
    <row r="1108" spans="1:8">
      <c r="A1108">
        <v>1107</v>
      </c>
      <c r="B1108" t="s">
        <v>11</v>
      </c>
      <c r="C1108">
        <v>82</v>
      </c>
      <c r="D1108">
        <v>171100</v>
      </c>
      <c r="E1108">
        <v>34</v>
      </c>
      <c r="F1108" t="s">
        <v>15</v>
      </c>
      <c r="G1108">
        <v>0</v>
      </c>
      <c r="H1108">
        <v>5</v>
      </c>
    </row>
    <row r="1109" spans="1:8">
      <c r="A1109">
        <v>1108</v>
      </c>
      <c r="B1109" t="s">
        <v>8</v>
      </c>
      <c r="C1109">
        <v>36</v>
      </c>
      <c r="D1109">
        <v>187305</v>
      </c>
      <c r="E1109">
        <v>85</v>
      </c>
      <c r="F1109" t="s">
        <v>10</v>
      </c>
      <c r="G1109">
        <v>6</v>
      </c>
      <c r="H1109">
        <v>7</v>
      </c>
    </row>
    <row r="1110" spans="1:8">
      <c r="A1110">
        <v>1109</v>
      </c>
      <c r="B1110" t="s">
        <v>11</v>
      </c>
      <c r="C1110">
        <v>30</v>
      </c>
      <c r="D1110">
        <v>139758</v>
      </c>
      <c r="E1110">
        <v>46</v>
      </c>
      <c r="F1110" t="s">
        <v>12</v>
      </c>
      <c r="G1110">
        <v>0</v>
      </c>
      <c r="H1110">
        <v>6</v>
      </c>
    </row>
    <row r="1111" spans="1:8">
      <c r="A1111">
        <v>1110</v>
      </c>
      <c r="B1111" t="s">
        <v>11</v>
      </c>
      <c r="C1111">
        <v>96</v>
      </c>
      <c r="D1111">
        <v>91226</v>
      </c>
      <c r="E1111">
        <v>56</v>
      </c>
      <c r="F1111" t="s">
        <v>9</v>
      </c>
      <c r="G1111">
        <v>0</v>
      </c>
      <c r="H1111">
        <v>5</v>
      </c>
    </row>
    <row r="1112" spans="1:8">
      <c r="A1112">
        <v>1111</v>
      </c>
      <c r="B1112" t="s">
        <v>11</v>
      </c>
      <c r="C1112">
        <v>69</v>
      </c>
      <c r="D1112">
        <v>143928</v>
      </c>
      <c r="E1112">
        <v>30</v>
      </c>
      <c r="F1112" t="s">
        <v>10</v>
      </c>
      <c r="G1112">
        <v>9</v>
      </c>
      <c r="H1112">
        <v>7</v>
      </c>
    </row>
    <row r="1113" spans="1:8">
      <c r="A1113">
        <v>1112</v>
      </c>
      <c r="B1113" t="s">
        <v>11</v>
      </c>
      <c r="C1113">
        <v>34</v>
      </c>
      <c r="D1113">
        <v>92366</v>
      </c>
      <c r="E1113">
        <v>14</v>
      </c>
      <c r="F1113" t="s">
        <v>9</v>
      </c>
      <c r="G1113">
        <v>0</v>
      </c>
      <c r="H1113">
        <v>6</v>
      </c>
    </row>
    <row r="1114" spans="1:8">
      <c r="A1114">
        <v>1113</v>
      </c>
      <c r="B1114" t="s">
        <v>8</v>
      </c>
      <c r="C1114">
        <v>74</v>
      </c>
      <c r="D1114">
        <v>175041</v>
      </c>
      <c r="E1114">
        <v>25</v>
      </c>
      <c r="F1114" t="s">
        <v>14</v>
      </c>
      <c r="G1114">
        <v>4</v>
      </c>
      <c r="H1114">
        <v>1</v>
      </c>
    </row>
    <row r="1115" spans="1:8">
      <c r="A1115">
        <v>1114</v>
      </c>
      <c r="B1115" t="s">
        <v>8</v>
      </c>
      <c r="C1115">
        <v>97</v>
      </c>
      <c r="D1115">
        <v>147301</v>
      </c>
      <c r="E1115">
        <v>93</v>
      </c>
      <c r="F1115" t="s">
        <v>12</v>
      </c>
      <c r="G1115">
        <v>1</v>
      </c>
      <c r="H1115">
        <v>5</v>
      </c>
    </row>
    <row r="1116" spans="1:8">
      <c r="A1116">
        <v>1115</v>
      </c>
      <c r="B1116" t="s">
        <v>8</v>
      </c>
      <c r="C1116">
        <v>56</v>
      </c>
      <c r="D1116">
        <v>119296</v>
      </c>
      <c r="E1116">
        <v>49</v>
      </c>
      <c r="F1116" t="s">
        <v>10</v>
      </c>
      <c r="G1116">
        <v>0</v>
      </c>
      <c r="H1116">
        <v>7</v>
      </c>
    </row>
    <row r="1117" spans="1:8">
      <c r="A1117">
        <v>1116</v>
      </c>
      <c r="B1117" t="s">
        <v>11</v>
      </c>
      <c r="C1117">
        <v>30</v>
      </c>
      <c r="D1117">
        <v>126306</v>
      </c>
      <c r="E1117">
        <v>44</v>
      </c>
      <c r="F1117" t="s">
        <v>14</v>
      </c>
      <c r="G1117">
        <v>0</v>
      </c>
      <c r="H1117">
        <v>1</v>
      </c>
    </row>
    <row r="1118" spans="1:8">
      <c r="A1118">
        <v>1117</v>
      </c>
      <c r="B1118" t="s">
        <v>8</v>
      </c>
      <c r="C1118">
        <v>13</v>
      </c>
      <c r="D1118">
        <v>100647</v>
      </c>
      <c r="E1118">
        <v>49</v>
      </c>
      <c r="F1118" t="s">
        <v>15</v>
      </c>
      <c r="G1118">
        <v>1</v>
      </c>
      <c r="H1118">
        <v>3</v>
      </c>
    </row>
    <row r="1119" spans="1:8">
      <c r="A1119">
        <v>1118</v>
      </c>
      <c r="B1119" t="s">
        <v>11</v>
      </c>
      <c r="C1119">
        <v>95</v>
      </c>
      <c r="D1119">
        <v>168663</v>
      </c>
      <c r="E1119">
        <v>16</v>
      </c>
      <c r="F1119" t="s">
        <v>10</v>
      </c>
      <c r="G1119">
        <v>11</v>
      </c>
      <c r="H1119">
        <v>5</v>
      </c>
    </row>
    <row r="1120" spans="1:8">
      <c r="A1120">
        <v>1119</v>
      </c>
      <c r="B1120" t="s">
        <v>11</v>
      </c>
      <c r="C1120">
        <v>2</v>
      </c>
      <c r="D1120">
        <v>105391</v>
      </c>
      <c r="E1120">
        <v>42</v>
      </c>
      <c r="F1120" t="s">
        <v>15</v>
      </c>
      <c r="G1120">
        <v>1</v>
      </c>
      <c r="H1120">
        <v>7</v>
      </c>
    </row>
    <row r="1121" spans="1:8">
      <c r="A1121">
        <v>1120</v>
      </c>
      <c r="B1121" t="s">
        <v>11</v>
      </c>
      <c r="C1121">
        <v>78</v>
      </c>
      <c r="D1121">
        <v>175179</v>
      </c>
      <c r="E1121">
        <v>43</v>
      </c>
      <c r="F1121" t="s">
        <v>15</v>
      </c>
      <c r="G1121">
        <v>9</v>
      </c>
      <c r="H1121">
        <v>4</v>
      </c>
    </row>
    <row r="1122" spans="1:8">
      <c r="A1122">
        <v>1121</v>
      </c>
      <c r="B1122" t="s">
        <v>11</v>
      </c>
      <c r="C1122">
        <v>54</v>
      </c>
      <c r="D1122">
        <v>165019</v>
      </c>
      <c r="E1122">
        <v>12</v>
      </c>
      <c r="F1122" t="s">
        <v>13</v>
      </c>
      <c r="G1122">
        <v>1</v>
      </c>
      <c r="H1122">
        <v>2</v>
      </c>
    </row>
    <row r="1123" spans="1:8">
      <c r="A1123">
        <v>1122</v>
      </c>
      <c r="B1123" t="s">
        <v>11</v>
      </c>
      <c r="C1123">
        <v>85</v>
      </c>
      <c r="D1123">
        <v>68212</v>
      </c>
      <c r="E1123">
        <v>26</v>
      </c>
      <c r="F1123" t="s">
        <v>9</v>
      </c>
      <c r="G1123">
        <v>7</v>
      </c>
      <c r="H1123">
        <v>4</v>
      </c>
    </row>
    <row r="1124" spans="1:8">
      <c r="A1124">
        <v>1123</v>
      </c>
      <c r="B1124" t="s">
        <v>8</v>
      </c>
      <c r="C1124">
        <v>13</v>
      </c>
      <c r="D1124">
        <v>64572</v>
      </c>
      <c r="E1124">
        <v>71</v>
      </c>
      <c r="F1124" t="s">
        <v>14</v>
      </c>
      <c r="G1124">
        <v>1</v>
      </c>
      <c r="H1124">
        <v>2</v>
      </c>
    </row>
    <row r="1125" spans="1:8">
      <c r="A1125">
        <v>1124</v>
      </c>
      <c r="B1125" t="s">
        <v>11</v>
      </c>
      <c r="C1125">
        <v>85</v>
      </c>
      <c r="D1125">
        <v>92591</v>
      </c>
      <c r="E1125">
        <v>99</v>
      </c>
      <c r="F1125" t="s">
        <v>14</v>
      </c>
      <c r="G1125">
        <v>8</v>
      </c>
      <c r="H1125">
        <v>2</v>
      </c>
    </row>
    <row r="1126" spans="1:8">
      <c r="A1126">
        <v>1125</v>
      </c>
      <c r="B1126" t="s">
        <v>11</v>
      </c>
      <c r="C1126">
        <v>41</v>
      </c>
      <c r="D1126">
        <v>69730</v>
      </c>
      <c r="E1126">
        <v>97</v>
      </c>
      <c r="F1126" t="s">
        <v>14</v>
      </c>
      <c r="G1126">
        <v>1</v>
      </c>
      <c r="H1126">
        <v>4</v>
      </c>
    </row>
    <row r="1127" spans="1:8">
      <c r="A1127">
        <v>1126</v>
      </c>
      <c r="B1127" t="s">
        <v>11</v>
      </c>
      <c r="C1127">
        <v>25</v>
      </c>
      <c r="D1127">
        <v>156793</v>
      </c>
      <c r="E1127">
        <v>57</v>
      </c>
      <c r="F1127" t="s">
        <v>18</v>
      </c>
      <c r="G1127">
        <v>2</v>
      </c>
      <c r="H1127">
        <v>4</v>
      </c>
    </row>
    <row r="1128" spans="1:8">
      <c r="A1128">
        <v>1127</v>
      </c>
      <c r="B1128" t="s">
        <v>11</v>
      </c>
      <c r="C1128">
        <v>74</v>
      </c>
      <c r="D1128">
        <v>56848</v>
      </c>
      <c r="E1128">
        <v>41</v>
      </c>
      <c r="F1128" t="s">
        <v>14</v>
      </c>
      <c r="G1128">
        <v>5</v>
      </c>
      <c r="H1128">
        <v>1</v>
      </c>
    </row>
    <row r="1129" spans="1:8">
      <c r="A1129">
        <v>1128</v>
      </c>
      <c r="B1129" t="s">
        <v>8</v>
      </c>
      <c r="C1129">
        <v>8</v>
      </c>
      <c r="D1129">
        <v>148450</v>
      </c>
      <c r="E1129">
        <v>55</v>
      </c>
      <c r="F1129" t="s">
        <v>9</v>
      </c>
      <c r="G1129">
        <v>0</v>
      </c>
      <c r="H1129">
        <v>6</v>
      </c>
    </row>
    <row r="1130" spans="1:8">
      <c r="A1130">
        <v>1129</v>
      </c>
      <c r="B1130" t="s">
        <v>8</v>
      </c>
      <c r="C1130">
        <v>62</v>
      </c>
      <c r="D1130">
        <v>150619</v>
      </c>
      <c r="E1130">
        <v>32</v>
      </c>
      <c r="F1130" t="s">
        <v>14</v>
      </c>
      <c r="G1130">
        <v>10</v>
      </c>
      <c r="H1130">
        <v>6</v>
      </c>
    </row>
    <row r="1131" spans="1:8">
      <c r="A1131">
        <v>1130</v>
      </c>
      <c r="B1131" t="s">
        <v>8</v>
      </c>
      <c r="C1131">
        <v>52</v>
      </c>
      <c r="D1131">
        <v>100261</v>
      </c>
      <c r="E1131">
        <v>10</v>
      </c>
      <c r="F1131" t="s">
        <v>14</v>
      </c>
      <c r="G1131">
        <v>1</v>
      </c>
      <c r="H1131">
        <v>6</v>
      </c>
    </row>
    <row r="1132" spans="1:8">
      <c r="A1132">
        <v>1131</v>
      </c>
      <c r="B1132" t="s">
        <v>11</v>
      </c>
      <c r="C1132">
        <v>36</v>
      </c>
      <c r="D1132">
        <v>109895</v>
      </c>
      <c r="E1132">
        <v>56</v>
      </c>
      <c r="F1132" t="s">
        <v>9</v>
      </c>
      <c r="G1132">
        <v>5</v>
      </c>
      <c r="H1132">
        <v>2</v>
      </c>
    </row>
    <row r="1133" spans="1:8">
      <c r="A1133">
        <v>1132</v>
      </c>
      <c r="B1133" t="s">
        <v>8</v>
      </c>
      <c r="C1133">
        <v>11</v>
      </c>
      <c r="D1133">
        <v>152684</v>
      </c>
      <c r="E1133">
        <v>24</v>
      </c>
      <c r="F1133" t="s">
        <v>12</v>
      </c>
      <c r="G1133">
        <v>0</v>
      </c>
      <c r="H1133">
        <v>3</v>
      </c>
    </row>
    <row r="1134" spans="1:8">
      <c r="A1134">
        <v>1133</v>
      </c>
      <c r="B1134" t="s">
        <v>11</v>
      </c>
      <c r="C1134">
        <v>84</v>
      </c>
      <c r="D1134">
        <v>133765</v>
      </c>
      <c r="E1134">
        <v>83</v>
      </c>
      <c r="F1134" t="s">
        <v>14</v>
      </c>
      <c r="G1134">
        <v>1</v>
      </c>
      <c r="H1134">
        <v>3</v>
      </c>
    </row>
    <row r="1135" spans="1:8">
      <c r="A1135">
        <v>1134</v>
      </c>
      <c r="B1135" t="s">
        <v>11</v>
      </c>
      <c r="C1135">
        <v>99</v>
      </c>
      <c r="D1135">
        <v>57677</v>
      </c>
      <c r="E1135">
        <v>99</v>
      </c>
      <c r="F1135" t="s">
        <v>12</v>
      </c>
      <c r="G1135">
        <v>0</v>
      </c>
      <c r="H1135">
        <v>5</v>
      </c>
    </row>
    <row r="1136" spans="1:8">
      <c r="A1136">
        <v>1135</v>
      </c>
      <c r="B1136" t="s">
        <v>11</v>
      </c>
      <c r="C1136">
        <v>51</v>
      </c>
      <c r="D1136">
        <v>112358</v>
      </c>
      <c r="E1136">
        <v>27</v>
      </c>
      <c r="F1136" t="s">
        <v>14</v>
      </c>
      <c r="G1136">
        <v>0</v>
      </c>
      <c r="H1136">
        <v>6</v>
      </c>
    </row>
    <row r="1137" spans="1:8">
      <c r="A1137">
        <v>1136</v>
      </c>
      <c r="B1137" t="s">
        <v>11</v>
      </c>
      <c r="C1137">
        <v>57</v>
      </c>
      <c r="D1137">
        <v>73845</v>
      </c>
      <c r="E1137">
        <v>52</v>
      </c>
      <c r="F1137" t="s">
        <v>14</v>
      </c>
      <c r="G1137">
        <v>1</v>
      </c>
      <c r="H1137">
        <v>7</v>
      </c>
    </row>
    <row r="1138" spans="1:8">
      <c r="A1138">
        <v>1137</v>
      </c>
      <c r="B1138" t="s">
        <v>8</v>
      </c>
      <c r="C1138">
        <v>92</v>
      </c>
      <c r="D1138">
        <v>89531</v>
      </c>
      <c r="E1138">
        <v>42</v>
      </c>
      <c r="F1138" t="s">
        <v>9</v>
      </c>
      <c r="G1138">
        <v>6</v>
      </c>
      <c r="H1138">
        <v>2</v>
      </c>
    </row>
    <row r="1139" spans="1:8">
      <c r="A1139">
        <v>1138</v>
      </c>
      <c r="B1139" t="s">
        <v>8</v>
      </c>
      <c r="C1139">
        <v>29</v>
      </c>
      <c r="D1139">
        <v>118092</v>
      </c>
      <c r="E1139">
        <v>100</v>
      </c>
      <c r="F1139" t="s">
        <v>13</v>
      </c>
      <c r="G1139">
        <v>7</v>
      </c>
      <c r="H1139">
        <v>3</v>
      </c>
    </row>
    <row r="1140" spans="1:8">
      <c r="A1140">
        <v>1139</v>
      </c>
      <c r="B1140" t="s">
        <v>8</v>
      </c>
      <c r="C1140">
        <v>62</v>
      </c>
      <c r="D1140">
        <v>144242</v>
      </c>
      <c r="E1140">
        <v>49</v>
      </c>
      <c r="F1140" t="s">
        <v>13</v>
      </c>
      <c r="G1140">
        <v>1</v>
      </c>
      <c r="H1140">
        <v>4</v>
      </c>
    </row>
    <row r="1141" spans="1:8">
      <c r="A1141">
        <v>1140</v>
      </c>
      <c r="B1141" t="s">
        <v>11</v>
      </c>
      <c r="C1141">
        <v>43</v>
      </c>
      <c r="D1141">
        <v>140876</v>
      </c>
      <c r="E1141">
        <v>90</v>
      </c>
      <c r="F1141" t="s">
        <v>13</v>
      </c>
      <c r="G1141">
        <v>0</v>
      </c>
      <c r="H1141">
        <v>4</v>
      </c>
    </row>
    <row r="1142" spans="1:8">
      <c r="A1142">
        <v>1141</v>
      </c>
      <c r="B1142" t="s">
        <v>8</v>
      </c>
      <c r="C1142">
        <v>72</v>
      </c>
      <c r="D1142">
        <v>76888</v>
      </c>
      <c r="E1142">
        <v>26</v>
      </c>
      <c r="F1142" t="s">
        <v>18</v>
      </c>
      <c r="G1142">
        <v>0</v>
      </c>
      <c r="H1142">
        <v>1</v>
      </c>
    </row>
    <row r="1143" spans="1:8">
      <c r="A1143">
        <v>1142</v>
      </c>
      <c r="B1143" t="s">
        <v>11</v>
      </c>
      <c r="C1143">
        <v>28</v>
      </c>
      <c r="D1143">
        <v>116644</v>
      </c>
      <c r="E1143">
        <v>88</v>
      </c>
      <c r="F1143" t="s">
        <v>14</v>
      </c>
      <c r="G1143">
        <v>6</v>
      </c>
      <c r="H1143">
        <v>3</v>
      </c>
    </row>
    <row r="1144" spans="1:8">
      <c r="A1144">
        <v>1143</v>
      </c>
      <c r="B1144" t="s">
        <v>11</v>
      </c>
      <c r="C1144">
        <v>57</v>
      </c>
      <c r="D1144">
        <v>143021</v>
      </c>
      <c r="E1144">
        <v>3</v>
      </c>
      <c r="F1144" t="s">
        <v>15</v>
      </c>
      <c r="G1144">
        <v>5</v>
      </c>
      <c r="H1144">
        <v>4</v>
      </c>
    </row>
    <row r="1145" spans="1:8">
      <c r="A1145">
        <v>1144</v>
      </c>
      <c r="B1145" t="s">
        <v>11</v>
      </c>
      <c r="C1145">
        <v>86</v>
      </c>
      <c r="D1145">
        <v>145679</v>
      </c>
      <c r="E1145">
        <v>91</v>
      </c>
      <c r="F1145" t="s">
        <v>12</v>
      </c>
      <c r="G1145">
        <v>9</v>
      </c>
      <c r="H1145">
        <v>6</v>
      </c>
    </row>
    <row r="1146" spans="1:8">
      <c r="A1146">
        <v>1145</v>
      </c>
      <c r="B1146" t="s">
        <v>11</v>
      </c>
      <c r="C1146">
        <v>26</v>
      </c>
      <c r="D1146">
        <v>64398</v>
      </c>
      <c r="E1146">
        <v>7</v>
      </c>
      <c r="F1146" t="s">
        <v>12</v>
      </c>
      <c r="G1146">
        <v>1</v>
      </c>
      <c r="H1146">
        <v>6</v>
      </c>
    </row>
    <row r="1147" spans="1:8">
      <c r="A1147">
        <v>1146</v>
      </c>
      <c r="B1147" t="s">
        <v>11</v>
      </c>
      <c r="C1147">
        <v>13</v>
      </c>
      <c r="D1147">
        <v>104512</v>
      </c>
      <c r="E1147">
        <v>40</v>
      </c>
      <c r="F1147" t="s">
        <v>18</v>
      </c>
      <c r="G1147">
        <v>9</v>
      </c>
      <c r="H1147">
        <v>3</v>
      </c>
    </row>
    <row r="1148" spans="1:8">
      <c r="A1148">
        <v>1147</v>
      </c>
      <c r="B1148" t="s">
        <v>8</v>
      </c>
      <c r="C1148">
        <v>1</v>
      </c>
      <c r="D1148">
        <v>71564</v>
      </c>
      <c r="E1148">
        <v>68</v>
      </c>
      <c r="F1148" t="s">
        <v>14</v>
      </c>
      <c r="G1148">
        <v>1</v>
      </c>
      <c r="H1148">
        <v>5</v>
      </c>
    </row>
    <row r="1149" spans="1:8">
      <c r="A1149">
        <v>1148</v>
      </c>
      <c r="B1149" t="s">
        <v>11</v>
      </c>
      <c r="C1149">
        <v>89</v>
      </c>
      <c r="D1149">
        <v>122707</v>
      </c>
      <c r="E1149">
        <v>64</v>
      </c>
      <c r="F1149" t="s">
        <v>17</v>
      </c>
      <c r="G1149">
        <v>2</v>
      </c>
      <c r="H1149">
        <v>3</v>
      </c>
    </row>
    <row r="1150" spans="1:8">
      <c r="A1150">
        <v>1149</v>
      </c>
      <c r="B1150" t="s">
        <v>11</v>
      </c>
      <c r="C1150">
        <v>91</v>
      </c>
      <c r="D1150">
        <v>51733</v>
      </c>
      <c r="E1150">
        <v>96</v>
      </c>
      <c r="F1150" t="s">
        <v>9</v>
      </c>
      <c r="G1150">
        <v>0</v>
      </c>
      <c r="H1150">
        <v>5</v>
      </c>
    </row>
    <row r="1151" spans="1:8">
      <c r="A1151">
        <v>1150</v>
      </c>
      <c r="B1151" t="s">
        <v>11</v>
      </c>
      <c r="C1151">
        <v>67</v>
      </c>
      <c r="D1151">
        <v>138087</v>
      </c>
      <c r="E1151">
        <v>63</v>
      </c>
      <c r="F1151" t="s">
        <v>18</v>
      </c>
      <c r="G1151">
        <v>1</v>
      </c>
      <c r="H1151">
        <v>7</v>
      </c>
    </row>
    <row r="1152" spans="1:8">
      <c r="A1152">
        <v>1151</v>
      </c>
      <c r="B1152" t="s">
        <v>8</v>
      </c>
      <c r="C1152">
        <v>63</v>
      </c>
      <c r="D1152">
        <v>147278</v>
      </c>
      <c r="E1152">
        <v>51</v>
      </c>
      <c r="F1152" t="s">
        <v>12</v>
      </c>
      <c r="G1152">
        <v>0</v>
      </c>
      <c r="H1152">
        <v>4</v>
      </c>
    </row>
    <row r="1153" spans="1:8">
      <c r="A1153">
        <v>1152</v>
      </c>
      <c r="B1153" t="s">
        <v>11</v>
      </c>
      <c r="C1153">
        <v>90</v>
      </c>
      <c r="D1153">
        <v>187339</v>
      </c>
      <c r="E1153">
        <v>62</v>
      </c>
      <c r="F1153" t="s">
        <v>9</v>
      </c>
      <c r="G1153">
        <v>0</v>
      </c>
      <c r="H1153">
        <v>6</v>
      </c>
    </row>
    <row r="1154" spans="1:8">
      <c r="A1154">
        <v>1153</v>
      </c>
      <c r="B1154" t="s">
        <v>11</v>
      </c>
      <c r="C1154">
        <v>87</v>
      </c>
      <c r="D1154">
        <v>129972</v>
      </c>
      <c r="E1154">
        <v>97</v>
      </c>
      <c r="F1154" t="s">
        <v>15</v>
      </c>
      <c r="G1154">
        <v>1</v>
      </c>
      <c r="H1154">
        <v>6</v>
      </c>
    </row>
    <row r="1155" spans="1:8">
      <c r="A1155">
        <v>1154</v>
      </c>
      <c r="B1155" t="s">
        <v>11</v>
      </c>
      <c r="C1155">
        <v>89</v>
      </c>
      <c r="D1155">
        <v>151176</v>
      </c>
      <c r="E1155">
        <v>55</v>
      </c>
      <c r="F1155" t="s">
        <v>9</v>
      </c>
      <c r="G1155">
        <v>1</v>
      </c>
      <c r="H1155">
        <v>2</v>
      </c>
    </row>
    <row r="1156" spans="1:8">
      <c r="A1156">
        <v>1155</v>
      </c>
      <c r="B1156" t="s">
        <v>11</v>
      </c>
      <c r="C1156">
        <v>34</v>
      </c>
      <c r="D1156">
        <v>74358</v>
      </c>
      <c r="E1156">
        <v>60</v>
      </c>
      <c r="F1156" t="s">
        <v>14</v>
      </c>
      <c r="G1156">
        <v>0</v>
      </c>
      <c r="H1156">
        <v>6</v>
      </c>
    </row>
    <row r="1157" spans="1:8">
      <c r="A1157">
        <v>1156</v>
      </c>
      <c r="B1157" t="s">
        <v>8</v>
      </c>
      <c r="C1157">
        <v>89</v>
      </c>
      <c r="D1157">
        <v>83953</v>
      </c>
      <c r="E1157">
        <v>82</v>
      </c>
      <c r="F1157" t="s">
        <v>9</v>
      </c>
      <c r="G1157">
        <v>0</v>
      </c>
      <c r="H1157">
        <v>3</v>
      </c>
    </row>
    <row r="1158" spans="1:8">
      <c r="A1158">
        <v>1157</v>
      </c>
      <c r="B1158" t="s">
        <v>8</v>
      </c>
      <c r="C1158">
        <v>31</v>
      </c>
      <c r="D1158">
        <v>62925</v>
      </c>
      <c r="E1158">
        <v>24</v>
      </c>
      <c r="F1158" t="s">
        <v>10</v>
      </c>
      <c r="G1158">
        <v>1</v>
      </c>
      <c r="H1158">
        <v>6</v>
      </c>
    </row>
    <row r="1159" spans="1:8">
      <c r="A1159">
        <v>1158</v>
      </c>
      <c r="B1159" t="s">
        <v>8</v>
      </c>
      <c r="C1159">
        <v>55</v>
      </c>
      <c r="D1159">
        <v>65257</v>
      </c>
      <c r="E1159">
        <v>93</v>
      </c>
      <c r="F1159" t="s">
        <v>16</v>
      </c>
      <c r="G1159">
        <v>2</v>
      </c>
      <c r="H1159">
        <v>3</v>
      </c>
    </row>
    <row r="1160" spans="1:8">
      <c r="A1160">
        <v>1159</v>
      </c>
      <c r="B1160" t="s">
        <v>11</v>
      </c>
      <c r="C1160">
        <v>3</v>
      </c>
      <c r="D1160">
        <v>188557</v>
      </c>
      <c r="E1160">
        <v>4</v>
      </c>
      <c r="F1160" t="s">
        <v>9</v>
      </c>
      <c r="G1160">
        <v>9</v>
      </c>
      <c r="H1160">
        <v>2</v>
      </c>
    </row>
    <row r="1161" spans="1:8">
      <c r="A1161">
        <v>1160</v>
      </c>
      <c r="B1161" t="s">
        <v>8</v>
      </c>
      <c r="C1161">
        <v>64</v>
      </c>
      <c r="D1161">
        <v>163783</v>
      </c>
      <c r="E1161">
        <v>84</v>
      </c>
      <c r="F1161" t="s">
        <v>9</v>
      </c>
      <c r="G1161">
        <v>3</v>
      </c>
      <c r="H1161">
        <v>1</v>
      </c>
    </row>
    <row r="1162" spans="1:8">
      <c r="A1162">
        <v>1161</v>
      </c>
      <c r="B1162" t="s">
        <v>11</v>
      </c>
      <c r="C1162">
        <v>1</v>
      </c>
      <c r="D1162">
        <v>108342</v>
      </c>
      <c r="E1162">
        <v>97</v>
      </c>
      <c r="F1162" t="s">
        <v>16</v>
      </c>
      <c r="G1162">
        <v>0</v>
      </c>
      <c r="H1162">
        <v>3</v>
      </c>
    </row>
    <row r="1163" spans="1:8">
      <c r="A1163">
        <v>1162</v>
      </c>
      <c r="B1163" t="s">
        <v>11</v>
      </c>
      <c r="C1163">
        <v>20</v>
      </c>
      <c r="D1163">
        <v>155951</v>
      </c>
      <c r="E1163">
        <v>21</v>
      </c>
      <c r="F1163" t="s">
        <v>9</v>
      </c>
      <c r="G1163">
        <v>7</v>
      </c>
      <c r="H1163">
        <v>4</v>
      </c>
    </row>
    <row r="1164" spans="1:8">
      <c r="A1164">
        <v>1163</v>
      </c>
      <c r="B1164" t="s">
        <v>11</v>
      </c>
      <c r="C1164">
        <v>18</v>
      </c>
      <c r="D1164">
        <v>183071</v>
      </c>
      <c r="E1164">
        <v>29</v>
      </c>
      <c r="F1164" t="s">
        <v>14</v>
      </c>
      <c r="G1164">
        <v>7</v>
      </c>
      <c r="H1164">
        <v>4</v>
      </c>
    </row>
    <row r="1165" spans="1:8">
      <c r="A1165">
        <v>1164</v>
      </c>
      <c r="B1165" t="s">
        <v>11</v>
      </c>
      <c r="C1165">
        <v>83</v>
      </c>
      <c r="D1165">
        <v>124104</v>
      </c>
      <c r="E1165">
        <v>20</v>
      </c>
      <c r="F1165" t="s">
        <v>9</v>
      </c>
      <c r="G1165">
        <v>4</v>
      </c>
      <c r="H1165">
        <v>6</v>
      </c>
    </row>
    <row r="1166" spans="1:8">
      <c r="A1166">
        <v>1165</v>
      </c>
      <c r="B1166" t="s">
        <v>11</v>
      </c>
      <c r="C1166">
        <v>21</v>
      </c>
      <c r="D1166">
        <v>136747</v>
      </c>
      <c r="E1166">
        <v>3</v>
      </c>
      <c r="F1166" t="s">
        <v>9</v>
      </c>
      <c r="G1166">
        <v>1</v>
      </c>
      <c r="H1166">
        <v>1</v>
      </c>
    </row>
    <row r="1167" spans="1:8">
      <c r="A1167">
        <v>1166</v>
      </c>
      <c r="B1167" t="s">
        <v>8</v>
      </c>
      <c r="C1167">
        <v>19</v>
      </c>
      <c r="D1167">
        <v>189498</v>
      </c>
      <c r="E1167">
        <v>18</v>
      </c>
      <c r="F1167" t="s">
        <v>14</v>
      </c>
      <c r="G1167">
        <v>4</v>
      </c>
      <c r="H1167">
        <v>1</v>
      </c>
    </row>
    <row r="1168" spans="1:8">
      <c r="A1168">
        <v>1167</v>
      </c>
      <c r="B1168" t="s">
        <v>11</v>
      </c>
      <c r="C1168">
        <v>74</v>
      </c>
      <c r="D1168">
        <v>76149</v>
      </c>
      <c r="E1168">
        <v>48</v>
      </c>
      <c r="F1168" t="s">
        <v>14</v>
      </c>
      <c r="G1168">
        <v>9</v>
      </c>
      <c r="H1168">
        <v>6</v>
      </c>
    </row>
    <row r="1169" spans="1:8">
      <c r="A1169">
        <v>1168</v>
      </c>
      <c r="B1169" t="s">
        <v>11</v>
      </c>
      <c r="C1169">
        <v>44</v>
      </c>
      <c r="D1169">
        <v>185550</v>
      </c>
      <c r="E1169">
        <v>54</v>
      </c>
      <c r="F1169" t="s">
        <v>14</v>
      </c>
      <c r="G1169">
        <v>0</v>
      </c>
      <c r="H1169">
        <v>1</v>
      </c>
    </row>
    <row r="1170" spans="1:8">
      <c r="A1170">
        <v>1169</v>
      </c>
      <c r="B1170" t="s">
        <v>11</v>
      </c>
      <c r="C1170">
        <v>52</v>
      </c>
      <c r="D1170">
        <v>119567</v>
      </c>
      <c r="E1170">
        <v>19</v>
      </c>
      <c r="F1170" t="s">
        <v>14</v>
      </c>
      <c r="G1170">
        <v>5</v>
      </c>
      <c r="H1170">
        <v>2</v>
      </c>
    </row>
    <row r="1171" spans="1:8">
      <c r="A1171">
        <v>1170</v>
      </c>
      <c r="B1171" t="s">
        <v>11</v>
      </c>
      <c r="C1171">
        <v>14</v>
      </c>
      <c r="D1171">
        <v>79806</v>
      </c>
      <c r="E1171">
        <v>30</v>
      </c>
      <c r="F1171" t="s">
        <v>10</v>
      </c>
      <c r="G1171">
        <v>1</v>
      </c>
      <c r="H1171">
        <v>6</v>
      </c>
    </row>
    <row r="1172" spans="1:8">
      <c r="A1172">
        <v>1171</v>
      </c>
      <c r="B1172" t="s">
        <v>8</v>
      </c>
      <c r="C1172">
        <v>10</v>
      </c>
      <c r="D1172">
        <v>180774</v>
      </c>
      <c r="E1172">
        <v>66</v>
      </c>
      <c r="F1172" t="s">
        <v>13</v>
      </c>
      <c r="G1172">
        <v>1</v>
      </c>
      <c r="H1172">
        <v>5</v>
      </c>
    </row>
    <row r="1173" spans="1:8">
      <c r="A1173">
        <v>1172</v>
      </c>
      <c r="B1173" t="s">
        <v>11</v>
      </c>
      <c r="C1173">
        <v>80</v>
      </c>
      <c r="D1173">
        <v>90142</v>
      </c>
      <c r="E1173">
        <v>50</v>
      </c>
      <c r="F1173" t="s">
        <v>12</v>
      </c>
      <c r="G1173">
        <v>1</v>
      </c>
      <c r="H1173">
        <v>2</v>
      </c>
    </row>
    <row r="1174" spans="1:8">
      <c r="A1174">
        <v>1173</v>
      </c>
      <c r="B1174" t="s">
        <v>11</v>
      </c>
      <c r="C1174">
        <v>82</v>
      </c>
      <c r="D1174">
        <v>184481</v>
      </c>
      <c r="E1174">
        <v>84</v>
      </c>
      <c r="F1174" t="s">
        <v>15</v>
      </c>
      <c r="G1174">
        <v>0</v>
      </c>
      <c r="H1174">
        <v>2</v>
      </c>
    </row>
    <row r="1175" spans="1:8">
      <c r="A1175">
        <v>1174</v>
      </c>
      <c r="B1175" t="s">
        <v>11</v>
      </c>
      <c r="C1175">
        <v>32</v>
      </c>
      <c r="D1175">
        <v>66089</v>
      </c>
      <c r="E1175">
        <v>75</v>
      </c>
      <c r="F1175" t="s">
        <v>14</v>
      </c>
      <c r="G1175">
        <v>6</v>
      </c>
      <c r="H1175">
        <v>3</v>
      </c>
    </row>
    <row r="1176" spans="1:8">
      <c r="A1176">
        <v>1175</v>
      </c>
      <c r="B1176" t="s">
        <v>11</v>
      </c>
      <c r="C1176">
        <v>16</v>
      </c>
      <c r="D1176">
        <v>60044</v>
      </c>
      <c r="E1176">
        <v>83</v>
      </c>
      <c r="F1176" t="s">
        <v>14</v>
      </c>
      <c r="G1176">
        <v>4</v>
      </c>
      <c r="H1176">
        <v>1</v>
      </c>
    </row>
    <row r="1177" spans="1:8">
      <c r="A1177">
        <v>1176</v>
      </c>
      <c r="B1177" t="s">
        <v>8</v>
      </c>
      <c r="C1177">
        <v>61</v>
      </c>
      <c r="D1177">
        <v>52543</v>
      </c>
      <c r="E1177">
        <v>23</v>
      </c>
      <c r="F1177" t="s">
        <v>15</v>
      </c>
      <c r="G1177">
        <v>0</v>
      </c>
      <c r="H1177">
        <v>6</v>
      </c>
    </row>
    <row r="1178" spans="1:8">
      <c r="A1178">
        <v>1177</v>
      </c>
      <c r="B1178" t="s">
        <v>8</v>
      </c>
      <c r="C1178">
        <v>57</v>
      </c>
      <c r="D1178">
        <v>50429</v>
      </c>
      <c r="E1178">
        <v>23</v>
      </c>
      <c r="F1178" t="s">
        <v>14</v>
      </c>
      <c r="G1178">
        <v>0</v>
      </c>
      <c r="H1178">
        <v>1</v>
      </c>
    </row>
    <row r="1179" spans="1:8">
      <c r="A1179">
        <v>1178</v>
      </c>
      <c r="B1179" t="s">
        <v>8</v>
      </c>
      <c r="C1179">
        <v>95</v>
      </c>
      <c r="D1179">
        <v>178228</v>
      </c>
      <c r="E1179">
        <v>45</v>
      </c>
      <c r="F1179" t="s">
        <v>10</v>
      </c>
      <c r="G1179">
        <v>1</v>
      </c>
      <c r="H1179">
        <v>2</v>
      </c>
    </row>
    <row r="1180" spans="1:8">
      <c r="A1180">
        <v>1179</v>
      </c>
      <c r="B1180" t="s">
        <v>11</v>
      </c>
      <c r="C1180">
        <v>38</v>
      </c>
      <c r="D1180">
        <v>161130</v>
      </c>
      <c r="E1180">
        <v>98</v>
      </c>
      <c r="F1180" t="s">
        <v>14</v>
      </c>
      <c r="G1180">
        <v>8</v>
      </c>
      <c r="H1180">
        <v>3</v>
      </c>
    </row>
    <row r="1181" spans="1:8">
      <c r="A1181">
        <v>1180</v>
      </c>
      <c r="B1181" t="s">
        <v>8</v>
      </c>
      <c r="C1181">
        <v>70</v>
      </c>
      <c r="D1181">
        <v>87976</v>
      </c>
      <c r="E1181">
        <v>38</v>
      </c>
      <c r="F1181" t="s">
        <v>12</v>
      </c>
      <c r="G1181">
        <v>1</v>
      </c>
      <c r="H1181">
        <v>6</v>
      </c>
    </row>
    <row r="1182" spans="1:8">
      <c r="A1182">
        <v>1181</v>
      </c>
      <c r="B1182" t="s">
        <v>11</v>
      </c>
      <c r="C1182">
        <v>40</v>
      </c>
      <c r="D1182">
        <v>179150</v>
      </c>
      <c r="E1182">
        <v>91</v>
      </c>
      <c r="F1182" t="s">
        <v>14</v>
      </c>
      <c r="G1182">
        <v>5</v>
      </c>
      <c r="H1182">
        <v>2</v>
      </c>
    </row>
    <row r="1183" spans="1:8">
      <c r="A1183">
        <v>1182</v>
      </c>
      <c r="B1183" t="s">
        <v>11</v>
      </c>
      <c r="C1183">
        <v>92</v>
      </c>
      <c r="D1183">
        <v>163442</v>
      </c>
      <c r="E1183">
        <v>32</v>
      </c>
      <c r="F1183" t="s">
        <v>15</v>
      </c>
      <c r="G1183">
        <v>1</v>
      </c>
      <c r="H1183">
        <v>6</v>
      </c>
    </row>
    <row r="1184" spans="1:8">
      <c r="A1184">
        <v>1183</v>
      </c>
      <c r="B1184" t="s">
        <v>11</v>
      </c>
      <c r="C1184">
        <v>73</v>
      </c>
      <c r="D1184">
        <v>108159</v>
      </c>
      <c r="E1184">
        <v>18</v>
      </c>
      <c r="F1184" t="s">
        <v>13</v>
      </c>
      <c r="G1184">
        <v>8</v>
      </c>
      <c r="H1184">
        <v>7</v>
      </c>
    </row>
    <row r="1185" spans="1:8">
      <c r="A1185">
        <v>1184</v>
      </c>
      <c r="B1185" t="s">
        <v>11</v>
      </c>
      <c r="C1185">
        <v>62</v>
      </c>
      <c r="D1185">
        <v>73419</v>
      </c>
      <c r="E1185">
        <v>14</v>
      </c>
      <c r="F1185" t="s">
        <v>9</v>
      </c>
      <c r="G1185">
        <v>0</v>
      </c>
      <c r="H1185">
        <v>1</v>
      </c>
    </row>
    <row r="1186" spans="1:8">
      <c r="A1186">
        <v>1185</v>
      </c>
      <c r="B1186" t="s">
        <v>11</v>
      </c>
      <c r="C1186">
        <v>12</v>
      </c>
      <c r="D1186">
        <v>138425</v>
      </c>
      <c r="E1186">
        <v>78</v>
      </c>
      <c r="F1186" t="s">
        <v>16</v>
      </c>
      <c r="G1186">
        <v>11</v>
      </c>
      <c r="H1186">
        <v>6</v>
      </c>
    </row>
    <row r="1187" spans="1:8">
      <c r="A1187">
        <v>1186</v>
      </c>
      <c r="B1187" t="s">
        <v>8</v>
      </c>
      <c r="C1187">
        <v>65</v>
      </c>
      <c r="D1187">
        <v>54431</v>
      </c>
      <c r="E1187">
        <v>93</v>
      </c>
      <c r="F1187" t="s">
        <v>9</v>
      </c>
      <c r="G1187">
        <v>1</v>
      </c>
      <c r="H1187">
        <v>7</v>
      </c>
    </row>
    <row r="1188" spans="1:8">
      <c r="A1188">
        <v>1187</v>
      </c>
      <c r="B1188" t="s">
        <v>11</v>
      </c>
      <c r="C1188">
        <v>88</v>
      </c>
      <c r="D1188">
        <v>168437</v>
      </c>
      <c r="E1188">
        <v>81</v>
      </c>
      <c r="F1188" t="s">
        <v>14</v>
      </c>
      <c r="G1188">
        <v>2</v>
      </c>
      <c r="H1188">
        <v>2</v>
      </c>
    </row>
    <row r="1189" spans="1:8">
      <c r="A1189">
        <v>1188</v>
      </c>
      <c r="B1189" t="s">
        <v>11</v>
      </c>
      <c r="C1189">
        <v>55</v>
      </c>
      <c r="D1189">
        <v>71322</v>
      </c>
      <c r="E1189">
        <v>54</v>
      </c>
      <c r="F1189" t="s">
        <v>13</v>
      </c>
      <c r="G1189">
        <v>1</v>
      </c>
      <c r="H1189">
        <v>6</v>
      </c>
    </row>
    <row r="1190" spans="1:8">
      <c r="A1190">
        <v>1189</v>
      </c>
      <c r="B1190" t="s">
        <v>11</v>
      </c>
      <c r="C1190">
        <v>99</v>
      </c>
      <c r="D1190">
        <v>122548</v>
      </c>
      <c r="E1190">
        <v>14</v>
      </c>
      <c r="G1190">
        <v>2</v>
      </c>
      <c r="H1190">
        <v>5</v>
      </c>
    </row>
    <row r="1191" spans="1:8">
      <c r="A1191">
        <v>1190</v>
      </c>
      <c r="B1191" t="s">
        <v>11</v>
      </c>
      <c r="C1191">
        <v>20</v>
      </c>
      <c r="D1191">
        <v>141428</v>
      </c>
      <c r="E1191">
        <v>32</v>
      </c>
      <c r="F1191" t="s">
        <v>13</v>
      </c>
      <c r="G1191">
        <v>1</v>
      </c>
      <c r="H1191">
        <v>5</v>
      </c>
    </row>
    <row r="1192" spans="1:8">
      <c r="A1192">
        <v>1191</v>
      </c>
      <c r="B1192" t="s">
        <v>8</v>
      </c>
      <c r="C1192">
        <v>97</v>
      </c>
      <c r="D1192">
        <v>142214</v>
      </c>
      <c r="E1192">
        <v>32</v>
      </c>
      <c r="F1192" t="s">
        <v>14</v>
      </c>
      <c r="G1192">
        <v>7</v>
      </c>
      <c r="H1192">
        <v>4</v>
      </c>
    </row>
    <row r="1193" spans="1:8">
      <c r="A1193">
        <v>1192</v>
      </c>
      <c r="B1193" t="s">
        <v>11</v>
      </c>
      <c r="C1193">
        <v>93</v>
      </c>
      <c r="D1193">
        <v>62590</v>
      </c>
      <c r="E1193">
        <v>43</v>
      </c>
      <c r="F1193" t="s">
        <v>14</v>
      </c>
      <c r="G1193">
        <v>9</v>
      </c>
      <c r="H1193">
        <v>6</v>
      </c>
    </row>
    <row r="1194" spans="1:8">
      <c r="A1194">
        <v>1193</v>
      </c>
      <c r="B1194" t="s">
        <v>8</v>
      </c>
      <c r="C1194">
        <v>84</v>
      </c>
      <c r="D1194">
        <v>172523</v>
      </c>
      <c r="E1194">
        <v>83</v>
      </c>
      <c r="F1194" t="s">
        <v>14</v>
      </c>
      <c r="G1194">
        <v>6</v>
      </c>
      <c r="H1194">
        <v>2</v>
      </c>
    </row>
    <row r="1195" spans="1:8">
      <c r="A1195">
        <v>1194</v>
      </c>
      <c r="B1195" t="s">
        <v>11</v>
      </c>
      <c r="C1195">
        <v>16</v>
      </c>
      <c r="D1195">
        <v>157588</v>
      </c>
      <c r="E1195">
        <v>76</v>
      </c>
      <c r="F1195" t="s">
        <v>15</v>
      </c>
      <c r="G1195">
        <v>2</v>
      </c>
      <c r="H1195">
        <v>6</v>
      </c>
    </row>
    <row r="1196" spans="1:8">
      <c r="A1196">
        <v>1195</v>
      </c>
      <c r="B1196" t="s">
        <v>11</v>
      </c>
      <c r="C1196">
        <v>10</v>
      </c>
      <c r="D1196">
        <v>143313</v>
      </c>
      <c r="E1196">
        <v>57</v>
      </c>
      <c r="F1196" t="s">
        <v>16</v>
      </c>
      <c r="G1196">
        <v>4</v>
      </c>
      <c r="H1196">
        <v>7</v>
      </c>
    </row>
    <row r="1197" spans="1:8">
      <c r="A1197">
        <v>1196</v>
      </c>
      <c r="B1197" t="s">
        <v>11</v>
      </c>
      <c r="C1197">
        <v>59</v>
      </c>
      <c r="D1197">
        <v>119833</v>
      </c>
      <c r="E1197">
        <v>38</v>
      </c>
      <c r="F1197" t="s">
        <v>16</v>
      </c>
      <c r="G1197">
        <v>1</v>
      </c>
      <c r="H1197">
        <v>2</v>
      </c>
    </row>
    <row r="1198" spans="1:8">
      <c r="A1198">
        <v>1197</v>
      </c>
      <c r="B1198" t="s">
        <v>11</v>
      </c>
      <c r="C1198">
        <v>54</v>
      </c>
      <c r="D1198">
        <v>70803</v>
      </c>
      <c r="E1198">
        <v>35</v>
      </c>
      <c r="F1198" t="s">
        <v>13</v>
      </c>
      <c r="G1198">
        <v>0</v>
      </c>
      <c r="H1198">
        <v>5</v>
      </c>
    </row>
    <row r="1199" spans="1:8">
      <c r="A1199">
        <v>1198</v>
      </c>
      <c r="B1199" t="s">
        <v>8</v>
      </c>
      <c r="C1199">
        <v>82</v>
      </c>
      <c r="D1199">
        <v>139008</v>
      </c>
      <c r="E1199">
        <v>47</v>
      </c>
      <c r="F1199" t="s">
        <v>14</v>
      </c>
      <c r="G1199">
        <v>1</v>
      </c>
      <c r="H1199">
        <v>4</v>
      </c>
    </row>
    <row r="1200" spans="1:8">
      <c r="A1200">
        <v>1199</v>
      </c>
      <c r="B1200" t="s">
        <v>8</v>
      </c>
      <c r="C1200">
        <v>83</v>
      </c>
      <c r="D1200">
        <v>126669</v>
      </c>
      <c r="E1200">
        <v>53</v>
      </c>
      <c r="F1200" t="s">
        <v>14</v>
      </c>
      <c r="G1200">
        <v>1</v>
      </c>
      <c r="H1200">
        <v>6</v>
      </c>
    </row>
    <row r="1201" spans="1:8">
      <c r="A1201">
        <v>1200</v>
      </c>
      <c r="B1201" t="s">
        <v>8</v>
      </c>
      <c r="C1201">
        <v>87</v>
      </c>
      <c r="D1201">
        <v>122722</v>
      </c>
      <c r="E1201">
        <v>10</v>
      </c>
      <c r="F1201" t="s">
        <v>15</v>
      </c>
      <c r="G1201">
        <v>9</v>
      </c>
      <c r="H1201">
        <v>4</v>
      </c>
    </row>
    <row r="1202" spans="1:8">
      <c r="A1202">
        <v>1201</v>
      </c>
      <c r="B1202" t="s">
        <v>8</v>
      </c>
      <c r="C1202">
        <v>1</v>
      </c>
      <c r="D1202">
        <v>79800</v>
      </c>
      <c r="E1202">
        <v>47</v>
      </c>
      <c r="F1202" t="s">
        <v>14</v>
      </c>
      <c r="G1202">
        <v>0</v>
      </c>
      <c r="H1202">
        <v>1</v>
      </c>
    </row>
    <row r="1203" spans="1:8">
      <c r="A1203">
        <v>1202</v>
      </c>
      <c r="B1203" t="s">
        <v>8</v>
      </c>
      <c r="C1203">
        <v>89</v>
      </c>
      <c r="D1203">
        <v>100155</v>
      </c>
      <c r="E1203">
        <v>5</v>
      </c>
      <c r="F1203" t="s">
        <v>9</v>
      </c>
      <c r="G1203">
        <v>6</v>
      </c>
      <c r="H1203">
        <v>1</v>
      </c>
    </row>
    <row r="1204" spans="1:8">
      <c r="A1204">
        <v>1203</v>
      </c>
      <c r="B1204" t="s">
        <v>11</v>
      </c>
      <c r="C1204">
        <v>32</v>
      </c>
      <c r="D1204">
        <v>110846</v>
      </c>
      <c r="E1204">
        <v>49</v>
      </c>
      <c r="F1204" t="s">
        <v>14</v>
      </c>
      <c r="G1204">
        <v>0</v>
      </c>
      <c r="H1204">
        <v>2</v>
      </c>
    </row>
    <row r="1205" spans="1:8">
      <c r="A1205">
        <v>1204</v>
      </c>
      <c r="B1205" t="s">
        <v>11</v>
      </c>
      <c r="C1205">
        <v>1</v>
      </c>
      <c r="D1205">
        <v>106841</v>
      </c>
      <c r="E1205">
        <v>69</v>
      </c>
      <c r="F1205" t="s">
        <v>13</v>
      </c>
      <c r="G1205">
        <v>0</v>
      </c>
      <c r="H1205">
        <v>3</v>
      </c>
    </row>
    <row r="1206" spans="1:8">
      <c r="A1206">
        <v>1205</v>
      </c>
      <c r="B1206" t="s">
        <v>11</v>
      </c>
      <c r="C1206">
        <v>54</v>
      </c>
      <c r="D1206">
        <v>117181</v>
      </c>
      <c r="E1206">
        <v>66</v>
      </c>
      <c r="F1206" t="s">
        <v>16</v>
      </c>
      <c r="G1206">
        <v>12</v>
      </c>
      <c r="H1206">
        <v>5</v>
      </c>
    </row>
    <row r="1207" spans="1:8">
      <c r="A1207">
        <v>1206</v>
      </c>
      <c r="B1207" t="s">
        <v>11</v>
      </c>
      <c r="C1207">
        <v>56</v>
      </c>
      <c r="D1207">
        <v>86898</v>
      </c>
      <c r="E1207">
        <v>76</v>
      </c>
      <c r="F1207" t="s">
        <v>9</v>
      </c>
      <c r="G1207">
        <v>0</v>
      </c>
      <c r="H1207">
        <v>6</v>
      </c>
    </row>
    <row r="1208" spans="1:8">
      <c r="A1208">
        <v>1207</v>
      </c>
      <c r="B1208" t="s">
        <v>11</v>
      </c>
      <c r="C1208">
        <v>31</v>
      </c>
      <c r="D1208">
        <v>143241</v>
      </c>
      <c r="E1208">
        <v>81</v>
      </c>
      <c r="F1208" t="s">
        <v>15</v>
      </c>
      <c r="G1208">
        <v>4</v>
      </c>
      <c r="H1208">
        <v>7</v>
      </c>
    </row>
    <row r="1209" spans="1:8">
      <c r="A1209">
        <v>1208</v>
      </c>
      <c r="B1209" t="s">
        <v>11</v>
      </c>
      <c r="C1209">
        <v>26</v>
      </c>
      <c r="D1209">
        <v>146028</v>
      </c>
      <c r="E1209">
        <v>33</v>
      </c>
      <c r="F1209" t="s">
        <v>9</v>
      </c>
      <c r="G1209">
        <v>0</v>
      </c>
      <c r="H1209">
        <v>5</v>
      </c>
    </row>
    <row r="1210" spans="1:8">
      <c r="A1210">
        <v>1209</v>
      </c>
      <c r="B1210" t="s">
        <v>8</v>
      </c>
      <c r="C1210">
        <v>7</v>
      </c>
      <c r="D1210">
        <v>165287</v>
      </c>
      <c r="E1210">
        <v>65</v>
      </c>
      <c r="F1210" t="s">
        <v>16</v>
      </c>
      <c r="G1210">
        <v>1</v>
      </c>
      <c r="H1210">
        <v>3</v>
      </c>
    </row>
    <row r="1211" spans="1:8">
      <c r="A1211">
        <v>1210</v>
      </c>
      <c r="B1211" t="s">
        <v>11</v>
      </c>
      <c r="C1211">
        <v>60</v>
      </c>
      <c r="D1211">
        <v>132486</v>
      </c>
      <c r="E1211">
        <v>9</v>
      </c>
      <c r="F1211" t="s">
        <v>14</v>
      </c>
      <c r="G1211">
        <v>1</v>
      </c>
      <c r="H1211">
        <v>2</v>
      </c>
    </row>
    <row r="1212" spans="1:8">
      <c r="A1212">
        <v>1211</v>
      </c>
      <c r="B1212" t="s">
        <v>8</v>
      </c>
      <c r="C1212">
        <v>92</v>
      </c>
      <c r="D1212">
        <v>96424</v>
      </c>
      <c r="E1212">
        <v>74</v>
      </c>
      <c r="F1212" t="s">
        <v>14</v>
      </c>
      <c r="G1212">
        <v>8</v>
      </c>
      <c r="H1212">
        <v>5</v>
      </c>
    </row>
    <row r="1213" spans="1:8">
      <c r="A1213">
        <v>1212</v>
      </c>
      <c r="B1213" t="s">
        <v>11</v>
      </c>
      <c r="C1213">
        <v>93</v>
      </c>
      <c r="D1213">
        <v>151468</v>
      </c>
      <c r="E1213">
        <v>41</v>
      </c>
      <c r="F1213" t="s">
        <v>14</v>
      </c>
      <c r="G1213">
        <v>1</v>
      </c>
      <c r="H1213">
        <v>5</v>
      </c>
    </row>
    <row r="1214" spans="1:8">
      <c r="A1214">
        <v>1213</v>
      </c>
      <c r="B1214" t="s">
        <v>11</v>
      </c>
      <c r="C1214">
        <v>8</v>
      </c>
      <c r="D1214">
        <v>76561</v>
      </c>
      <c r="E1214">
        <v>79</v>
      </c>
      <c r="F1214" t="s">
        <v>9</v>
      </c>
      <c r="G1214">
        <v>0</v>
      </c>
      <c r="H1214">
        <v>1</v>
      </c>
    </row>
    <row r="1215" spans="1:8">
      <c r="A1215">
        <v>1214</v>
      </c>
      <c r="B1215" t="s">
        <v>11</v>
      </c>
      <c r="C1215">
        <v>81</v>
      </c>
      <c r="D1215">
        <v>125316</v>
      </c>
      <c r="E1215">
        <v>81</v>
      </c>
      <c r="F1215" t="s">
        <v>12</v>
      </c>
      <c r="G1215">
        <v>0</v>
      </c>
      <c r="H1215">
        <v>6</v>
      </c>
    </row>
    <row r="1216" spans="1:8">
      <c r="A1216">
        <v>1215</v>
      </c>
      <c r="B1216" t="s">
        <v>8</v>
      </c>
      <c r="C1216">
        <v>21</v>
      </c>
      <c r="D1216">
        <v>109373</v>
      </c>
      <c r="E1216">
        <v>22</v>
      </c>
      <c r="F1216" t="s">
        <v>13</v>
      </c>
      <c r="G1216">
        <v>4</v>
      </c>
      <c r="H1216">
        <v>2</v>
      </c>
    </row>
    <row r="1217" spans="1:8">
      <c r="A1217">
        <v>1216</v>
      </c>
      <c r="B1217" t="s">
        <v>8</v>
      </c>
      <c r="C1217">
        <v>96</v>
      </c>
      <c r="D1217">
        <v>135042</v>
      </c>
      <c r="E1217">
        <v>12</v>
      </c>
      <c r="F1217" t="s">
        <v>14</v>
      </c>
      <c r="G1217">
        <v>0</v>
      </c>
      <c r="H1217">
        <v>7</v>
      </c>
    </row>
    <row r="1218" spans="1:8">
      <c r="A1218">
        <v>1217</v>
      </c>
      <c r="B1218" t="s">
        <v>11</v>
      </c>
      <c r="C1218">
        <v>78</v>
      </c>
      <c r="D1218">
        <v>59784</v>
      </c>
      <c r="E1218">
        <v>81</v>
      </c>
      <c r="F1218" t="s">
        <v>14</v>
      </c>
      <c r="G1218">
        <v>3</v>
      </c>
      <c r="H1218">
        <v>3</v>
      </c>
    </row>
    <row r="1219" spans="1:8">
      <c r="A1219">
        <v>1218</v>
      </c>
      <c r="B1219" t="s">
        <v>8</v>
      </c>
      <c r="C1219">
        <v>86</v>
      </c>
      <c r="D1219">
        <v>140687</v>
      </c>
      <c r="E1219">
        <v>63</v>
      </c>
      <c r="F1219" t="s">
        <v>14</v>
      </c>
      <c r="G1219">
        <v>1</v>
      </c>
      <c r="H1219">
        <v>2</v>
      </c>
    </row>
    <row r="1220" spans="1:8">
      <c r="A1220">
        <v>1219</v>
      </c>
      <c r="B1220" t="s">
        <v>8</v>
      </c>
      <c r="C1220">
        <v>1</v>
      </c>
      <c r="D1220">
        <v>182927</v>
      </c>
      <c r="E1220">
        <v>55</v>
      </c>
      <c r="F1220" t="s">
        <v>9</v>
      </c>
      <c r="G1220">
        <v>1</v>
      </c>
      <c r="H1220">
        <v>1</v>
      </c>
    </row>
    <row r="1221" spans="1:8">
      <c r="A1221">
        <v>1220</v>
      </c>
      <c r="B1221" t="s">
        <v>11</v>
      </c>
      <c r="C1221">
        <v>62</v>
      </c>
      <c r="D1221">
        <v>175534</v>
      </c>
      <c r="E1221">
        <v>44</v>
      </c>
      <c r="F1221" t="s">
        <v>14</v>
      </c>
      <c r="G1221">
        <v>1</v>
      </c>
      <c r="H1221">
        <v>6</v>
      </c>
    </row>
    <row r="1222" spans="1:8">
      <c r="A1222">
        <v>1221</v>
      </c>
      <c r="B1222" t="s">
        <v>8</v>
      </c>
      <c r="C1222">
        <v>68</v>
      </c>
      <c r="D1222">
        <v>170957</v>
      </c>
      <c r="E1222">
        <v>6</v>
      </c>
      <c r="F1222" t="s">
        <v>12</v>
      </c>
      <c r="G1222">
        <v>1</v>
      </c>
      <c r="H1222">
        <v>3</v>
      </c>
    </row>
    <row r="1223" spans="1:8">
      <c r="A1223">
        <v>1222</v>
      </c>
      <c r="B1223" t="s">
        <v>8</v>
      </c>
      <c r="C1223">
        <v>70</v>
      </c>
      <c r="D1223">
        <v>81197</v>
      </c>
      <c r="E1223">
        <v>76</v>
      </c>
      <c r="F1223" t="s">
        <v>14</v>
      </c>
      <c r="G1223">
        <v>0</v>
      </c>
      <c r="H1223">
        <v>4</v>
      </c>
    </row>
    <row r="1224" spans="1:8">
      <c r="A1224">
        <v>1223</v>
      </c>
      <c r="B1224" t="s">
        <v>11</v>
      </c>
      <c r="C1224">
        <v>21</v>
      </c>
      <c r="D1224">
        <v>104888</v>
      </c>
      <c r="E1224">
        <v>8</v>
      </c>
      <c r="F1224" t="s">
        <v>9</v>
      </c>
      <c r="G1224">
        <v>0</v>
      </c>
      <c r="H1224">
        <v>4</v>
      </c>
    </row>
    <row r="1225" spans="1:8">
      <c r="A1225">
        <v>1224</v>
      </c>
      <c r="B1225" t="s">
        <v>8</v>
      </c>
      <c r="C1225">
        <v>74</v>
      </c>
      <c r="D1225">
        <v>184838</v>
      </c>
      <c r="E1225">
        <v>18</v>
      </c>
      <c r="G1225">
        <v>8</v>
      </c>
      <c r="H1225">
        <v>5</v>
      </c>
    </row>
    <row r="1226" spans="1:8">
      <c r="A1226">
        <v>1225</v>
      </c>
      <c r="B1226" t="s">
        <v>11</v>
      </c>
      <c r="C1226">
        <v>62</v>
      </c>
      <c r="D1226">
        <v>139588</v>
      </c>
      <c r="E1226">
        <v>66</v>
      </c>
      <c r="F1226" t="s">
        <v>15</v>
      </c>
      <c r="G1226">
        <v>0</v>
      </c>
      <c r="H1226">
        <v>2</v>
      </c>
    </row>
    <row r="1227" spans="1:8">
      <c r="A1227">
        <v>1226</v>
      </c>
      <c r="B1227" t="s">
        <v>8</v>
      </c>
      <c r="C1227">
        <v>22</v>
      </c>
      <c r="D1227">
        <v>126543</v>
      </c>
      <c r="E1227">
        <v>45</v>
      </c>
      <c r="F1227" t="s">
        <v>17</v>
      </c>
      <c r="G1227">
        <v>0</v>
      </c>
      <c r="H1227">
        <v>3</v>
      </c>
    </row>
    <row r="1228" spans="1:8">
      <c r="A1228">
        <v>1227</v>
      </c>
      <c r="B1228" t="s">
        <v>11</v>
      </c>
      <c r="C1228">
        <v>87</v>
      </c>
      <c r="D1228">
        <v>177260</v>
      </c>
      <c r="E1228">
        <v>45</v>
      </c>
      <c r="F1228" t="s">
        <v>13</v>
      </c>
      <c r="G1228">
        <v>14</v>
      </c>
      <c r="H1228">
        <v>2</v>
      </c>
    </row>
    <row r="1229" spans="1:8">
      <c r="A1229">
        <v>1228</v>
      </c>
      <c r="B1229" t="s">
        <v>8</v>
      </c>
      <c r="C1229">
        <v>44</v>
      </c>
      <c r="D1229">
        <v>156823</v>
      </c>
      <c r="E1229">
        <v>42</v>
      </c>
      <c r="F1229" t="s">
        <v>9</v>
      </c>
      <c r="G1229">
        <v>9</v>
      </c>
      <c r="H1229">
        <v>5</v>
      </c>
    </row>
    <row r="1230" spans="1:8">
      <c r="A1230">
        <v>1229</v>
      </c>
      <c r="B1230" t="s">
        <v>11</v>
      </c>
      <c r="C1230">
        <v>27</v>
      </c>
      <c r="D1230">
        <v>183201</v>
      </c>
      <c r="E1230">
        <v>52</v>
      </c>
      <c r="F1230" t="s">
        <v>10</v>
      </c>
      <c r="G1230">
        <v>8</v>
      </c>
      <c r="H1230">
        <v>6</v>
      </c>
    </row>
    <row r="1231" spans="1:8">
      <c r="A1231">
        <v>1230</v>
      </c>
      <c r="B1231" t="s">
        <v>11</v>
      </c>
      <c r="C1231">
        <v>95</v>
      </c>
      <c r="D1231">
        <v>84925</v>
      </c>
      <c r="E1231">
        <v>46</v>
      </c>
      <c r="F1231" t="s">
        <v>14</v>
      </c>
      <c r="G1231">
        <v>4</v>
      </c>
      <c r="H1231">
        <v>6</v>
      </c>
    </row>
    <row r="1232" spans="1:8">
      <c r="A1232">
        <v>1231</v>
      </c>
      <c r="B1232" t="s">
        <v>8</v>
      </c>
      <c r="C1232">
        <v>89</v>
      </c>
      <c r="D1232">
        <v>69719</v>
      </c>
      <c r="E1232">
        <v>47</v>
      </c>
      <c r="F1232" t="s">
        <v>14</v>
      </c>
      <c r="G1232">
        <v>9</v>
      </c>
      <c r="H1232">
        <v>2</v>
      </c>
    </row>
    <row r="1233" spans="1:8">
      <c r="A1233">
        <v>1232</v>
      </c>
      <c r="B1233" t="s">
        <v>11</v>
      </c>
      <c r="C1233">
        <v>41</v>
      </c>
      <c r="D1233">
        <v>61355</v>
      </c>
      <c r="E1233">
        <v>13</v>
      </c>
      <c r="F1233" t="s">
        <v>9</v>
      </c>
      <c r="G1233">
        <v>1</v>
      </c>
      <c r="H1233">
        <v>3</v>
      </c>
    </row>
    <row r="1234" spans="1:8">
      <c r="A1234">
        <v>1233</v>
      </c>
      <c r="B1234" t="s">
        <v>8</v>
      </c>
      <c r="C1234">
        <v>41</v>
      </c>
      <c r="D1234">
        <v>156014</v>
      </c>
      <c r="E1234">
        <v>49</v>
      </c>
      <c r="F1234" t="s">
        <v>16</v>
      </c>
      <c r="G1234">
        <v>14</v>
      </c>
      <c r="H1234">
        <v>5</v>
      </c>
    </row>
    <row r="1235" spans="1:8">
      <c r="A1235">
        <v>1234</v>
      </c>
      <c r="B1235" t="s">
        <v>8</v>
      </c>
      <c r="C1235">
        <v>21</v>
      </c>
      <c r="D1235">
        <v>184088</v>
      </c>
      <c r="E1235">
        <v>21</v>
      </c>
      <c r="F1235" t="s">
        <v>13</v>
      </c>
      <c r="G1235">
        <v>11</v>
      </c>
      <c r="H1235">
        <v>7</v>
      </c>
    </row>
    <row r="1236" spans="1:8">
      <c r="A1236">
        <v>1235</v>
      </c>
      <c r="B1236" t="s">
        <v>11</v>
      </c>
      <c r="C1236">
        <v>59</v>
      </c>
      <c r="D1236">
        <v>158372</v>
      </c>
      <c r="E1236">
        <v>98</v>
      </c>
      <c r="F1236" t="s">
        <v>14</v>
      </c>
      <c r="G1236">
        <v>1</v>
      </c>
      <c r="H1236">
        <v>1</v>
      </c>
    </row>
    <row r="1237" spans="1:8">
      <c r="A1237">
        <v>1236</v>
      </c>
      <c r="B1237" t="s">
        <v>11</v>
      </c>
      <c r="C1237">
        <v>64</v>
      </c>
      <c r="D1237">
        <v>135742</v>
      </c>
      <c r="E1237">
        <v>67</v>
      </c>
      <c r="F1237" t="s">
        <v>9</v>
      </c>
      <c r="G1237">
        <v>1</v>
      </c>
      <c r="H1237">
        <v>7</v>
      </c>
    </row>
    <row r="1238" spans="1:8">
      <c r="A1238">
        <v>1237</v>
      </c>
      <c r="B1238" t="s">
        <v>11</v>
      </c>
      <c r="C1238">
        <v>38</v>
      </c>
      <c r="D1238">
        <v>145704</v>
      </c>
      <c r="E1238">
        <v>82</v>
      </c>
      <c r="F1238" t="s">
        <v>18</v>
      </c>
      <c r="G1238">
        <v>0</v>
      </c>
      <c r="H1238">
        <v>4</v>
      </c>
    </row>
    <row r="1239" spans="1:8">
      <c r="A1239">
        <v>1238</v>
      </c>
      <c r="B1239" t="s">
        <v>11</v>
      </c>
      <c r="C1239">
        <v>70</v>
      </c>
      <c r="D1239">
        <v>157307</v>
      </c>
      <c r="E1239">
        <v>23</v>
      </c>
      <c r="F1239" t="s">
        <v>15</v>
      </c>
      <c r="G1239">
        <v>4</v>
      </c>
      <c r="H1239">
        <v>3</v>
      </c>
    </row>
    <row r="1240" spans="1:8">
      <c r="A1240">
        <v>1239</v>
      </c>
      <c r="B1240" t="s">
        <v>11</v>
      </c>
      <c r="C1240">
        <v>25</v>
      </c>
      <c r="D1240">
        <v>88064</v>
      </c>
      <c r="E1240">
        <v>73</v>
      </c>
      <c r="F1240" t="s">
        <v>15</v>
      </c>
      <c r="G1240">
        <v>1</v>
      </c>
      <c r="H1240">
        <v>5</v>
      </c>
    </row>
    <row r="1241" spans="1:8">
      <c r="A1241">
        <v>1240</v>
      </c>
      <c r="B1241" t="s">
        <v>11</v>
      </c>
      <c r="C1241">
        <v>3</v>
      </c>
      <c r="D1241">
        <v>167226</v>
      </c>
      <c r="E1241">
        <v>59</v>
      </c>
      <c r="F1241" t="s">
        <v>17</v>
      </c>
      <c r="G1241">
        <v>3</v>
      </c>
      <c r="H1241">
        <v>1</v>
      </c>
    </row>
    <row r="1242" spans="1:8">
      <c r="A1242">
        <v>1241</v>
      </c>
      <c r="B1242" t="s">
        <v>11</v>
      </c>
      <c r="C1242">
        <v>70</v>
      </c>
      <c r="D1242">
        <v>153821</v>
      </c>
      <c r="E1242">
        <v>8</v>
      </c>
      <c r="F1242" t="s">
        <v>18</v>
      </c>
      <c r="G1242">
        <v>1</v>
      </c>
      <c r="H1242">
        <v>4</v>
      </c>
    </row>
    <row r="1243" spans="1:8">
      <c r="A1243">
        <v>1242</v>
      </c>
      <c r="B1243" t="s">
        <v>8</v>
      </c>
      <c r="C1243">
        <v>29</v>
      </c>
      <c r="D1243">
        <v>170669</v>
      </c>
      <c r="E1243">
        <v>78</v>
      </c>
      <c r="F1243" t="s">
        <v>16</v>
      </c>
      <c r="G1243">
        <v>9</v>
      </c>
      <c r="H1243">
        <v>5</v>
      </c>
    </row>
    <row r="1244" spans="1:8">
      <c r="A1244">
        <v>1243</v>
      </c>
      <c r="B1244" t="s">
        <v>8</v>
      </c>
      <c r="C1244">
        <v>88</v>
      </c>
      <c r="D1244">
        <v>93555</v>
      </c>
      <c r="E1244">
        <v>13</v>
      </c>
      <c r="F1244" t="s">
        <v>14</v>
      </c>
      <c r="G1244">
        <v>3</v>
      </c>
      <c r="H1244">
        <v>3</v>
      </c>
    </row>
    <row r="1245" spans="1:8">
      <c r="A1245">
        <v>1244</v>
      </c>
      <c r="B1245" t="s">
        <v>11</v>
      </c>
      <c r="C1245">
        <v>20</v>
      </c>
      <c r="D1245">
        <v>101941</v>
      </c>
      <c r="E1245">
        <v>18</v>
      </c>
      <c r="F1245" t="s">
        <v>9</v>
      </c>
      <c r="G1245">
        <v>1</v>
      </c>
      <c r="H1245">
        <v>3</v>
      </c>
    </row>
    <row r="1246" spans="1:8">
      <c r="A1246">
        <v>1245</v>
      </c>
      <c r="B1246" t="s">
        <v>11</v>
      </c>
      <c r="C1246">
        <v>58</v>
      </c>
      <c r="D1246">
        <v>78795</v>
      </c>
      <c r="E1246">
        <v>44</v>
      </c>
      <c r="F1246" t="s">
        <v>10</v>
      </c>
      <c r="G1246">
        <v>0</v>
      </c>
      <c r="H1246">
        <v>6</v>
      </c>
    </row>
    <row r="1247" spans="1:8">
      <c r="A1247">
        <v>1246</v>
      </c>
      <c r="B1247" t="s">
        <v>11</v>
      </c>
      <c r="C1247">
        <v>70</v>
      </c>
      <c r="D1247">
        <v>55875</v>
      </c>
      <c r="E1247">
        <v>94</v>
      </c>
      <c r="F1247" t="s">
        <v>10</v>
      </c>
      <c r="G1247">
        <v>0</v>
      </c>
      <c r="H1247">
        <v>5</v>
      </c>
    </row>
    <row r="1248" spans="1:8">
      <c r="A1248">
        <v>1247</v>
      </c>
      <c r="B1248" t="s">
        <v>11</v>
      </c>
      <c r="C1248">
        <v>44</v>
      </c>
      <c r="D1248">
        <v>177513</v>
      </c>
      <c r="E1248">
        <v>81</v>
      </c>
      <c r="F1248" t="s">
        <v>12</v>
      </c>
      <c r="G1248">
        <v>1</v>
      </c>
      <c r="H1248">
        <v>5</v>
      </c>
    </row>
    <row r="1249" spans="1:8">
      <c r="A1249">
        <v>1248</v>
      </c>
      <c r="B1249" t="s">
        <v>11</v>
      </c>
      <c r="C1249">
        <v>87</v>
      </c>
      <c r="D1249">
        <v>100850</v>
      </c>
      <c r="E1249">
        <v>83</v>
      </c>
      <c r="F1249" t="s">
        <v>16</v>
      </c>
      <c r="G1249">
        <v>0</v>
      </c>
      <c r="H1249">
        <v>3</v>
      </c>
    </row>
    <row r="1250" spans="1:8">
      <c r="A1250">
        <v>1249</v>
      </c>
      <c r="B1250" t="s">
        <v>11</v>
      </c>
      <c r="C1250">
        <v>0</v>
      </c>
      <c r="D1250">
        <v>143082</v>
      </c>
      <c r="E1250">
        <v>63</v>
      </c>
      <c r="F1250" t="s">
        <v>13</v>
      </c>
      <c r="G1250">
        <v>0</v>
      </c>
      <c r="H1250">
        <v>7</v>
      </c>
    </row>
    <row r="1251" spans="1:8">
      <c r="A1251">
        <v>1250</v>
      </c>
      <c r="B1251" t="s">
        <v>11</v>
      </c>
      <c r="C1251">
        <v>96</v>
      </c>
      <c r="D1251">
        <v>85447</v>
      </c>
      <c r="E1251">
        <v>4</v>
      </c>
      <c r="F1251" t="s">
        <v>14</v>
      </c>
      <c r="G1251">
        <v>9</v>
      </c>
      <c r="H1251">
        <v>6</v>
      </c>
    </row>
    <row r="1252" spans="1:8">
      <c r="A1252">
        <v>1251</v>
      </c>
      <c r="B1252" t="s">
        <v>11</v>
      </c>
      <c r="C1252">
        <v>75</v>
      </c>
      <c r="D1252">
        <v>114213</v>
      </c>
      <c r="E1252">
        <v>33</v>
      </c>
      <c r="F1252" t="s">
        <v>16</v>
      </c>
      <c r="G1252">
        <v>9</v>
      </c>
      <c r="H1252">
        <v>4</v>
      </c>
    </row>
    <row r="1253" spans="1:8">
      <c r="A1253">
        <v>1252</v>
      </c>
      <c r="B1253" t="s">
        <v>8</v>
      </c>
      <c r="C1253">
        <v>14</v>
      </c>
      <c r="D1253">
        <v>161120</v>
      </c>
      <c r="E1253">
        <v>69</v>
      </c>
      <c r="F1253" t="s">
        <v>15</v>
      </c>
      <c r="G1253">
        <v>0</v>
      </c>
      <c r="H1253">
        <v>1</v>
      </c>
    </row>
    <row r="1254" spans="1:8">
      <c r="A1254">
        <v>1253</v>
      </c>
      <c r="B1254" t="s">
        <v>11</v>
      </c>
      <c r="C1254">
        <v>8</v>
      </c>
      <c r="D1254">
        <v>186682</v>
      </c>
      <c r="E1254">
        <v>86</v>
      </c>
      <c r="F1254" t="s">
        <v>13</v>
      </c>
      <c r="G1254">
        <v>1</v>
      </c>
      <c r="H1254">
        <v>1</v>
      </c>
    </row>
    <row r="1255" spans="1:8">
      <c r="A1255">
        <v>1254</v>
      </c>
      <c r="B1255" t="s">
        <v>8</v>
      </c>
      <c r="C1255">
        <v>58</v>
      </c>
      <c r="D1255">
        <v>105302</v>
      </c>
      <c r="E1255">
        <v>75</v>
      </c>
      <c r="F1255" t="s">
        <v>16</v>
      </c>
      <c r="G1255">
        <v>0</v>
      </c>
      <c r="H1255">
        <v>3</v>
      </c>
    </row>
    <row r="1256" spans="1:8">
      <c r="A1256">
        <v>1255</v>
      </c>
      <c r="B1256" t="s">
        <v>11</v>
      </c>
      <c r="C1256">
        <v>5</v>
      </c>
      <c r="D1256">
        <v>133400</v>
      </c>
      <c r="E1256">
        <v>47</v>
      </c>
      <c r="F1256" t="s">
        <v>10</v>
      </c>
      <c r="G1256">
        <v>0</v>
      </c>
      <c r="H1256">
        <v>6</v>
      </c>
    </row>
    <row r="1257" spans="1:8">
      <c r="A1257">
        <v>1256</v>
      </c>
      <c r="B1257" t="s">
        <v>8</v>
      </c>
      <c r="C1257">
        <v>70</v>
      </c>
      <c r="D1257">
        <v>56432</v>
      </c>
      <c r="E1257">
        <v>23</v>
      </c>
      <c r="F1257" t="s">
        <v>10</v>
      </c>
      <c r="G1257">
        <v>0</v>
      </c>
      <c r="H1257">
        <v>5</v>
      </c>
    </row>
    <row r="1258" spans="1:8">
      <c r="A1258">
        <v>1257</v>
      </c>
      <c r="B1258" t="s">
        <v>11</v>
      </c>
      <c r="C1258">
        <v>49</v>
      </c>
      <c r="D1258">
        <v>136467</v>
      </c>
      <c r="E1258">
        <v>72</v>
      </c>
      <c r="F1258" t="s">
        <v>9</v>
      </c>
      <c r="G1258">
        <v>3</v>
      </c>
      <c r="H1258">
        <v>3</v>
      </c>
    </row>
    <row r="1259" spans="1:8">
      <c r="A1259">
        <v>1258</v>
      </c>
      <c r="B1259" t="s">
        <v>8</v>
      </c>
      <c r="C1259">
        <v>60</v>
      </c>
      <c r="D1259">
        <v>189945</v>
      </c>
      <c r="E1259">
        <v>20</v>
      </c>
      <c r="F1259" t="s">
        <v>10</v>
      </c>
      <c r="G1259">
        <v>0</v>
      </c>
      <c r="H1259">
        <v>5</v>
      </c>
    </row>
    <row r="1260" spans="1:8">
      <c r="A1260">
        <v>1259</v>
      </c>
      <c r="B1260" t="s">
        <v>11</v>
      </c>
      <c r="C1260">
        <v>25</v>
      </c>
      <c r="D1260">
        <v>163966</v>
      </c>
      <c r="E1260">
        <v>48</v>
      </c>
      <c r="F1260" t="s">
        <v>12</v>
      </c>
      <c r="G1260">
        <v>1</v>
      </c>
      <c r="H1260">
        <v>5</v>
      </c>
    </row>
    <row r="1261" spans="1:8">
      <c r="A1261">
        <v>1260</v>
      </c>
      <c r="B1261" t="s">
        <v>8</v>
      </c>
      <c r="C1261">
        <v>47</v>
      </c>
      <c r="D1261">
        <v>52152</v>
      </c>
      <c r="E1261">
        <v>17</v>
      </c>
      <c r="F1261" t="s">
        <v>14</v>
      </c>
      <c r="G1261">
        <v>0</v>
      </c>
      <c r="H1261">
        <v>3</v>
      </c>
    </row>
    <row r="1262" spans="1:8">
      <c r="A1262">
        <v>1261</v>
      </c>
      <c r="B1262" t="s">
        <v>8</v>
      </c>
      <c r="C1262">
        <v>53</v>
      </c>
      <c r="D1262">
        <v>145720</v>
      </c>
      <c r="E1262">
        <v>62</v>
      </c>
      <c r="F1262" t="s">
        <v>17</v>
      </c>
      <c r="G1262">
        <v>12</v>
      </c>
      <c r="H1262">
        <v>7</v>
      </c>
    </row>
    <row r="1263" spans="1:8">
      <c r="A1263">
        <v>1262</v>
      </c>
      <c r="B1263" t="s">
        <v>8</v>
      </c>
      <c r="C1263">
        <v>24</v>
      </c>
      <c r="D1263">
        <v>188034</v>
      </c>
      <c r="E1263">
        <v>61</v>
      </c>
      <c r="F1263" t="s">
        <v>9</v>
      </c>
      <c r="G1263">
        <v>1</v>
      </c>
      <c r="H1263">
        <v>5</v>
      </c>
    </row>
    <row r="1264" spans="1:8">
      <c r="A1264">
        <v>1263</v>
      </c>
      <c r="B1264" t="s">
        <v>11</v>
      </c>
      <c r="C1264">
        <v>46</v>
      </c>
      <c r="D1264">
        <v>127911</v>
      </c>
      <c r="E1264">
        <v>3</v>
      </c>
      <c r="F1264" t="s">
        <v>17</v>
      </c>
      <c r="G1264">
        <v>9</v>
      </c>
      <c r="H1264">
        <v>2</v>
      </c>
    </row>
    <row r="1265" spans="1:8">
      <c r="A1265">
        <v>1264</v>
      </c>
      <c r="B1265" t="s">
        <v>11</v>
      </c>
      <c r="C1265">
        <v>70</v>
      </c>
      <c r="D1265">
        <v>174114</v>
      </c>
      <c r="E1265">
        <v>31</v>
      </c>
      <c r="F1265" t="s">
        <v>12</v>
      </c>
      <c r="G1265">
        <v>1</v>
      </c>
      <c r="H1265">
        <v>1</v>
      </c>
    </row>
    <row r="1266" spans="1:8">
      <c r="A1266">
        <v>1265</v>
      </c>
      <c r="B1266" t="s">
        <v>8</v>
      </c>
      <c r="C1266">
        <v>53</v>
      </c>
      <c r="D1266">
        <v>144489</v>
      </c>
      <c r="E1266">
        <v>10</v>
      </c>
      <c r="F1266" t="s">
        <v>14</v>
      </c>
      <c r="G1266">
        <v>14</v>
      </c>
      <c r="H1266">
        <v>3</v>
      </c>
    </row>
    <row r="1267" spans="1:8">
      <c r="A1267">
        <v>1266</v>
      </c>
      <c r="B1267" t="s">
        <v>8</v>
      </c>
      <c r="C1267">
        <v>63</v>
      </c>
      <c r="D1267">
        <v>77440</v>
      </c>
      <c r="E1267">
        <v>47</v>
      </c>
      <c r="F1267" t="s">
        <v>12</v>
      </c>
      <c r="G1267">
        <v>0</v>
      </c>
      <c r="H1267">
        <v>5</v>
      </c>
    </row>
    <row r="1268" spans="1:8">
      <c r="A1268">
        <v>1267</v>
      </c>
      <c r="B1268" t="s">
        <v>11</v>
      </c>
      <c r="C1268">
        <v>24</v>
      </c>
      <c r="D1268">
        <v>86119</v>
      </c>
      <c r="E1268">
        <v>44</v>
      </c>
      <c r="F1268" t="s">
        <v>14</v>
      </c>
      <c r="G1268">
        <v>1</v>
      </c>
      <c r="H1268">
        <v>6</v>
      </c>
    </row>
    <row r="1269" spans="1:8">
      <c r="A1269">
        <v>1268</v>
      </c>
      <c r="B1269" t="s">
        <v>11</v>
      </c>
      <c r="C1269">
        <v>5</v>
      </c>
      <c r="D1269">
        <v>100056</v>
      </c>
      <c r="E1269">
        <v>49</v>
      </c>
      <c r="F1269" t="s">
        <v>13</v>
      </c>
      <c r="G1269">
        <v>1</v>
      </c>
      <c r="H1269">
        <v>3</v>
      </c>
    </row>
    <row r="1270" spans="1:8">
      <c r="A1270">
        <v>1269</v>
      </c>
      <c r="B1270" t="s">
        <v>8</v>
      </c>
      <c r="C1270">
        <v>7</v>
      </c>
      <c r="D1270">
        <v>66686</v>
      </c>
      <c r="E1270">
        <v>50</v>
      </c>
      <c r="F1270" t="s">
        <v>14</v>
      </c>
      <c r="G1270">
        <v>8</v>
      </c>
      <c r="H1270">
        <v>7</v>
      </c>
    </row>
    <row r="1271" spans="1:8">
      <c r="A1271">
        <v>1270</v>
      </c>
      <c r="B1271" t="s">
        <v>11</v>
      </c>
      <c r="C1271">
        <v>71</v>
      </c>
      <c r="D1271">
        <v>74696</v>
      </c>
      <c r="E1271">
        <v>41</v>
      </c>
      <c r="F1271" t="s">
        <v>16</v>
      </c>
      <c r="G1271">
        <v>1</v>
      </c>
      <c r="H1271">
        <v>6</v>
      </c>
    </row>
    <row r="1272" spans="1:8">
      <c r="A1272">
        <v>1271</v>
      </c>
      <c r="B1272" t="s">
        <v>8</v>
      </c>
      <c r="C1272">
        <v>23</v>
      </c>
      <c r="D1272">
        <v>65641</v>
      </c>
      <c r="E1272">
        <v>50</v>
      </c>
      <c r="F1272" t="s">
        <v>13</v>
      </c>
      <c r="G1272">
        <v>4</v>
      </c>
      <c r="H1272">
        <v>5</v>
      </c>
    </row>
    <row r="1273" spans="1:8">
      <c r="A1273">
        <v>1272</v>
      </c>
      <c r="B1273" t="s">
        <v>11</v>
      </c>
      <c r="C1273">
        <v>0</v>
      </c>
      <c r="D1273">
        <v>61228</v>
      </c>
      <c r="E1273">
        <v>81</v>
      </c>
      <c r="F1273" t="s">
        <v>13</v>
      </c>
      <c r="G1273">
        <v>1</v>
      </c>
      <c r="H1273">
        <v>6</v>
      </c>
    </row>
    <row r="1274" spans="1:8">
      <c r="A1274">
        <v>1273</v>
      </c>
      <c r="B1274" t="s">
        <v>11</v>
      </c>
      <c r="C1274">
        <v>2</v>
      </c>
      <c r="D1274">
        <v>138529</v>
      </c>
      <c r="E1274">
        <v>87</v>
      </c>
      <c r="F1274" t="s">
        <v>9</v>
      </c>
      <c r="G1274">
        <v>0</v>
      </c>
      <c r="H1274">
        <v>4</v>
      </c>
    </row>
    <row r="1275" spans="1:8">
      <c r="A1275">
        <v>1274</v>
      </c>
      <c r="B1275" t="s">
        <v>11</v>
      </c>
      <c r="C1275">
        <v>72</v>
      </c>
      <c r="D1275">
        <v>152405</v>
      </c>
      <c r="E1275">
        <v>4</v>
      </c>
      <c r="F1275" t="s">
        <v>14</v>
      </c>
      <c r="G1275">
        <v>1</v>
      </c>
      <c r="H1275">
        <v>4</v>
      </c>
    </row>
    <row r="1276" spans="1:8">
      <c r="A1276">
        <v>1275</v>
      </c>
      <c r="B1276" t="s">
        <v>8</v>
      </c>
      <c r="C1276">
        <v>18</v>
      </c>
      <c r="D1276">
        <v>157757</v>
      </c>
      <c r="E1276">
        <v>84</v>
      </c>
      <c r="F1276" t="s">
        <v>16</v>
      </c>
      <c r="G1276">
        <v>0</v>
      </c>
      <c r="H1276">
        <v>4</v>
      </c>
    </row>
    <row r="1277" spans="1:8">
      <c r="A1277">
        <v>1276</v>
      </c>
      <c r="B1277" t="s">
        <v>8</v>
      </c>
      <c r="C1277">
        <v>11</v>
      </c>
      <c r="D1277">
        <v>166361</v>
      </c>
      <c r="E1277">
        <v>59</v>
      </c>
      <c r="F1277" t="s">
        <v>10</v>
      </c>
      <c r="G1277">
        <v>6</v>
      </c>
      <c r="H1277">
        <v>4</v>
      </c>
    </row>
    <row r="1278" spans="1:8">
      <c r="A1278">
        <v>1277</v>
      </c>
      <c r="B1278" t="s">
        <v>11</v>
      </c>
      <c r="C1278">
        <v>95</v>
      </c>
      <c r="D1278">
        <v>67227</v>
      </c>
      <c r="E1278">
        <v>30</v>
      </c>
      <c r="F1278" t="s">
        <v>14</v>
      </c>
      <c r="G1278">
        <v>1</v>
      </c>
      <c r="H1278">
        <v>7</v>
      </c>
    </row>
    <row r="1279" spans="1:8">
      <c r="A1279">
        <v>1278</v>
      </c>
      <c r="B1279" t="s">
        <v>8</v>
      </c>
      <c r="C1279">
        <v>20</v>
      </c>
      <c r="D1279">
        <v>161156</v>
      </c>
      <c r="E1279">
        <v>88</v>
      </c>
      <c r="F1279" t="s">
        <v>10</v>
      </c>
      <c r="G1279">
        <v>0</v>
      </c>
      <c r="H1279">
        <v>4</v>
      </c>
    </row>
    <row r="1280" spans="1:8">
      <c r="A1280">
        <v>1279</v>
      </c>
      <c r="B1280" t="s">
        <v>11</v>
      </c>
      <c r="C1280">
        <v>58</v>
      </c>
      <c r="D1280">
        <v>170647</v>
      </c>
      <c r="E1280">
        <v>70</v>
      </c>
      <c r="F1280" t="s">
        <v>9</v>
      </c>
      <c r="G1280">
        <v>1</v>
      </c>
      <c r="H1280">
        <v>7</v>
      </c>
    </row>
    <row r="1281" spans="1:8">
      <c r="A1281">
        <v>1280</v>
      </c>
      <c r="B1281" t="s">
        <v>11</v>
      </c>
      <c r="C1281">
        <v>67</v>
      </c>
      <c r="D1281">
        <v>161646</v>
      </c>
      <c r="E1281">
        <v>36</v>
      </c>
      <c r="F1281" t="s">
        <v>9</v>
      </c>
      <c r="G1281">
        <v>0</v>
      </c>
      <c r="H1281">
        <v>2</v>
      </c>
    </row>
    <row r="1282" spans="1:8">
      <c r="A1282">
        <v>1281</v>
      </c>
      <c r="B1282" t="s">
        <v>8</v>
      </c>
      <c r="C1282">
        <v>43</v>
      </c>
      <c r="D1282">
        <v>98016</v>
      </c>
      <c r="E1282">
        <v>18</v>
      </c>
      <c r="F1282" t="s">
        <v>9</v>
      </c>
      <c r="G1282">
        <v>9</v>
      </c>
      <c r="H1282">
        <v>6</v>
      </c>
    </row>
    <row r="1283" spans="1:8">
      <c r="A1283">
        <v>1282</v>
      </c>
      <c r="B1283" t="s">
        <v>8</v>
      </c>
      <c r="C1283">
        <v>36</v>
      </c>
      <c r="D1283">
        <v>50526</v>
      </c>
      <c r="E1283">
        <v>19</v>
      </c>
      <c r="F1283" t="s">
        <v>14</v>
      </c>
      <c r="G1283">
        <v>0</v>
      </c>
      <c r="H1283">
        <v>6</v>
      </c>
    </row>
    <row r="1284" spans="1:8">
      <c r="A1284">
        <v>1283</v>
      </c>
      <c r="B1284" t="s">
        <v>8</v>
      </c>
      <c r="C1284">
        <v>2</v>
      </c>
      <c r="D1284">
        <v>175208</v>
      </c>
      <c r="E1284">
        <v>43</v>
      </c>
      <c r="F1284" t="s">
        <v>15</v>
      </c>
      <c r="G1284">
        <v>8</v>
      </c>
      <c r="H1284">
        <v>4</v>
      </c>
    </row>
    <row r="1285" spans="1:8">
      <c r="A1285">
        <v>1284</v>
      </c>
      <c r="B1285" t="s">
        <v>11</v>
      </c>
      <c r="C1285">
        <v>35</v>
      </c>
      <c r="D1285">
        <v>97721</v>
      </c>
      <c r="E1285">
        <v>48</v>
      </c>
      <c r="F1285" t="s">
        <v>10</v>
      </c>
      <c r="G1285">
        <v>0</v>
      </c>
      <c r="H1285">
        <v>7</v>
      </c>
    </row>
    <row r="1286" spans="1:8">
      <c r="A1286">
        <v>1285</v>
      </c>
      <c r="B1286" t="s">
        <v>11</v>
      </c>
      <c r="C1286">
        <v>81</v>
      </c>
      <c r="D1286">
        <v>142013</v>
      </c>
      <c r="E1286">
        <v>81</v>
      </c>
      <c r="F1286" t="s">
        <v>13</v>
      </c>
      <c r="G1286">
        <v>3</v>
      </c>
      <c r="H1286">
        <v>4</v>
      </c>
    </row>
    <row r="1287" spans="1:8">
      <c r="A1287">
        <v>1286</v>
      </c>
      <c r="B1287" t="s">
        <v>8</v>
      </c>
      <c r="C1287">
        <v>84</v>
      </c>
      <c r="D1287">
        <v>166737</v>
      </c>
      <c r="E1287">
        <v>76</v>
      </c>
      <c r="F1287" t="s">
        <v>14</v>
      </c>
      <c r="G1287">
        <v>0</v>
      </c>
      <c r="H1287">
        <v>3</v>
      </c>
    </row>
    <row r="1288" spans="1:8">
      <c r="A1288">
        <v>1287</v>
      </c>
      <c r="B1288" t="s">
        <v>11</v>
      </c>
      <c r="C1288">
        <v>18</v>
      </c>
      <c r="D1288">
        <v>62651</v>
      </c>
      <c r="E1288">
        <v>13</v>
      </c>
      <c r="F1288" t="s">
        <v>13</v>
      </c>
      <c r="G1288">
        <v>0</v>
      </c>
      <c r="H1288">
        <v>2</v>
      </c>
    </row>
    <row r="1289" spans="1:8">
      <c r="A1289">
        <v>1288</v>
      </c>
      <c r="B1289" t="s">
        <v>11</v>
      </c>
      <c r="C1289">
        <v>54</v>
      </c>
      <c r="D1289">
        <v>179546</v>
      </c>
      <c r="E1289">
        <v>4</v>
      </c>
      <c r="F1289" t="s">
        <v>17</v>
      </c>
      <c r="G1289">
        <v>8</v>
      </c>
      <c r="H1289">
        <v>4</v>
      </c>
    </row>
    <row r="1290" spans="1:8">
      <c r="A1290">
        <v>1289</v>
      </c>
      <c r="B1290" t="s">
        <v>11</v>
      </c>
      <c r="C1290">
        <v>98</v>
      </c>
      <c r="D1290">
        <v>51866</v>
      </c>
      <c r="E1290">
        <v>81</v>
      </c>
      <c r="F1290" t="s">
        <v>14</v>
      </c>
      <c r="G1290">
        <v>12</v>
      </c>
      <c r="H1290">
        <v>7</v>
      </c>
    </row>
    <row r="1291" spans="1:8">
      <c r="A1291">
        <v>1290</v>
      </c>
      <c r="B1291" t="s">
        <v>11</v>
      </c>
      <c r="C1291">
        <v>75</v>
      </c>
      <c r="D1291">
        <v>86297</v>
      </c>
      <c r="E1291">
        <v>42</v>
      </c>
      <c r="F1291" t="s">
        <v>15</v>
      </c>
      <c r="G1291">
        <v>9</v>
      </c>
      <c r="H1291">
        <v>4</v>
      </c>
    </row>
    <row r="1292" spans="1:8">
      <c r="A1292">
        <v>1291</v>
      </c>
      <c r="B1292" t="s">
        <v>11</v>
      </c>
      <c r="C1292">
        <v>98</v>
      </c>
      <c r="D1292">
        <v>65031</v>
      </c>
      <c r="E1292">
        <v>23</v>
      </c>
      <c r="F1292" t="s">
        <v>14</v>
      </c>
      <c r="G1292">
        <v>0</v>
      </c>
      <c r="H1292">
        <v>4</v>
      </c>
    </row>
    <row r="1293" spans="1:8">
      <c r="A1293">
        <v>1292</v>
      </c>
      <c r="B1293" t="s">
        <v>8</v>
      </c>
      <c r="C1293">
        <v>94</v>
      </c>
      <c r="D1293">
        <v>69383</v>
      </c>
      <c r="E1293">
        <v>25</v>
      </c>
      <c r="F1293" t="s">
        <v>13</v>
      </c>
      <c r="G1293">
        <v>0</v>
      </c>
      <c r="H1293">
        <v>2</v>
      </c>
    </row>
    <row r="1294" spans="1:8">
      <c r="A1294">
        <v>1293</v>
      </c>
      <c r="B1294" t="s">
        <v>8</v>
      </c>
      <c r="C1294">
        <v>24</v>
      </c>
      <c r="D1294">
        <v>70733</v>
      </c>
      <c r="E1294">
        <v>63</v>
      </c>
      <c r="F1294" t="s">
        <v>14</v>
      </c>
      <c r="G1294">
        <v>5</v>
      </c>
      <c r="H1294">
        <v>3</v>
      </c>
    </row>
    <row r="1295" spans="1:8">
      <c r="A1295">
        <v>1294</v>
      </c>
      <c r="B1295" t="s">
        <v>11</v>
      </c>
      <c r="C1295">
        <v>47</v>
      </c>
      <c r="D1295">
        <v>187898</v>
      </c>
      <c r="E1295">
        <v>89</v>
      </c>
      <c r="F1295" t="s">
        <v>14</v>
      </c>
      <c r="G1295">
        <v>6</v>
      </c>
      <c r="H1295">
        <v>2</v>
      </c>
    </row>
    <row r="1296" spans="1:8">
      <c r="A1296">
        <v>1295</v>
      </c>
      <c r="B1296" t="s">
        <v>11</v>
      </c>
      <c r="C1296">
        <v>40</v>
      </c>
      <c r="D1296">
        <v>116001</v>
      </c>
      <c r="E1296">
        <v>55</v>
      </c>
      <c r="F1296" t="s">
        <v>10</v>
      </c>
      <c r="G1296">
        <v>1</v>
      </c>
      <c r="H1296">
        <v>4</v>
      </c>
    </row>
    <row r="1297" spans="1:8">
      <c r="A1297">
        <v>1296</v>
      </c>
      <c r="B1297" t="s">
        <v>8</v>
      </c>
      <c r="C1297">
        <v>68</v>
      </c>
      <c r="D1297">
        <v>87040</v>
      </c>
      <c r="E1297">
        <v>4</v>
      </c>
      <c r="F1297" t="s">
        <v>14</v>
      </c>
      <c r="G1297">
        <v>9</v>
      </c>
      <c r="H1297">
        <v>1</v>
      </c>
    </row>
    <row r="1298" spans="1:8">
      <c r="A1298">
        <v>1297</v>
      </c>
      <c r="B1298" t="s">
        <v>11</v>
      </c>
      <c r="C1298">
        <v>18</v>
      </c>
      <c r="D1298">
        <v>180956</v>
      </c>
      <c r="E1298">
        <v>74</v>
      </c>
      <c r="F1298" t="s">
        <v>14</v>
      </c>
      <c r="G1298">
        <v>2</v>
      </c>
      <c r="H1298">
        <v>2</v>
      </c>
    </row>
    <row r="1299" spans="1:8">
      <c r="A1299">
        <v>1298</v>
      </c>
      <c r="B1299" t="s">
        <v>11</v>
      </c>
      <c r="C1299">
        <v>83</v>
      </c>
      <c r="D1299">
        <v>115517</v>
      </c>
      <c r="E1299">
        <v>82</v>
      </c>
      <c r="F1299" t="s">
        <v>9</v>
      </c>
      <c r="G1299">
        <v>0</v>
      </c>
      <c r="H1299">
        <v>6</v>
      </c>
    </row>
    <row r="1300" spans="1:8">
      <c r="A1300">
        <v>1299</v>
      </c>
      <c r="B1300" t="s">
        <v>8</v>
      </c>
      <c r="C1300">
        <v>34</v>
      </c>
      <c r="D1300">
        <v>76979</v>
      </c>
      <c r="E1300">
        <v>46</v>
      </c>
      <c r="F1300" t="s">
        <v>12</v>
      </c>
      <c r="G1300">
        <v>1</v>
      </c>
      <c r="H1300">
        <v>3</v>
      </c>
    </row>
    <row r="1301" spans="1:8">
      <c r="A1301">
        <v>1300</v>
      </c>
      <c r="B1301" t="s">
        <v>8</v>
      </c>
      <c r="C1301">
        <v>81</v>
      </c>
      <c r="D1301">
        <v>50798</v>
      </c>
      <c r="E1301">
        <v>56</v>
      </c>
      <c r="F1301" t="s">
        <v>14</v>
      </c>
      <c r="G1301">
        <v>10</v>
      </c>
      <c r="H1301">
        <v>5</v>
      </c>
    </row>
    <row r="1302" spans="1:8">
      <c r="A1302">
        <v>1301</v>
      </c>
      <c r="B1302" t="s">
        <v>11</v>
      </c>
      <c r="C1302">
        <v>61</v>
      </c>
      <c r="D1302">
        <v>146350</v>
      </c>
      <c r="E1302">
        <v>43</v>
      </c>
      <c r="F1302" t="s">
        <v>14</v>
      </c>
      <c r="G1302">
        <v>1</v>
      </c>
      <c r="H1302">
        <v>3</v>
      </c>
    </row>
    <row r="1303" spans="1:8">
      <c r="A1303">
        <v>1302</v>
      </c>
      <c r="B1303" t="s">
        <v>11</v>
      </c>
      <c r="C1303">
        <v>77</v>
      </c>
      <c r="D1303">
        <v>81112</v>
      </c>
      <c r="E1303">
        <v>61</v>
      </c>
      <c r="F1303" t="s">
        <v>9</v>
      </c>
      <c r="G1303">
        <v>5</v>
      </c>
      <c r="H1303">
        <v>3</v>
      </c>
    </row>
    <row r="1304" spans="1:8">
      <c r="A1304">
        <v>1303</v>
      </c>
      <c r="B1304" t="s">
        <v>8</v>
      </c>
      <c r="C1304">
        <v>52</v>
      </c>
      <c r="D1304">
        <v>80605</v>
      </c>
      <c r="E1304">
        <v>20</v>
      </c>
      <c r="F1304" t="s">
        <v>16</v>
      </c>
      <c r="G1304">
        <v>1</v>
      </c>
      <c r="H1304">
        <v>6</v>
      </c>
    </row>
    <row r="1305" spans="1:8">
      <c r="A1305">
        <v>1304</v>
      </c>
      <c r="B1305" t="s">
        <v>8</v>
      </c>
      <c r="C1305">
        <v>40</v>
      </c>
      <c r="D1305">
        <v>171949</v>
      </c>
      <c r="E1305">
        <v>11</v>
      </c>
      <c r="F1305" t="s">
        <v>16</v>
      </c>
      <c r="G1305">
        <v>1</v>
      </c>
      <c r="H1305">
        <v>6</v>
      </c>
    </row>
    <row r="1306" spans="1:8">
      <c r="A1306">
        <v>1305</v>
      </c>
      <c r="B1306" t="s">
        <v>8</v>
      </c>
      <c r="C1306">
        <v>93</v>
      </c>
      <c r="D1306">
        <v>159006</v>
      </c>
      <c r="E1306">
        <v>26</v>
      </c>
      <c r="F1306" t="s">
        <v>14</v>
      </c>
      <c r="G1306">
        <v>8</v>
      </c>
      <c r="H1306">
        <v>6</v>
      </c>
    </row>
    <row r="1307" spans="1:8">
      <c r="A1307">
        <v>1306</v>
      </c>
      <c r="B1307" t="s">
        <v>11</v>
      </c>
      <c r="C1307">
        <v>45</v>
      </c>
      <c r="D1307">
        <v>177368</v>
      </c>
      <c r="E1307">
        <v>96</v>
      </c>
      <c r="F1307" t="s">
        <v>9</v>
      </c>
      <c r="G1307">
        <v>1</v>
      </c>
      <c r="H1307">
        <v>2</v>
      </c>
    </row>
    <row r="1308" spans="1:8">
      <c r="A1308">
        <v>1307</v>
      </c>
      <c r="B1308" t="s">
        <v>11</v>
      </c>
      <c r="C1308">
        <v>83</v>
      </c>
      <c r="D1308">
        <v>187643</v>
      </c>
      <c r="E1308">
        <v>3</v>
      </c>
      <c r="F1308" t="s">
        <v>14</v>
      </c>
      <c r="G1308">
        <v>1</v>
      </c>
      <c r="H1308">
        <v>1</v>
      </c>
    </row>
    <row r="1309" spans="1:8">
      <c r="A1309">
        <v>1308</v>
      </c>
      <c r="B1309" t="s">
        <v>8</v>
      </c>
      <c r="C1309">
        <v>23</v>
      </c>
      <c r="D1309">
        <v>93841</v>
      </c>
      <c r="E1309">
        <v>25</v>
      </c>
      <c r="F1309" t="s">
        <v>12</v>
      </c>
      <c r="G1309">
        <v>0</v>
      </c>
      <c r="H1309">
        <v>7</v>
      </c>
    </row>
    <row r="1310" spans="1:8">
      <c r="A1310">
        <v>1309</v>
      </c>
      <c r="B1310" t="s">
        <v>8</v>
      </c>
      <c r="C1310">
        <v>15</v>
      </c>
      <c r="D1310">
        <v>131061</v>
      </c>
      <c r="E1310">
        <v>92</v>
      </c>
      <c r="F1310" t="s">
        <v>9</v>
      </c>
      <c r="G1310">
        <v>0</v>
      </c>
      <c r="H1310">
        <v>7</v>
      </c>
    </row>
    <row r="1311" spans="1:8">
      <c r="A1311">
        <v>1310</v>
      </c>
      <c r="B1311" t="s">
        <v>8</v>
      </c>
      <c r="C1311">
        <v>79</v>
      </c>
      <c r="D1311">
        <v>146130</v>
      </c>
      <c r="E1311">
        <v>20</v>
      </c>
      <c r="F1311" t="s">
        <v>13</v>
      </c>
      <c r="G1311">
        <v>6</v>
      </c>
      <c r="H1311">
        <v>6</v>
      </c>
    </row>
    <row r="1312" spans="1:8">
      <c r="A1312">
        <v>1311</v>
      </c>
      <c r="B1312" t="s">
        <v>8</v>
      </c>
      <c r="C1312">
        <v>80</v>
      </c>
      <c r="D1312">
        <v>84471</v>
      </c>
      <c r="E1312">
        <v>79</v>
      </c>
      <c r="F1312" t="s">
        <v>16</v>
      </c>
      <c r="G1312">
        <v>1</v>
      </c>
      <c r="H1312">
        <v>5</v>
      </c>
    </row>
    <row r="1313" spans="1:8">
      <c r="A1313">
        <v>1312</v>
      </c>
      <c r="B1313" t="s">
        <v>11</v>
      </c>
      <c r="C1313">
        <v>35</v>
      </c>
      <c r="D1313">
        <v>144485</v>
      </c>
      <c r="E1313">
        <v>15</v>
      </c>
      <c r="F1313" t="s">
        <v>13</v>
      </c>
      <c r="G1313">
        <v>0</v>
      </c>
      <c r="H1313">
        <v>4</v>
      </c>
    </row>
    <row r="1314" spans="1:8">
      <c r="A1314">
        <v>1313</v>
      </c>
      <c r="B1314" t="s">
        <v>11</v>
      </c>
      <c r="C1314">
        <v>39</v>
      </c>
      <c r="D1314">
        <v>158638</v>
      </c>
      <c r="E1314">
        <v>78</v>
      </c>
      <c r="F1314" t="s">
        <v>9</v>
      </c>
      <c r="G1314">
        <v>2</v>
      </c>
      <c r="H1314">
        <v>5</v>
      </c>
    </row>
    <row r="1315" spans="1:8">
      <c r="A1315">
        <v>1314</v>
      </c>
      <c r="B1315" t="s">
        <v>8</v>
      </c>
      <c r="C1315">
        <v>4</v>
      </c>
      <c r="D1315">
        <v>96693</v>
      </c>
      <c r="E1315">
        <v>28</v>
      </c>
      <c r="F1315" t="s">
        <v>13</v>
      </c>
      <c r="G1315">
        <v>0</v>
      </c>
      <c r="H1315">
        <v>4</v>
      </c>
    </row>
    <row r="1316" spans="1:8">
      <c r="A1316">
        <v>1315</v>
      </c>
      <c r="B1316" t="s">
        <v>11</v>
      </c>
      <c r="C1316">
        <v>83</v>
      </c>
      <c r="D1316">
        <v>129507</v>
      </c>
      <c r="E1316">
        <v>93</v>
      </c>
      <c r="F1316" t="s">
        <v>9</v>
      </c>
      <c r="G1316">
        <v>4</v>
      </c>
      <c r="H1316">
        <v>7</v>
      </c>
    </row>
    <row r="1317" spans="1:8">
      <c r="A1317">
        <v>1316</v>
      </c>
      <c r="B1317" t="s">
        <v>11</v>
      </c>
      <c r="C1317">
        <v>94</v>
      </c>
      <c r="D1317">
        <v>114510</v>
      </c>
      <c r="E1317">
        <v>39</v>
      </c>
      <c r="F1317" t="s">
        <v>9</v>
      </c>
      <c r="G1317">
        <v>0</v>
      </c>
      <c r="H1317">
        <v>4</v>
      </c>
    </row>
    <row r="1318" spans="1:8">
      <c r="A1318">
        <v>1317</v>
      </c>
      <c r="B1318" t="s">
        <v>11</v>
      </c>
      <c r="C1318">
        <v>33</v>
      </c>
      <c r="D1318">
        <v>109396</v>
      </c>
      <c r="E1318">
        <v>17</v>
      </c>
      <c r="G1318">
        <v>1</v>
      </c>
      <c r="H1318">
        <v>2</v>
      </c>
    </row>
    <row r="1319" spans="1:8">
      <c r="A1319">
        <v>1318</v>
      </c>
      <c r="B1319" t="s">
        <v>11</v>
      </c>
      <c r="C1319">
        <v>12</v>
      </c>
      <c r="D1319">
        <v>149031</v>
      </c>
      <c r="E1319">
        <v>96</v>
      </c>
      <c r="F1319" t="s">
        <v>14</v>
      </c>
      <c r="G1319">
        <v>10</v>
      </c>
      <c r="H1319">
        <v>5</v>
      </c>
    </row>
    <row r="1320" spans="1:8">
      <c r="A1320">
        <v>1319</v>
      </c>
      <c r="B1320" t="s">
        <v>11</v>
      </c>
      <c r="C1320">
        <v>77</v>
      </c>
      <c r="D1320">
        <v>66256</v>
      </c>
      <c r="E1320">
        <v>13</v>
      </c>
      <c r="F1320" t="s">
        <v>12</v>
      </c>
      <c r="G1320">
        <v>1</v>
      </c>
      <c r="H1320">
        <v>2</v>
      </c>
    </row>
    <row r="1321" spans="1:8">
      <c r="A1321">
        <v>1320</v>
      </c>
      <c r="B1321" t="s">
        <v>11</v>
      </c>
      <c r="C1321">
        <v>48</v>
      </c>
      <c r="D1321">
        <v>118285</v>
      </c>
      <c r="E1321">
        <v>69</v>
      </c>
      <c r="F1321" t="s">
        <v>16</v>
      </c>
      <c r="G1321">
        <v>8</v>
      </c>
      <c r="H1321">
        <v>4</v>
      </c>
    </row>
    <row r="1322" spans="1:8">
      <c r="A1322">
        <v>1321</v>
      </c>
      <c r="B1322" t="s">
        <v>8</v>
      </c>
      <c r="C1322">
        <v>97</v>
      </c>
      <c r="D1322">
        <v>128723</v>
      </c>
      <c r="E1322">
        <v>58</v>
      </c>
      <c r="F1322" t="s">
        <v>14</v>
      </c>
      <c r="G1322">
        <v>4</v>
      </c>
      <c r="H1322">
        <v>5</v>
      </c>
    </row>
    <row r="1323" spans="1:8">
      <c r="A1323">
        <v>1322</v>
      </c>
      <c r="B1323" t="s">
        <v>11</v>
      </c>
      <c r="C1323">
        <v>28</v>
      </c>
      <c r="D1323">
        <v>178285</v>
      </c>
      <c r="E1323">
        <v>91</v>
      </c>
      <c r="F1323" t="s">
        <v>14</v>
      </c>
      <c r="G1323">
        <v>4</v>
      </c>
      <c r="H1323">
        <v>7</v>
      </c>
    </row>
    <row r="1324" spans="1:8">
      <c r="A1324">
        <v>1323</v>
      </c>
      <c r="B1324" t="s">
        <v>11</v>
      </c>
      <c r="C1324">
        <v>99</v>
      </c>
      <c r="D1324">
        <v>144176</v>
      </c>
      <c r="E1324">
        <v>74</v>
      </c>
      <c r="F1324" t="s">
        <v>18</v>
      </c>
      <c r="G1324">
        <v>7</v>
      </c>
      <c r="H1324">
        <v>2</v>
      </c>
    </row>
    <row r="1325" spans="1:8">
      <c r="A1325">
        <v>1324</v>
      </c>
      <c r="B1325" t="s">
        <v>8</v>
      </c>
      <c r="C1325">
        <v>27</v>
      </c>
      <c r="D1325">
        <v>82474</v>
      </c>
      <c r="E1325">
        <v>31</v>
      </c>
      <c r="F1325" t="s">
        <v>14</v>
      </c>
      <c r="G1325">
        <v>9</v>
      </c>
      <c r="H1325">
        <v>3</v>
      </c>
    </row>
    <row r="1326" spans="1:8">
      <c r="A1326">
        <v>1325</v>
      </c>
      <c r="B1326" t="s">
        <v>11</v>
      </c>
      <c r="C1326">
        <v>95</v>
      </c>
      <c r="D1326">
        <v>159010</v>
      </c>
      <c r="E1326">
        <v>84</v>
      </c>
      <c r="F1326" t="s">
        <v>12</v>
      </c>
      <c r="G1326">
        <v>6</v>
      </c>
      <c r="H1326">
        <v>2</v>
      </c>
    </row>
    <row r="1327" spans="1:8">
      <c r="A1327">
        <v>1326</v>
      </c>
      <c r="B1327" t="s">
        <v>11</v>
      </c>
      <c r="C1327">
        <v>6</v>
      </c>
      <c r="D1327">
        <v>76164</v>
      </c>
      <c r="E1327">
        <v>83</v>
      </c>
      <c r="F1327" t="s">
        <v>14</v>
      </c>
      <c r="G1327">
        <v>6</v>
      </c>
      <c r="H1327">
        <v>2</v>
      </c>
    </row>
    <row r="1328" spans="1:8">
      <c r="A1328">
        <v>1327</v>
      </c>
      <c r="B1328" t="s">
        <v>8</v>
      </c>
      <c r="C1328">
        <v>18</v>
      </c>
      <c r="D1328">
        <v>77873</v>
      </c>
      <c r="E1328">
        <v>49</v>
      </c>
      <c r="F1328" t="s">
        <v>15</v>
      </c>
      <c r="G1328">
        <v>6</v>
      </c>
      <c r="H1328">
        <v>5</v>
      </c>
    </row>
    <row r="1329" spans="1:8">
      <c r="A1329">
        <v>1328</v>
      </c>
      <c r="B1329" t="s">
        <v>8</v>
      </c>
      <c r="C1329">
        <v>42</v>
      </c>
      <c r="D1329">
        <v>53392</v>
      </c>
      <c r="E1329">
        <v>89</v>
      </c>
      <c r="F1329" t="s">
        <v>14</v>
      </c>
      <c r="G1329">
        <v>6</v>
      </c>
      <c r="H1329">
        <v>4</v>
      </c>
    </row>
    <row r="1330" spans="1:8">
      <c r="A1330">
        <v>1329</v>
      </c>
      <c r="B1330" t="s">
        <v>8</v>
      </c>
      <c r="C1330">
        <v>50</v>
      </c>
      <c r="D1330">
        <v>168898</v>
      </c>
      <c r="E1330">
        <v>41</v>
      </c>
      <c r="F1330" t="s">
        <v>14</v>
      </c>
      <c r="G1330">
        <v>9</v>
      </c>
      <c r="H1330">
        <v>7</v>
      </c>
    </row>
    <row r="1331" spans="1:8">
      <c r="A1331">
        <v>1330</v>
      </c>
      <c r="B1331" t="s">
        <v>8</v>
      </c>
      <c r="C1331">
        <v>86</v>
      </c>
      <c r="D1331">
        <v>128917</v>
      </c>
      <c r="E1331">
        <v>7</v>
      </c>
      <c r="F1331" t="s">
        <v>17</v>
      </c>
      <c r="G1331">
        <v>5</v>
      </c>
      <c r="H1331">
        <v>5</v>
      </c>
    </row>
    <row r="1332" spans="1:8">
      <c r="A1332">
        <v>1331</v>
      </c>
      <c r="B1332" t="s">
        <v>8</v>
      </c>
      <c r="C1332">
        <v>69</v>
      </c>
      <c r="D1332">
        <v>185067</v>
      </c>
      <c r="E1332">
        <v>49</v>
      </c>
      <c r="F1332" t="s">
        <v>12</v>
      </c>
      <c r="G1332">
        <v>5</v>
      </c>
      <c r="H1332">
        <v>4</v>
      </c>
    </row>
    <row r="1333" spans="1:8">
      <c r="A1333">
        <v>1332</v>
      </c>
      <c r="B1333" t="s">
        <v>8</v>
      </c>
      <c r="C1333">
        <v>23</v>
      </c>
      <c r="D1333">
        <v>132183</v>
      </c>
      <c r="E1333">
        <v>76</v>
      </c>
      <c r="F1333" t="s">
        <v>14</v>
      </c>
      <c r="G1333">
        <v>10</v>
      </c>
      <c r="H1333">
        <v>3</v>
      </c>
    </row>
    <row r="1334" spans="1:8">
      <c r="A1334">
        <v>1333</v>
      </c>
      <c r="B1334" t="s">
        <v>11</v>
      </c>
      <c r="C1334">
        <v>82</v>
      </c>
      <c r="D1334">
        <v>82060</v>
      </c>
      <c r="E1334">
        <v>46</v>
      </c>
      <c r="F1334" t="s">
        <v>9</v>
      </c>
      <c r="G1334">
        <v>7</v>
      </c>
      <c r="H1334">
        <v>1</v>
      </c>
    </row>
    <row r="1335" spans="1:8">
      <c r="A1335">
        <v>1334</v>
      </c>
      <c r="B1335" t="s">
        <v>11</v>
      </c>
      <c r="C1335">
        <v>97</v>
      </c>
      <c r="D1335">
        <v>133614</v>
      </c>
      <c r="E1335">
        <v>58</v>
      </c>
      <c r="F1335" t="s">
        <v>14</v>
      </c>
      <c r="G1335">
        <v>7</v>
      </c>
      <c r="H1335">
        <v>4</v>
      </c>
    </row>
    <row r="1336" spans="1:8">
      <c r="A1336">
        <v>1335</v>
      </c>
      <c r="B1336" t="s">
        <v>8</v>
      </c>
      <c r="C1336">
        <v>42</v>
      </c>
      <c r="D1336">
        <v>94844</v>
      </c>
      <c r="E1336">
        <v>64</v>
      </c>
      <c r="G1336">
        <v>7</v>
      </c>
      <c r="H1336">
        <v>6</v>
      </c>
    </row>
    <row r="1337" spans="1:8">
      <c r="A1337">
        <v>1336</v>
      </c>
      <c r="B1337" t="s">
        <v>11</v>
      </c>
      <c r="C1337">
        <v>75</v>
      </c>
      <c r="D1337">
        <v>76474</v>
      </c>
      <c r="E1337">
        <v>5</v>
      </c>
      <c r="F1337" t="s">
        <v>16</v>
      </c>
      <c r="G1337">
        <v>5</v>
      </c>
      <c r="H1337">
        <v>5</v>
      </c>
    </row>
    <row r="1338" spans="1:8">
      <c r="A1338">
        <v>1337</v>
      </c>
      <c r="B1338" t="s">
        <v>11</v>
      </c>
      <c r="C1338">
        <v>14</v>
      </c>
      <c r="D1338">
        <v>94655</v>
      </c>
      <c r="E1338">
        <v>9</v>
      </c>
      <c r="F1338" t="s">
        <v>9</v>
      </c>
      <c r="G1338">
        <v>8</v>
      </c>
      <c r="H1338">
        <v>1</v>
      </c>
    </row>
    <row r="1339" spans="1:8">
      <c r="A1339">
        <v>1338</v>
      </c>
      <c r="B1339" t="s">
        <v>8</v>
      </c>
      <c r="C1339">
        <v>3</v>
      </c>
      <c r="D1339">
        <v>60933</v>
      </c>
      <c r="E1339">
        <v>30</v>
      </c>
      <c r="F1339" t="s">
        <v>16</v>
      </c>
      <c r="G1339">
        <v>8</v>
      </c>
      <c r="H1339">
        <v>1</v>
      </c>
    </row>
    <row r="1340" spans="1:8">
      <c r="A1340">
        <v>1339</v>
      </c>
      <c r="B1340" t="s">
        <v>8</v>
      </c>
      <c r="C1340">
        <v>16</v>
      </c>
      <c r="D1340">
        <v>79257</v>
      </c>
      <c r="E1340">
        <v>82</v>
      </c>
      <c r="F1340" t="s">
        <v>9</v>
      </c>
      <c r="G1340">
        <v>6</v>
      </c>
      <c r="H1340">
        <v>2</v>
      </c>
    </row>
    <row r="1341" spans="1:8">
      <c r="A1341">
        <v>1340</v>
      </c>
      <c r="B1341" t="s">
        <v>11</v>
      </c>
      <c r="C1341">
        <v>45</v>
      </c>
      <c r="D1341">
        <v>125677</v>
      </c>
      <c r="E1341">
        <v>36</v>
      </c>
      <c r="F1341" t="s">
        <v>13</v>
      </c>
      <c r="G1341">
        <v>5</v>
      </c>
      <c r="H1341">
        <v>2</v>
      </c>
    </row>
    <row r="1342" spans="1:8">
      <c r="A1342">
        <v>1341</v>
      </c>
      <c r="B1342" t="s">
        <v>11</v>
      </c>
      <c r="C1342">
        <v>23</v>
      </c>
      <c r="D1342">
        <v>127971</v>
      </c>
      <c r="E1342">
        <v>56</v>
      </c>
      <c r="F1342" t="s">
        <v>14</v>
      </c>
      <c r="G1342">
        <v>1</v>
      </c>
      <c r="H1342">
        <v>5</v>
      </c>
    </row>
    <row r="1343" spans="1:8">
      <c r="A1343">
        <v>1342</v>
      </c>
      <c r="B1343" t="s">
        <v>8</v>
      </c>
      <c r="C1343">
        <v>38</v>
      </c>
      <c r="D1343">
        <v>76103</v>
      </c>
      <c r="E1343">
        <v>62</v>
      </c>
      <c r="F1343" t="s">
        <v>15</v>
      </c>
      <c r="G1343">
        <v>9</v>
      </c>
      <c r="H1343">
        <v>3</v>
      </c>
    </row>
    <row r="1344" spans="1:8">
      <c r="A1344">
        <v>1343</v>
      </c>
      <c r="B1344" t="s">
        <v>11</v>
      </c>
      <c r="C1344">
        <v>45</v>
      </c>
      <c r="D1344">
        <v>114741</v>
      </c>
      <c r="E1344">
        <v>96</v>
      </c>
      <c r="F1344" t="s">
        <v>14</v>
      </c>
      <c r="G1344">
        <v>0</v>
      </c>
      <c r="H1344">
        <v>5</v>
      </c>
    </row>
    <row r="1345" spans="1:8">
      <c r="A1345">
        <v>1344</v>
      </c>
      <c r="B1345" t="s">
        <v>11</v>
      </c>
      <c r="C1345">
        <v>82</v>
      </c>
      <c r="D1345">
        <v>157994</v>
      </c>
      <c r="E1345">
        <v>92</v>
      </c>
      <c r="F1345" t="s">
        <v>14</v>
      </c>
      <c r="G1345">
        <v>1</v>
      </c>
      <c r="H1345">
        <v>1</v>
      </c>
    </row>
    <row r="1346" spans="1:8">
      <c r="A1346">
        <v>1345</v>
      </c>
      <c r="B1346" t="s">
        <v>8</v>
      </c>
      <c r="C1346">
        <v>73</v>
      </c>
      <c r="D1346">
        <v>93786</v>
      </c>
      <c r="E1346">
        <v>44</v>
      </c>
      <c r="F1346" t="s">
        <v>13</v>
      </c>
      <c r="G1346">
        <v>3</v>
      </c>
      <c r="H1346">
        <v>1</v>
      </c>
    </row>
    <row r="1347" spans="1:8">
      <c r="A1347">
        <v>1346</v>
      </c>
      <c r="B1347" t="s">
        <v>8</v>
      </c>
      <c r="C1347">
        <v>36</v>
      </c>
      <c r="D1347">
        <v>75178</v>
      </c>
      <c r="E1347">
        <v>41</v>
      </c>
      <c r="F1347" t="s">
        <v>13</v>
      </c>
      <c r="G1347">
        <v>1</v>
      </c>
      <c r="H1347">
        <v>7</v>
      </c>
    </row>
    <row r="1348" spans="1:8">
      <c r="A1348">
        <v>1347</v>
      </c>
      <c r="B1348" t="s">
        <v>8</v>
      </c>
      <c r="C1348">
        <v>13</v>
      </c>
      <c r="D1348">
        <v>175267</v>
      </c>
      <c r="E1348">
        <v>81</v>
      </c>
      <c r="F1348" t="s">
        <v>9</v>
      </c>
      <c r="G1348">
        <v>1</v>
      </c>
      <c r="H1348">
        <v>4</v>
      </c>
    </row>
    <row r="1349" spans="1:8">
      <c r="A1349">
        <v>1348</v>
      </c>
      <c r="B1349" t="s">
        <v>11</v>
      </c>
      <c r="C1349">
        <v>96</v>
      </c>
      <c r="D1349">
        <v>99263</v>
      </c>
      <c r="E1349">
        <v>100</v>
      </c>
      <c r="F1349" t="s">
        <v>9</v>
      </c>
      <c r="G1349">
        <v>8</v>
      </c>
      <c r="H1349">
        <v>1</v>
      </c>
    </row>
    <row r="1350" spans="1:8">
      <c r="A1350">
        <v>1349</v>
      </c>
      <c r="B1350" t="s">
        <v>11</v>
      </c>
      <c r="C1350">
        <v>83</v>
      </c>
      <c r="D1350">
        <v>52590</v>
      </c>
      <c r="E1350">
        <v>3</v>
      </c>
      <c r="F1350" t="s">
        <v>9</v>
      </c>
      <c r="G1350">
        <v>0</v>
      </c>
      <c r="H1350">
        <v>4</v>
      </c>
    </row>
    <row r="1351" spans="1:8">
      <c r="A1351">
        <v>1350</v>
      </c>
      <c r="B1351" t="s">
        <v>8</v>
      </c>
      <c r="C1351">
        <v>33</v>
      </c>
      <c r="D1351">
        <v>170959</v>
      </c>
      <c r="E1351">
        <v>75</v>
      </c>
      <c r="F1351" t="s">
        <v>14</v>
      </c>
      <c r="G1351">
        <v>0</v>
      </c>
      <c r="H1351">
        <v>4</v>
      </c>
    </row>
    <row r="1352" spans="1:8">
      <c r="A1352">
        <v>1351</v>
      </c>
      <c r="B1352" t="s">
        <v>8</v>
      </c>
      <c r="C1352">
        <v>68</v>
      </c>
      <c r="D1352">
        <v>135076</v>
      </c>
      <c r="E1352">
        <v>60</v>
      </c>
      <c r="F1352" t="s">
        <v>10</v>
      </c>
      <c r="G1352">
        <v>1</v>
      </c>
      <c r="H1352">
        <v>5</v>
      </c>
    </row>
    <row r="1353" spans="1:8">
      <c r="A1353">
        <v>1352</v>
      </c>
      <c r="B1353" t="s">
        <v>8</v>
      </c>
      <c r="C1353">
        <v>88</v>
      </c>
      <c r="D1353">
        <v>167112</v>
      </c>
      <c r="E1353">
        <v>34</v>
      </c>
      <c r="F1353" t="s">
        <v>12</v>
      </c>
      <c r="G1353">
        <v>0</v>
      </c>
      <c r="H1353">
        <v>1</v>
      </c>
    </row>
    <row r="1354" spans="1:8">
      <c r="A1354">
        <v>1353</v>
      </c>
      <c r="B1354" t="s">
        <v>11</v>
      </c>
      <c r="C1354">
        <v>87</v>
      </c>
      <c r="D1354">
        <v>184639</v>
      </c>
      <c r="E1354">
        <v>12</v>
      </c>
      <c r="F1354" t="s">
        <v>16</v>
      </c>
      <c r="G1354">
        <v>1</v>
      </c>
      <c r="H1354">
        <v>6</v>
      </c>
    </row>
    <row r="1355" spans="1:8">
      <c r="A1355">
        <v>1354</v>
      </c>
      <c r="B1355" t="s">
        <v>11</v>
      </c>
      <c r="C1355">
        <v>88</v>
      </c>
      <c r="D1355">
        <v>172369</v>
      </c>
      <c r="E1355">
        <v>80</v>
      </c>
      <c r="F1355" t="s">
        <v>14</v>
      </c>
      <c r="G1355">
        <v>6</v>
      </c>
      <c r="H1355">
        <v>6</v>
      </c>
    </row>
    <row r="1356" spans="1:8">
      <c r="A1356">
        <v>1355</v>
      </c>
      <c r="B1356" t="s">
        <v>11</v>
      </c>
      <c r="C1356">
        <v>43</v>
      </c>
      <c r="D1356">
        <v>124256</v>
      </c>
      <c r="E1356">
        <v>67</v>
      </c>
      <c r="F1356" t="s">
        <v>18</v>
      </c>
      <c r="G1356">
        <v>1</v>
      </c>
      <c r="H1356">
        <v>7</v>
      </c>
    </row>
    <row r="1357" spans="1:8">
      <c r="A1357">
        <v>1356</v>
      </c>
      <c r="B1357" t="s">
        <v>11</v>
      </c>
      <c r="C1357">
        <v>64</v>
      </c>
      <c r="D1357">
        <v>89972</v>
      </c>
      <c r="E1357">
        <v>92</v>
      </c>
      <c r="F1357" t="s">
        <v>14</v>
      </c>
      <c r="G1357">
        <v>10</v>
      </c>
      <c r="H1357">
        <v>6</v>
      </c>
    </row>
    <row r="1358" spans="1:8">
      <c r="A1358">
        <v>1357</v>
      </c>
      <c r="B1358" t="s">
        <v>8</v>
      </c>
      <c r="C1358">
        <v>96</v>
      </c>
      <c r="D1358">
        <v>67799</v>
      </c>
      <c r="E1358">
        <v>42</v>
      </c>
      <c r="F1358" t="s">
        <v>13</v>
      </c>
      <c r="G1358">
        <v>1</v>
      </c>
      <c r="H1358">
        <v>6</v>
      </c>
    </row>
    <row r="1359" spans="1:8">
      <c r="A1359">
        <v>1358</v>
      </c>
      <c r="B1359" t="s">
        <v>11</v>
      </c>
      <c r="C1359">
        <v>72</v>
      </c>
      <c r="D1359">
        <v>176074</v>
      </c>
      <c r="E1359">
        <v>70</v>
      </c>
      <c r="F1359" t="s">
        <v>16</v>
      </c>
      <c r="G1359">
        <v>1</v>
      </c>
      <c r="H1359">
        <v>7</v>
      </c>
    </row>
    <row r="1360" spans="1:8">
      <c r="A1360">
        <v>1359</v>
      </c>
      <c r="B1360" t="s">
        <v>8</v>
      </c>
      <c r="C1360">
        <v>48</v>
      </c>
      <c r="D1360">
        <v>167517</v>
      </c>
      <c r="E1360">
        <v>27</v>
      </c>
      <c r="F1360" t="s">
        <v>14</v>
      </c>
      <c r="G1360">
        <v>2</v>
      </c>
      <c r="H1360">
        <v>7</v>
      </c>
    </row>
    <row r="1361" spans="1:8">
      <c r="A1361">
        <v>1360</v>
      </c>
      <c r="B1361" t="s">
        <v>11</v>
      </c>
      <c r="C1361">
        <v>64</v>
      </c>
      <c r="D1361">
        <v>77914</v>
      </c>
      <c r="E1361">
        <v>11</v>
      </c>
      <c r="F1361" t="s">
        <v>14</v>
      </c>
      <c r="G1361">
        <v>1</v>
      </c>
      <c r="H1361">
        <v>6</v>
      </c>
    </row>
    <row r="1362" spans="1:8">
      <c r="A1362">
        <v>1361</v>
      </c>
      <c r="B1362" t="s">
        <v>11</v>
      </c>
      <c r="C1362">
        <v>8</v>
      </c>
      <c r="D1362">
        <v>57605</v>
      </c>
      <c r="E1362">
        <v>81</v>
      </c>
      <c r="F1362" t="s">
        <v>16</v>
      </c>
      <c r="G1362">
        <v>0</v>
      </c>
      <c r="H1362">
        <v>2</v>
      </c>
    </row>
    <row r="1363" spans="1:8">
      <c r="A1363">
        <v>1362</v>
      </c>
      <c r="B1363" t="s">
        <v>11</v>
      </c>
      <c r="C1363">
        <v>52</v>
      </c>
      <c r="D1363">
        <v>86365</v>
      </c>
      <c r="E1363">
        <v>70</v>
      </c>
      <c r="F1363" t="s">
        <v>10</v>
      </c>
      <c r="G1363">
        <v>1</v>
      </c>
      <c r="H1363">
        <v>7</v>
      </c>
    </row>
    <row r="1364" spans="1:8">
      <c r="A1364">
        <v>1363</v>
      </c>
      <c r="B1364" t="s">
        <v>8</v>
      </c>
      <c r="C1364">
        <v>3</v>
      </c>
      <c r="D1364">
        <v>93883</v>
      </c>
      <c r="E1364">
        <v>39</v>
      </c>
      <c r="F1364" t="s">
        <v>9</v>
      </c>
      <c r="G1364">
        <v>1</v>
      </c>
      <c r="H1364">
        <v>2</v>
      </c>
    </row>
    <row r="1365" spans="1:8">
      <c r="A1365">
        <v>1364</v>
      </c>
      <c r="B1365" t="s">
        <v>11</v>
      </c>
      <c r="C1365">
        <v>44</v>
      </c>
      <c r="D1365">
        <v>131091</v>
      </c>
      <c r="E1365">
        <v>62</v>
      </c>
      <c r="F1365" t="s">
        <v>14</v>
      </c>
      <c r="G1365">
        <v>4</v>
      </c>
      <c r="H1365">
        <v>1</v>
      </c>
    </row>
    <row r="1366" spans="1:8">
      <c r="A1366">
        <v>1365</v>
      </c>
      <c r="B1366" t="s">
        <v>8</v>
      </c>
      <c r="C1366">
        <v>14</v>
      </c>
      <c r="D1366">
        <v>87222</v>
      </c>
      <c r="E1366">
        <v>14</v>
      </c>
      <c r="F1366" t="s">
        <v>9</v>
      </c>
      <c r="G1366">
        <v>8</v>
      </c>
      <c r="H1366">
        <v>4</v>
      </c>
    </row>
    <row r="1367" spans="1:8">
      <c r="A1367">
        <v>1366</v>
      </c>
      <c r="B1367" t="s">
        <v>11</v>
      </c>
      <c r="C1367">
        <v>50</v>
      </c>
      <c r="D1367">
        <v>117076</v>
      </c>
      <c r="E1367">
        <v>45</v>
      </c>
      <c r="F1367" t="s">
        <v>16</v>
      </c>
      <c r="G1367">
        <v>1</v>
      </c>
      <c r="H1367">
        <v>2</v>
      </c>
    </row>
    <row r="1368" spans="1:8">
      <c r="A1368">
        <v>1367</v>
      </c>
      <c r="B1368" t="s">
        <v>8</v>
      </c>
      <c r="C1368">
        <v>53</v>
      </c>
      <c r="D1368">
        <v>150925</v>
      </c>
      <c r="E1368">
        <v>1</v>
      </c>
      <c r="F1368" t="s">
        <v>9</v>
      </c>
      <c r="G1368">
        <v>1</v>
      </c>
      <c r="H1368">
        <v>2</v>
      </c>
    </row>
    <row r="1369" spans="1:8">
      <c r="A1369">
        <v>1368</v>
      </c>
      <c r="B1369" t="s">
        <v>11</v>
      </c>
      <c r="C1369">
        <v>31</v>
      </c>
      <c r="D1369">
        <v>149379</v>
      </c>
      <c r="E1369">
        <v>100</v>
      </c>
      <c r="F1369" t="s">
        <v>12</v>
      </c>
      <c r="G1369">
        <v>0</v>
      </c>
      <c r="H1369">
        <v>3</v>
      </c>
    </row>
    <row r="1370" spans="1:8">
      <c r="A1370">
        <v>1369</v>
      </c>
      <c r="B1370" t="s">
        <v>11</v>
      </c>
      <c r="C1370">
        <v>31</v>
      </c>
      <c r="D1370">
        <v>138644</v>
      </c>
      <c r="E1370">
        <v>94</v>
      </c>
      <c r="F1370" t="s">
        <v>10</v>
      </c>
      <c r="G1370">
        <v>4</v>
      </c>
      <c r="H1370">
        <v>3</v>
      </c>
    </row>
    <row r="1371" spans="1:8">
      <c r="A1371">
        <v>1370</v>
      </c>
      <c r="B1371" t="s">
        <v>8</v>
      </c>
      <c r="C1371">
        <v>97</v>
      </c>
      <c r="D1371">
        <v>148493</v>
      </c>
      <c r="E1371">
        <v>42</v>
      </c>
      <c r="F1371" t="s">
        <v>16</v>
      </c>
      <c r="G1371">
        <v>4</v>
      </c>
      <c r="H1371">
        <v>7</v>
      </c>
    </row>
    <row r="1372" spans="1:8">
      <c r="A1372">
        <v>1371</v>
      </c>
      <c r="B1372" t="s">
        <v>8</v>
      </c>
      <c r="C1372">
        <v>27</v>
      </c>
      <c r="D1372">
        <v>84658</v>
      </c>
      <c r="E1372">
        <v>66</v>
      </c>
      <c r="F1372" t="s">
        <v>12</v>
      </c>
      <c r="G1372">
        <v>4</v>
      </c>
      <c r="H1372">
        <v>6</v>
      </c>
    </row>
    <row r="1373" spans="1:8">
      <c r="A1373">
        <v>1372</v>
      </c>
      <c r="B1373" t="s">
        <v>8</v>
      </c>
      <c r="C1373">
        <v>2</v>
      </c>
      <c r="D1373">
        <v>111618</v>
      </c>
      <c r="E1373">
        <v>99</v>
      </c>
      <c r="F1373" t="s">
        <v>12</v>
      </c>
      <c r="G1373">
        <v>6</v>
      </c>
      <c r="H1373">
        <v>5</v>
      </c>
    </row>
    <row r="1374" spans="1:8">
      <c r="A1374">
        <v>1373</v>
      </c>
      <c r="B1374" t="s">
        <v>8</v>
      </c>
      <c r="C1374">
        <v>81</v>
      </c>
      <c r="D1374">
        <v>108759</v>
      </c>
      <c r="E1374">
        <v>60</v>
      </c>
      <c r="F1374" t="s">
        <v>14</v>
      </c>
      <c r="G1374">
        <v>7</v>
      </c>
      <c r="H1374">
        <v>6</v>
      </c>
    </row>
    <row r="1375" spans="1:8">
      <c r="A1375">
        <v>1374</v>
      </c>
      <c r="B1375" t="s">
        <v>8</v>
      </c>
      <c r="C1375">
        <v>64</v>
      </c>
      <c r="D1375">
        <v>186203</v>
      </c>
      <c r="E1375">
        <v>73</v>
      </c>
      <c r="F1375" t="s">
        <v>14</v>
      </c>
      <c r="G1375">
        <v>10</v>
      </c>
      <c r="H1375">
        <v>5</v>
      </c>
    </row>
    <row r="1376" spans="1:8">
      <c r="A1376">
        <v>1375</v>
      </c>
      <c r="B1376" t="s">
        <v>11</v>
      </c>
      <c r="C1376">
        <v>11</v>
      </c>
      <c r="D1376">
        <v>147258</v>
      </c>
      <c r="E1376">
        <v>59</v>
      </c>
      <c r="F1376" t="s">
        <v>12</v>
      </c>
      <c r="G1376">
        <v>10</v>
      </c>
      <c r="H1376">
        <v>2</v>
      </c>
    </row>
    <row r="1377" spans="1:8">
      <c r="A1377">
        <v>1376</v>
      </c>
      <c r="B1377" t="s">
        <v>11</v>
      </c>
      <c r="C1377">
        <v>78</v>
      </c>
      <c r="D1377">
        <v>132983</v>
      </c>
      <c r="E1377">
        <v>67</v>
      </c>
      <c r="F1377" t="s">
        <v>9</v>
      </c>
      <c r="G1377">
        <v>7</v>
      </c>
      <c r="H1377">
        <v>7</v>
      </c>
    </row>
    <row r="1378" spans="1:8">
      <c r="A1378">
        <v>1377</v>
      </c>
      <c r="B1378" t="s">
        <v>8</v>
      </c>
      <c r="C1378">
        <v>72</v>
      </c>
      <c r="D1378">
        <v>149092</v>
      </c>
      <c r="E1378">
        <v>39</v>
      </c>
      <c r="F1378" t="s">
        <v>10</v>
      </c>
      <c r="G1378">
        <v>8</v>
      </c>
      <c r="H1378">
        <v>1</v>
      </c>
    </row>
    <row r="1379" spans="1:8">
      <c r="A1379">
        <v>1378</v>
      </c>
      <c r="B1379" t="s">
        <v>8</v>
      </c>
      <c r="C1379">
        <v>36</v>
      </c>
      <c r="D1379">
        <v>163845</v>
      </c>
      <c r="E1379">
        <v>84</v>
      </c>
      <c r="F1379" t="s">
        <v>16</v>
      </c>
      <c r="G1379">
        <v>5</v>
      </c>
      <c r="H1379">
        <v>7</v>
      </c>
    </row>
    <row r="1380" spans="1:8">
      <c r="A1380">
        <v>1379</v>
      </c>
      <c r="B1380" t="s">
        <v>8</v>
      </c>
      <c r="C1380">
        <v>97</v>
      </c>
      <c r="D1380">
        <v>117777</v>
      </c>
      <c r="E1380">
        <v>67</v>
      </c>
      <c r="F1380" t="s">
        <v>14</v>
      </c>
      <c r="G1380">
        <v>5</v>
      </c>
      <c r="H1380">
        <v>5</v>
      </c>
    </row>
    <row r="1381" spans="1:8">
      <c r="A1381">
        <v>1380</v>
      </c>
      <c r="B1381" t="s">
        <v>8</v>
      </c>
      <c r="C1381">
        <v>88</v>
      </c>
      <c r="D1381">
        <v>131584</v>
      </c>
      <c r="E1381">
        <v>18</v>
      </c>
      <c r="F1381" t="s">
        <v>14</v>
      </c>
      <c r="G1381">
        <v>7</v>
      </c>
      <c r="H1381">
        <v>3</v>
      </c>
    </row>
    <row r="1382" spans="1:8">
      <c r="A1382">
        <v>1381</v>
      </c>
      <c r="B1382" t="s">
        <v>11</v>
      </c>
      <c r="C1382">
        <v>21</v>
      </c>
      <c r="D1382">
        <v>123904</v>
      </c>
      <c r="E1382">
        <v>91</v>
      </c>
      <c r="F1382" t="s">
        <v>14</v>
      </c>
      <c r="G1382">
        <v>7</v>
      </c>
      <c r="H1382">
        <v>5</v>
      </c>
    </row>
    <row r="1383" spans="1:8">
      <c r="A1383">
        <v>1382</v>
      </c>
      <c r="B1383" t="s">
        <v>11</v>
      </c>
      <c r="C1383">
        <v>62</v>
      </c>
      <c r="D1383">
        <v>89801</v>
      </c>
      <c r="E1383">
        <v>88</v>
      </c>
      <c r="F1383" t="s">
        <v>14</v>
      </c>
      <c r="G1383">
        <v>5</v>
      </c>
      <c r="H1383">
        <v>4</v>
      </c>
    </row>
    <row r="1384" spans="1:8">
      <c r="A1384">
        <v>1383</v>
      </c>
      <c r="B1384" t="s">
        <v>8</v>
      </c>
      <c r="C1384">
        <v>73</v>
      </c>
      <c r="D1384">
        <v>173466</v>
      </c>
      <c r="E1384">
        <v>57</v>
      </c>
      <c r="F1384" t="s">
        <v>13</v>
      </c>
      <c r="G1384">
        <v>10</v>
      </c>
      <c r="H1384">
        <v>5</v>
      </c>
    </row>
    <row r="1385" spans="1:8">
      <c r="A1385">
        <v>1384</v>
      </c>
      <c r="B1385" t="s">
        <v>11</v>
      </c>
      <c r="C1385">
        <v>34</v>
      </c>
      <c r="D1385">
        <v>55690</v>
      </c>
      <c r="E1385">
        <v>4</v>
      </c>
      <c r="F1385" t="s">
        <v>18</v>
      </c>
      <c r="G1385">
        <v>4</v>
      </c>
      <c r="H1385">
        <v>6</v>
      </c>
    </row>
    <row r="1386" spans="1:8">
      <c r="A1386">
        <v>1385</v>
      </c>
      <c r="B1386" t="s">
        <v>11</v>
      </c>
      <c r="C1386">
        <v>50</v>
      </c>
      <c r="D1386">
        <v>104467</v>
      </c>
      <c r="E1386">
        <v>72</v>
      </c>
      <c r="G1386">
        <v>5</v>
      </c>
      <c r="H1386">
        <v>1</v>
      </c>
    </row>
    <row r="1387" spans="1:8">
      <c r="A1387">
        <v>1386</v>
      </c>
      <c r="B1387" t="s">
        <v>8</v>
      </c>
      <c r="C1387">
        <v>39</v>
      </c>
      <c r="D1387">
        <v>100419</v>
      </c>
      <c r="E1387">
        <v>19</v>
      </c>
      <c r="F1387" t="s">
        <v>14</v>
      </c>
      <c r="G1387">
        <v>5</v>
      </c>
      <c r="H1387">
        <v>4</v>
      </c>
    </row>
    <row r="1388" spans="1:8">
      <c r="A1388">
        <v>1387</v>
      </c>
      <c r="B1388" t="s">
        <v>11</v>
      </c>
      <c r="C1388">
        <v>82</v>
      </c>
      <c r="D1388">
        <v>62951</v>
      </c>
      <c r="E1388">
        <v>47</v>
      </c>
      <c r="F1388" t="s">
        <v>12</v>
      </c>
      <c r="G1388">
        <v>8</v>
      </c>
      <c r="H1388">
        <v>2</v>
      </c>
    </row>
    <row r="1389" spans="1:8">
      <c r="A1389">
        <v>1388</v>
      </c>
      <c r="B1389" t="s">
        <v>8</v>
      </c>
      <c r="C1389">
        <v>39</v>
      </c>
      <c r="D1389">
        <v>118554</v>
      </c>
      <c r="E1389">
        <v>1</v>
      </c>
      <c r="F1389" t="s">
        <v>12</v>
      </c>
      <c r="G1389">
        <v>4</v>
      </c>
      <c r="H1389">
        <v>6</v>
      </c>
    </row>
    <row r="1390" spans="1:8">
      <c r="A1390">
        <v>1389</v>
      </c>
      <c r="B1390" t="s">
        <v>11</v>
      </c>
      <c r="C1390">
        <v>13</v>
      </c>
      <c r="D1390">
        <v>140673</v>
      </c>
      <c r="E1390">
        <v>49</v>
      </c>
      <c r="F1390" t="s">
        <v>14</v>
      </c>
      <c r="G1390">
        <v>6</v>
      </c>
      <c r="H1390">
        <v>7</v>
      </c>
    </row>
    <row r="1391" spans="1:8">
      <c r="A1391">
        <v>1390</v>
      </c>
      <c r="B1391" t="s">
        <v>11</v>
      </c>
      <c r="C1391">
        <v>68</v>
      </c>
      <c r="D1391">
        <v>75561</v>
      </c>
      <c r="E1391">
        <v>87</v>
      </c>
      <c r="F1391" t="s">
        <v>9</v>
      </c>
      <c r="G1391">
        <v>5</v>
      </c>
      <c r="H1391">
        <v>3</v>
      </c>
    </row>
    <row r="1392" spans="1:8">
      <c r="A1392">
        <v>1391</v>
      </c>
      <c r="B1392" t="s">
        <v>11</v>
      </c>
      <c r="C1392">
        <v>77</v>
      </c>
      <c r="D1392">
        <v>147306</v>
      </c>
      <c r="E1392">
        <v>50</v>
      </c>
      <c r="F1392" t="s">
        <v>9</v>
      </c>
      <c r="G1392">
        <v>6</v>
      </c>
      <c r="H1392">
        <v>6</v>
      </c>
    </row>
    <row r="1393" spans="1:8">
      <c r="A1393">
        <v>1392</v>
      </c>
      <c r="B1393" t="s">
        <v>11</v>
      </c>
      <c r="C1393">
        <v>35</v>
      </c>
      <c r="D1393">
        <v>111871</v>
      </c>
      <c r="E1393">
        <v>30</v>
      </c>
      <c r="F1393" t="s">
        <v>16</v>
      </c>
      <c r="G1393">
        <v>10</v>
      </c>
      <c r="H1393">
        <v>1</v>
      </c>
    </row>
    <row r="1394" spans="1:8">
      <c r="A1394">
        <v>1393</v>
      </c>
      <c r="B1394" t="s">
        <v>8</v>
      </c>
      <c r="C1394">
        <v>5</v>
      </c>
      <c r="D1394">
        <v>112884</v>
      </c>
      <c r="E1394">
        <v>43</v>
      </c>
      <c r="F1394" t="s">
        <v>9</v>
      </c>
      <c r="G1394">
        <v>0</v>
      </c>
      <c r="H1394">
        <v>6</v>
      </c>
    </row>
    <row r="1395" spans="1:8">
      <c r="A1395">
        <v>1394</v>
      </c>
      <c r="B1395" t="s">
        <v>11</v>
      </c>
      <c r="C1395">
        <v>47</v>
      </c>
      <c r="D1395">
        <v>121267</v>
      </c>
      <c r="E1395">
        <v>58</v>
      </c>
      <c r="F1395" t="s">
        <v>10</v>
      </c>
      <c r="G1395">
        <v>1</v>
      </c>
      <c r="H1395">
        <v>1</v>
      </c>
    </row>
    <row r="1396" spans="1:8">
      <c r="A1396">
        <v>1395</v>
      </c>
      <c r="B1396" t="s">
        <v>11</v>
      </c>
      <c r="C1396">
        <v>48</v>
      </c>
      <c r="D1396">
        <v>151519</v>
      </c>
      <c r="E1396">
        <v>93</v>
      </c>
      <c r="F1396" t="s">
        <v>14</v>
      </c>
      <c r="G1396">
        <v>7</v>
      </c>
      <c r="H1396">
        <v>2</v>
      </c>
    </row>
    <row r="1397" spans="1:8">
      <c r="A1397">
        <v>1396</v>
      </c>
      <c r="B1397" t="s">
        <v>11</v>
      </c>
      <c r="C1397">
        <v>34</v>
      </c>
      <c r="D1397">
        <v>105448</v>
      </c>
      <c r="E1397">
        <v>40</v>
      </c>
      <c r="F1397" t="s">
        <v>14</v>
      </c>
      <c r="G1397">
        <v>0</v>
      </c>
      <c r="H1397">
        <v>5</v>
      </c>
    </row>
    <row r="1398" spans="1:8">
      <c r="A1398">
        <v>1397</v>
      </c>
      <c r="B1398" t="s">
        <v>11</v>
      </c>
      <c r="C1398">
        <v>20</v>
      </c>
      <c r="D1398">
        <v>92048</v>
      </c>
      <c r="E1398">
        <v>91</v>
      </c>
      <c r="F1398" t="s">
        <v>9</v>
      </c>
      <c r="G1398">
        <v>1</v>
      </c>
      <c r="H1398">
        <v>1</v>
      </c>
    </row>
    <row r="1399" spans="1:8">
      <c r="A1399">
        <v>1398</v>
      </c>
      <c r="B1399" t="s">
        <v>8</v>
      </c>
      <c r="C1399">
        <v>61</v>
      </c>
      <c r="D1399">
        <v>99980</v>
      </c>
      <c r="E1399">
        <v>94</v>
      </c>
      <c r="F1399" t="s">
        <v>9</v>
      </c>
      <c r="G1399">
        <v>10</v>
      </c>
      <c r="H1399">
        <v>1</v>
      </c>
    </row>
    <row r="1400" spans="1:8">
      <c r="A1400">
        <v>1399</v>
      </c>
      <c r="B1400" t="s">
        <v>8</v>
      </c>
      <c r="C1400">
        <v>16</v>
      </c>
      <c r="D1400">
        <v>84003</v>
      </c>
      <c r="E1400">
        <v>68</v>
      </c>
      <c r="F1400" t="s">
        <v>14</v>
      </c>
      <c r="G1400">
        <v>9</v>
      </c>
      <c r="H1400">
        <v>6</v>
      </c>
    </row>
    <row r="1401" spans="1:8">
      <c r="A1401">
        <v>1400</v>
      </c>
      <c r="B1401" t="s">
        <v>8</v>
      </c>
      <c r="C1401">
        <v>2</v>
      </c>
      <c r="D1401">
        <v>110889</v>
      </c>
      <c r="E1401">
        <v>95</v>
      </c>
      <c r="F1401" t="s">
        <v>15</v>
      </c>
      <c r="G1401">
        <v>1</v>
      </c>
      <c r="H1401">
        <v>2</v>
      </c>
    </row>
    <row r="1402" spans="1:8">
      <c r="A1402">
        <v>1401</v>
      </c>
      <c r="B1402" t="s">
        <v>11</v>
      </c>
      <c r="C1402">
        <v>52</v>
      </c>
      <c r="D1402">
        <v>82478</v>
      </c>
      <c r="E1402">
        <v>95</v>
      </c>
      <c r="F1402" t="s">
        <v>15</v>
      </c>
      <c r="G1402">
        <v>10</v>
      </c>
      <c r="H1402">
        <v>1</v>
      </c>
    </row>
    <row r="1403" spans="1:8">
      <c r="A1403">
        <v>1402</v>
      </c>
      <c r="B1403" t="s">
        <v>8</v>
      </c>
      <c r="C1403">
        <v>99</v>
      </c>
      <c r="D1403">
        <v>139685</v>
      </c>
      <c r="E1403">
        <v>20</v>
      </c>
      <c r="F1403" t="s">
        <v>9</v>
      </c>
      <c r="G1403">
        <v>1</v>
      </c>
      <c r="H1403">
        <v>4</v>
      </c>
    </row>
    <row r="1404" spans="1:8">
      <c r="A1404">
        <v>1403</v>
      </c>
      <c r="B1404" t="s">
        <v>11</v>
      </c>
      <c r="C1404">
        <v>84</v>
      </c>
      <c r="D1404">
        <v>182374</v>
      </c>
      <c r="E1404">
        <v>62</v>
      </c>
      <c r="F1404" t="s">
        <v>13</v>
      </c>
      <c r="G1404">
        <v>0</v>
      </c>
      <c r="H1404">
        <v>6</v>
      </c>
    </row>
    <row r="1405" spans="1:8">
      <c r="A1405">
        <v>1404</v>
      </c>
      <c r="B1405" t="s">
        <v>11</v>
      </c>
      <c r="C1405">
        <v>58</v>
      </c>
      <c r="D1405">
        <v>119366</v>
      </c>
      <c r="E1405">
        <v>94</v>
      </c>
      <c r="F1405" t="s">
        <v>10</v>
      </c>
      <c r="G1405">
        <v>4</v>
      </c>
      <c r="H1405">
        <v>2</v>
      </c>
    </row>
    <row r="1406" spans="1:8">
      <c r="A1406">
        <v>1405</v>
      </c>
      <c r="B1406" t="s">
        <v>11</v>
      </c>
      <c r="C1406">
        <v>91</v>
      </c>
      <c r="D1406">
        <v>53788</v>
      </c>
      <c r="E1406">
        <v>57</v>
      </c>
      <c r="F1406" t="s">
        <v>16</v>
      </c>
      <c r="G1406">
        <v>0</v>
      </c>
      <c r="H1406">
        <v>2</v>
      </c>
    </row>
    <row r="1407" spans="1:8">
      <c r="A1407">
        <v>1406</v>
      </c>
      <c r="B1407" t="s">
        <v>11</v>
      </c>
      <c r="C1407">
        <v>1</v>
      </c>
      <c r="D1407">
        <v>90341</v>
      </c>
      <c r="E1407">
        <v>92</v>
      </c>
      <c r="F1407" t="s">
        <v>16</v>
      </c>
      <c r="G1407">
        <v>0</v>
      </c>
      <c r="H1407">
        <v>2</v>
      </c>
    </row>
    <row r="1408" spans="1:8">
      <c r="A1408">
        <v>1407</v>
      </c>
      <c r="B1408" t="s">
        <v>11</v>
      </c>
      <c r="C1408">
        <v>67</v>
      </c>
      <c r="D1408">
        <v>118348</v>
      </c>
      <c r="E1408">
        <v>94</v>
      </c>
      <c r="F1408" t="s">
        <v>10</v>
      </c>
      <c r="G1408">
        <v>1</v>
      </c>
      <c r="H1408">
        <v>7</v>
      </c>
    </row>
    <row r="1409" spans="1:8">
      <c r="A1409">
        <v>1408</v>
      </c>
      <c r="B1409" t="s">
        <v>8</v>
      </c>
      <c r="C1409">
        <v>56</v>
      </c>
      <c r="D1409">
        <v>137428</v>
      </c>
      <c r="E1409">
        <v>87</v>
      </c>
      <c r="F1409" t="s">
        <v>14</v>
      </c>
      <c r="G1409">
        <v>0</v>
      </c>
      <c r="H1409">
        <v>2</v>
      </c>
    </row>
    <row r="1410" spans="1:8">
      <c r="A1410">
        <v>1409</v>
      </c>
      <c r="B1410" t="s">
        <v>11</v>
      </c>
      <c r="C1410">
        <v>62</v>
      </c>
      <c r="D1410">
        <v>106982</v>
      </c>
      <c r="E1410">
        <v>53</v>
      </c>
      <c r="F1410" t="s">
        <v>13</v>
      </c>
      <c r="G1410">
        <v>1</v>
      </c>
      <c r="H1410">
        <v>7</v>
      </c>
    </row>
    <row r="1411" spans="1:8">
      <c r="A1411">
        <v>1410</v>
      </c>
      <c r="B1411" t="s">
        <v>11</v>
      </c>
      <c r="C1411">
        <v>12</v>
      </c>
      <c r="D1411">
        <v>98532</v>
      </c>
      <c r="E1411">
        <v>52</v>
      </c>
      <c r="F1411" t="s">
        <v>16</v>
      </c>
      <c r="G1411">
        <v>0</v>
      </c>
      <c r="H1411">
        <v>6</v>
      </c>
    </row>
    <row r="1412" spans="1:8">
      <c r="A1412">
        <v>1411</v>
      </c>
      <c r="B1412" t="s">
        <v>11</v>
      </c>
      <c r="C1412">
        <v>38</v>
      </c>
      <c r="D1412">
        <v>120825</v>
      </c>
      <c r="E1412">
        <v>24</v>
      </c>
      <c r="F1412" t="s">
        <v>15</v>
      </c>
      <c r="G1412">
        <v>9</v>
      </c>
      <c r="H1412">
        <v>7</v>
      </c>
    </row>
    <row r="1413" spans="1:8">
      <c r="A1413">
        <v>1412</v>
      </c>
      <c r="B1413" t="s">
        <v>11</v>
      </c>
      <c r="C1413">
        <v>51</v>
      </c>
      <c r="D1413">
        <v>58006</v>
      </c>
      <c r="E1413">
        <v>83</v>
      </c>
      <c r="F1413" t="s">
        <v>15</v>
      </c>
      <c r="G1413">
        <v>1</v>
      </c>
      <c r="H1413">
        <v>5</v>
      </c>
    </row>
    <row r="1414" spans="1:8">
      <c r="A1414">
        <v>1413</v>
      </c>
      <c r="B1414" t="s">
        <v>8</v>
      </c>
      <c r="C1414">
        <v>20</v>
      </c>
      <c r="D1414">
        <v>106941</v>
      </c>
      <c r="E1414">
        <v>73</v>
      </c>
      <c r="F1414" t="s">
        <v>14</v>
      </c>
      <c r="G1414">
        <v>1</v>
      </c>
      <c r="H1414">
        <v>1</v>
      </c>
    </row>
    <row r="1415" spans="1:8">
      <c r="A1415">
        <v>1414</v>
      </c>
      <c r="B1415" t="s">
        <v>8</v>
      </c>
      <c r="C1415">
        <v>43</v>
      </c>
      <c r="D1415">
        <v>129782</v>
      </c>
      <c r="E1415">
        <v>31</v>
      </c>
      <c r="F1415" t="s">
        <v>13</v>
      </c>
      <c r="G1415">
        <v>1</v>
      </c>
      <c r="H1415">
        <v>2</v>
      </c>
    </row>
    <row r="1416" spans="1:8">
      <c r="A1416">
        <v>1415</v>
      </c>
      <c r="B1416" t="s">
        <v>8</v>
      </c>
      <c r="C1416">
        <v>93</v>
      </c>
      <c r="D1416">
        <v>121513</v>
      </c>
      <c r="E1416">
        <v>90</v>
      </c>
      <c r="F1416" t="s">
        <v>10</v>
      </c>
      <c r="G1416">
        <v>0</v>
      </c>
      <c r="H1416">
        <v>6</v>
      </c>
    </row>
    <row r="1417" spans="1:8">
      <c r="A1417">
        <v>1416</v>
      </c>
      <c r="B1417" t="s">
        <v>11</v>
      </c>
      <c r="C1417">
        <v>54</v>
      </c>
      <c r="D1417">
        <v>79925</v>
      </c>
      <c r="E1417">
        <v>30</v>
      </c>
      <c r="F1417" t="s">
        <v>9</v>
      </c>
      <c r="G1417">
        <v>0</v>
      </c>
      <c r="H1417">
        <v>3</v>
      </c>
    </row>
    <row r="1418" spans="1:8">
      <c r="A1418">
        <v>1417</v>
      </c>
      <c r="B1418" t="s">
        <v>8</v>
      </c>
      <c r="C1418">
        <v>23</v>
      </c>
      <c r="D1418">
        <v>112089</v>
      </c>
      <c r="E1418">
        <v>74</v>
      </c>
      <c r="F1418" t="s">
        <v>9</v>
      </c>
      <c r="G1418">
        <v>7</v>
      </c>
      <c r="H1418">
        <v>7</v>
      </c>
    </row>
    <row r="1419" spans="1:8">
      <c r="A1419">
        <v>1418</v>
      </c>
      <c r="B1419" t="s">
        <v>11</v>
      </c>
      <c r="C1419">
        <v>1</v>
      </c>
      <c r="D1419">
        <v>138656</v>
      </c>
      <c r="E1419">
        <v>27</v>
      </c>
      <c r="G1419">
        <v>3</v>
      </c>
      <c r="H1419">
        <v>4</v>
      </c>
    </row>
    <row r="1420" spans="1:8">
      <c r="A1420">
        <v>1419</v>
      </c>
      <c r="B1420" t="s">
        <v>11</v>
      </c>
      <c r="C1420">
        <v>64</v>
      </c>
      <c r="D1420">
        <v>146794</v>
      </c>
      <c r="E1420">
        <v>90</v>
      </c>
      <c r="F1420" t="s">
        <v>9</v>
      </c>
      <c r="G1420">
        <v>8</v>
      </c>
      <c r="H1420">
        <v>3</v>
      </c>
    </row>
    <row r="1421" spans="1:8">
      <c r="A1421">
        <v>1420</v>
      </c>
      <c r="B1421" t="s">
        <v>11</v>
      </c>
      <c r="C1421">
        <v>55</v>
      </c>
      <c r="D1421">
        <v>75033</v>
      </c>
      <c r="E1421">
        <v>30</v>
      </c>
      <c r="F1421" t="s">
        <v>10</v>
      </c>
      <c r="G1421">
        <v>5</v>
      </c>
      <c r="H1421">
        <v>5</v>
      </c>
    </row>
    <row r="1422" spans="1:8">
      <c r="A1422">
        <v>1421</v>
      </c>
      <c r="B1422" t="s">
        <v>11</v>
      </c>
      <c r="C1422">
        <v>85</v>
      </c>
      <c r="D1422">
        <v>149969</v>
      </c>
      <c r="E1422">
        <v>78</v>
      </c>
      <c r="F1422" t="s">
        <v>15</v>
      </c>
      <c r="G1422">
        <v>0</v>
      </c>
      <c r="H1422">
        <v>6</v>
      </c>
    </row>
    <row r="1423" spans="1:8">
      <c r="A1423">
        <v>1422</v>
      </c>
      <c r="B1423" t="s">
        <v>11</v>
      </c>
      <c r="C1423">
        <v>20</v>
      </c>
      <c r="D1423">
        <v>124852</v>
      </c>
      <c r="E1423">
        <v>39</v>
      </c>
      <c r="F1423" t="s">
        <v>9</v>
      </c>
      <c r="G1423">
        <v>5</v>
      </c>
      <c r="H1423">
        <v>5</v>
      </c>
    </row>
    <row r="1424" spans="1:8">
      <c r="A1424">
        <v>1423</v>
      </c>
      <c r="B1424" t="s">
        <v>8</v>
      </c>
      <c r="C1424">
        <v>73</v>
      </c>
      <c r="D1424">
        <v>154837</v>
      </c>
      <c r="E1424">
        <v>42</v>
      </c>
      <c r="F1424" t="s">
        <v>15</v>
      </c>
      <c r="G1424">
        <v>8</v>
      </c>
      <c r="H1424">
        <v>4</v>
      </c>
    </row>
    <row r="1425" spans="1:8">
      <c r="A1425">
        <v>1424</v>
      </c>
      <c r="B1425" t="s">
        <v>11</v>
      </c>
      <c r="C1425">
        <v>53</v>
      </c>
      <c r="D1425">
        <v>145678</v>
      </c>
      <c r="E1425">
        <v>55</v>
      </c>
      <c r="F1425" t="s">
        <v>15</v>
      </c>
      <c r="G1425">
        <v>0</v>
      </c>
      <c r="H1425">
        <v>1</v>
      </c>
    </row>
    <row r="1426" spans="1:8">
      <c r="A1426">
        <v>1425</v>
      </c>
      <c r="B1426" t="s">
        <v>11</v>
      </c>
      <c r="C1426">
        <v>7</v>
      </c>
      <c r="D1426">
        <v>137354</v>
      </c>
      <c r="E1426">
        <v>89</v>
      </c>
      <c r="F1426" t="s">
        <v>14</v>
      </c>
      <c r="G1426">
        <v>8</v>
      </c>
      <c r="H1426">
        <v>7</v>
      </c>
    </row>
    <row r="1427" spans="1:8">
      <c r="A1427">
        <v>1426</v>
      </c>
      <c r="B1427" t="s">
        <v>11</v>
      </c>
      <c r="C1427">
        <v>50</v>
      </c>
      <c r="D1427">
        <v>136660</v>
      </c>
      <c r="E1427">
        <v>48</v>
      </c>
      <c r="F1427" t="s">
        <v>13</v>
      </c>
      <c r="G1427">
        <v>1</v>
      </c>
      <c r="H1427">
        <v>3</v>
      </c>
    </row>
    <row r="1428" spans="1:8">
      <c r="A1428">
        <v>1427</v>
      </c>
      <c r="B1428" t="s">
        <v>11</v>
      </c>
      <c r="C1428">
        <v>12</v>
      </c>
      <c r="D1428">
        <v>63334</v>
      </c>
      <c r="E1428">
        <v>99</v>
      </c>
      <c r="F1428" t="s">
        <v>14</v>
      </c>
      <c r="G1428">
        <v>0</v>
      </c>
      <c r="H1428">
        <v>6</v>
      </c>
    </row>
    <row r="1429" spans="1:8">
      <c r="A1429">
        <v>1428</v>
      </c>
      <c r="B1429" t="s">
        <v>8</v>
      </c>
      <c r="C1429">
        <v>37</v>
      </c>
      <c r="D1429">
        <v>62893</v>
      </c>
      <c r="E1429">
        <v>29</v>
      </c>
      <c r="F1429" t="s">
        <v>15</v>
      </c>
      <c r="G1429">
        <v>1</v>
      </c>
      <c r="H1429">
        <v>5</v>
      </c>
    </row>
    <row r="1430" spans="1:8">
      <c r="A1430">
        <v>1429</v>
      </c>
      <c r="B1430" t="s">
        <v>8</v>
      </c>
      <c r="C1430">
        <v>78</v>
      </c>
      <c r="D1430">
        <v>163514</v>
      </c>
      <c r="E1430">
        <v>89</v>
      </c>
      <c r="F1430" t="s">
        <v>16</v>
      </c>
      <c r="G1430">
        <v>9</v>
      </c>
      <c r="H1430">
        <v>2</v>
      </c>
    </row>
    <row r="1431" spans="1:8">
      <c r="A1431">
        <v>1430</v>
      </c>
      <c r="B1431" t="s">
        <v>8</v>
      </c>
      <c r="C1431">
        <v>29</v>
      </c>
      <c r="D1431">
        <v>145934</v>
      </c>
      <c r="E1431">
        <v>40</v>
      </c>
      <c r="F1431" t="s">
        <v>18</v>
      </c>
      <c r="G1431">
        <v>10</v>
      </c>
      <c r="H1431">
        <v>2</v>
      </c>
    </row>
    <row r="1432" spans="1:8">
      <c r="A1432">
        <v>1431</v>
      </c>
      <c r="B1432" t="s">
        <v>11</v>
      </c>
      <c r="C1432">
        <v>54</v>
      </c>
      <c r="D1432">
        <v>119223</v>
      </c>
      <c r="E1432">
        <v>58</v>
      </c>
      <c r="F1432" t="s">
        <v>12</v>
      </c>
      <c r="G1432">
        <v>10</v>
      </c>
      <c r="H1432">
        <v>7</v>
      </c>
    </row>
    <row r="1433" spans="1:8">
      <c r="A1433">
        <v>1432</v>
      </c>
      <c r="B1433" t="s">
        <v>8</v>
      </c>
      <c r="C1433">
        <v>89</v>
      </c>
      <c r="D1433">
        <v>127479</v>
      </c>
      <c r="E1433">
        <v>18</v>
      </c>
      <c r="F1433" t="s">
        <v>16</v>
      </c>
      <c r="G1433">
        <v>10</v>
      </c>
      <c r="H1433">
        <v>2</v>
      </c>
    </row>
    <row r="1434" spans="1:8">
      <c r="A1434">
        <v>1433</v>
      </c>
      <c r="B1434" t="s">
        <v>11</v>
      </c>
      <c r="C1434">
        <v>25</v>
      </c>
      <c r="D1434">
        <v>136146</v>
      </c>
      <c r="E1434">
        <v>98</v>
      </c>
      <c r="F1434" t="s">
        <v>14</v>
      </c>
      <c r="G1434">
        <v>6</v>
      </c>
      <c r="H1434">
        <v>6</v>
      </c>
    </row>
    <row r="1435" spans="1:8">
      <c r="A1435">
        <v>1434</v>
      </c>
      <c r="B1435" t="s">
        <v>11</v>
      </c>
      <c r="C1435">
        <v>14</v>
      </c>
      <c r="D1435">
        <v>76001</v>
      </c>
      <c r="E1435">
        <v>46</v>
      </c>
      <c r="F1435" t="s">
        <v>14</v>
      </c>
      <c r="G1435">
        <v>7</v>
      </c>
      <c r="H1435">
        <v>3</v>
      </c>
    </row>
    <row r="1436" spans="1:8">
      <c r="A1436">
        <v>1435</v>
      </c>
      <c r="B1436" t="s">
        <v>11</v>
      </c>
      <c r="C1436">
        <v>12</v>
      </c>
      <c r="D1436">
        <v>84885</v>
      </c>
      <c r="E1436">
        <v>24</v>
      </c>
      <c r="F1436" t="s">
        <v>9</v>
      </c>
      <c r="G1436">
        <v>6</v>
      </c>
      <c r="H1436">
        <v>2</v>
      </c>
    </row>
    <row r="1437" spans="1:8">
      <c r="A1437">
        <v>1436</v>
      </c>
      <c r="B1437" t="s">
        <v>11</v>
      </c>
      <c r="C1437">
        <v>18</v>
      </c>
      <c r="D1437">
        <v>82812</v>
      </c>
      <c r="E1437">
        <v>1</v>
      </c>
      <c r="F1437" t="s">
        <v>14</v>
      </c>
      <c r="G1437">
        <v>6</v>
      </c>
      <c r="H1437">
        <v>2</v>
      </c>
    </row>
    <row r="1438" spans="1:8">
      <c r="A1438">
        <v>1437</v>
      </c>
      <c r="B1438" t="s">
        <v>8</v>
      </c>
      <c r="C1438">
        <v>74</v>
      </c>
      <c r="D1438">
        <v>51260</v>
      </c>
      <c r="E1438">
        <v>43</v>
      </c>
      <c r="F1438" t="s">
        <v>13</v>
      </c>
      <c r="G1438">
        <v>5</v>
      </c>
      <c r="H1438">
        <v>5</v>
      </c>
    </row>
    <row r="1439" spans="1:8">
      <c r="A1439">
        <v>1438</v>
      </c>
      <c r="B1439" t="s">
        <v>8</v>
      </c>
      <c r="C1439">
        <v>21</v>
      </c>
      <c r="D1439">
        <v>159572</v>
      </c>
      <c r="E1439">
        <v>42</v>
      </c>
      <c r="F1439" t="s">
        <v>9</v>
      </c>
      <c r="G1439">
        <v>5</v>
      </c>
      <c r="H1439">
        <v>5</v>
      </c>
    </row>
    <row r="1440" spans="1:8">
      <c r="A1440">
        <v>1439</v>
      </c>
      <c r="B1440" t="s">
        <v>8</v>
      </c>
      <c r="C1440">
        <v>9</v>
      </c>
      <c r="D1440">
        <v>130186</v>
      </c>
      <c r="E1440">
        <v>88</v>
      </c>
      <c r="F1440" t="s">
        <v>14</v>
      </c>
      <c r="G1440">
        <v>9</v>
      </c>
      <c r="H1440">
        <v>7</v>
      </c>
    </row>
    <row r="1441" spans="1:8">
      <c r="A1441">
        <v>1440</v>
      </c>
      <c r="B1441" t="s">
        <v>11</v>
      </c>
      <c r="C1441">
        <v>49</v>
      </c>
      <c r="D1441">
        <v>176954</v>
      </c>
      <c r="E1441">
        <v>57</v>
      </c>
      <c r="F1441" t="s">
        <v>14</v>
      </c>
      <c r="G1441">
        <v>5</v>
      </c>
      <c r="H1441">
        <v>6</v>
      </c>
    </row>
    <row r="1442" spans="1:8">
      <c r="A1442">
        <v>1441</v>
      </c>
      <c r="B1442" t="s">
        <v>8</v>
      </c>
      <c r="C1442">
        <v>58</v>
      </c>
      <c r="D1442">
        <v>85908</v>
      </c>
      <c r="E1442">
        <v>99</v>
      </c>
      <c r="F1442" t="s">
        <v>14</v>
      </c>
      <c r="G1442">
        <v>5</v>
      </c>
      <c r="H1442">
        <v>4</v>
      </c>
    </row>
    <row r="1443" spans="1:8">
      <c r="A1443">
        <v>1442</v>
      </c>
      <c r="B1443" t="s">
        <v>11</v>
      </c>
      <c r="C1443">
        <v>16</v>
      </c>
      <c r="D1443">
        <v>75831</v>
      </c>
      <c r="E1443">
        <v>5</v>
      </c>
      <c r="F1443" t="s">
        <v>9</v>
      </c>
      <c r="G1443">
        <v>10</v>
      </c>
      <c r="H1443">
        <v>7</v>
      </c>
    </row>
    <row r="1444" spans="1:8">
      <c r="A1444">
        <v>1443</v>
      </c>
      <c r="B1444" t="s">
        <v>11</v>
      </c>
      <c r="C1444">
        <v>55</v>
      </c>
      <c r="D1444">
        <v>123045</v>
      </c>
      <c r="E1444">
        <v>56</v>
      </c>
      <c r="F1444" t="s">
        <v>10</v>
      </c>
      <c r="G1444">
        <v>7</v>
      </c>
      <c r="H1444">
        <v>3</v>
      </c>
    </row>
    <row r="1445" spans="1:8">
      <c r="A1445">
        <v>1444</v>
      </c>
      <c r="B1445" t="s">
        <v>11</v>
      </c>
      <c r="C1445">
        <v>31</v>
      </c>
      <c r="D1445">
        <v>161211</v>
      </c>
      <c r="E1445">
        <v>10</v>
      </c>
      <c r="F1445" t="s">
        <v>12</v>
      </c>
      <c r="G1445">
        <v>9</v>
      </c>
      <c r="H1445">
        <v>1</v>
      </c>
    </row>
    <row r="1446" spans="1:8">
      <c r="A1446">
        <v>1445</v>
      </c>
      <c r="B1446" t="s">
        <v>11</v>
      </c>
      <c r="C1446">
        <v>59</v>
      </c>
      <c r="D1446">
        <v>81702</v>
      </c>
      <c r="E1446">
        <v>27</v>
      </c>
      <c r="F1446" t="s">
        <v>18</v>
      </c>
      <c r="G1446">
        <v>6</v>
      </c>
      <c r="H1446">
        <v>4</v>
      </c>
    </row>
    <row r="1447" spans="1:8">
      <c r="A1447">
        <v>1446</v>
      </c>
      <c r="B1447" t="s">
        <v>11</v>
      </c>
      <c r="C1447">
        <v>25</v>
      </c>
      <c r="D1447">
        <v>173043</v>
      </c>
      <c r="E1447">
        <v>3</v>
      </c>
      <c r="F1447" t="s">
        <v>14</v>
      </c>
      <c r="G1447">
        <v>8</v>
      </c>
      <c r="H1447">
        <v>6</v>
      </c>
    </row>
    <row r="1448" spans="1:8">
      <c r="A1448">
        <v>1447</v>
      </c>
      <c r="B1448" t="s">
        <v>8</v>
      </c>
      <c r="C1448">
        <v>63</v>
      </c>
      <c r="D1448">
        <v>126380</v>
      </c>
      <c r="E1448">
        <v>90</v>
      </c>
      <c r="F1448" t="s">
        <v>14</v>
      </c>
      <c r="G1448">
        <v>6</v>
      </c>
      <c r="H1448">
        <v>1</v>
      </c>
    </row>
    <row r="1449" spans="1:8">
      <c r="A1449">
        <v>1448</v>
      </c>
      <c r="B1449" t="s">
        <v>11</v>
      </c>
      <c r="C1449">
        <v>60</v>
      </c>
      <c r="D1449">
        <v>128205</v>
      </c>
      <c r="E1449">
        <v>27</v>
      </c>
      <c r="F1449" t="s">
        <v>9</v>
      </c>
      <c r="G1449">
        <v>6</v>
      </c>
      <c r="H1449">
        <v>5</v>
      </c>
    </row>
    <row r="1450" spans="1:8">
      <c r="A1450">
        <v>1449</v>
      </c>
      <c r="B1450" t="s">
        <v>11</v>
      </c>
      <c r="C1450">
        <v>41</v>
      </c>
      <c r="D1450">
        <v>181355</v>
      </c>
      <c r="E1450">
        <v>73</v>
      </c>
      <c r="F1450" t="s">
        <v>14</v>
      </c>
      <c r="G1450">
        <v>10</v>
      </c>
      <c r="H1450">
        <v>3</v>
      </c>
    </row>
    <row r="1451" spans="1:8">
      <c r="A1451">
        <v>1450</v>
      </c>
      <c r="B1451" t="s">
        <v>11</v>
      </c>
      <c r="C1451">
        <v>84</v>
      </c>
      <c r="D1451">
        <v>97931</v>
      </c>
      <c r="E1451">
        <v>70</v>
      </c>
      <c r="F1451" t="s">
        <v>9</v>
      </c>
      <c r="G1451">
        <v>9</v>
      </c>
      <c r="H1451">
        <v>7</v>
      </c>
    </row>
    <row r="1452" spans="1:8">
      <c r="A1452">
        <v>1451</v>
      </c>
      <c r="B1452" t="s">
        <v>8</v>
      </c>
      <c r="C1452">
        <v>72</v>
      </c>
      <c r="D1452">
        <v>146432</v>
      </c>
      <c r="E1452">
        <v>25</v>
      </c>
      <c r="F1452" t="s">
        <v>14</v>
      </c>
      <c r="G1452">
        <v>6</v>
      </c>
      <c r="H1452">
        <v>1</v>
      </c>
    </row>
    <row r="1453" spans="1:8">
      <c r="A1453">
        <v>1452</v>
      </c>
      <c r="B1453" t="s">
        <v>11</v>
      </c>
      <c r="C1453">
        <v>97</v>
      </c>
      <c r="D1453">
        <v>125731</v>
      </c>
      <c r="E1453">
        <v>41</v>
      </c>
      <c r="F1453" t="s">
        <v>14</v>
      </c>
      <c r="G1453">
        <v>6</v>
      </c>
      <c r="H1453">
        <v>4</v>
      </c>
    </row>
    <row r="1454" spans="1:8">
      <c r="A1454">
        <v>1453</v>
      </c>
      <c r="B1454" t="s">
        <v>11</v>
      </c>
      <c r="C1454">
        <v>43</v>
      </c>
      <c r="D1454">
        <v>132701</v>
      </c>
      <c r="E1454">
        <v>70</v>
      </c>
      <c r="F1454" t="s">
        <v>9</v>
      </c>
      <c r="G1454">
        <v>5</v>
      </c>
      <c r="H1454">
        <v>2</v>
      </c>
    </row>
    <row r="1455" spans="1:8">
      <c r="A1455">
        <v>1454</v>
      </c>
      <c r="B1455" t="s">
        <v>11</v>
      </c>
      <c r="C1455">
        <v>63</v>
      </c>
      <c r="D1455">
        <v>116095</v>
      </c>
      <c r="E1455">
        <v>8</v>
      </c>
      <c r="F1455" t="s">
        <v>14</v>
      </c>
      <c r="G1455">
        <v>5</v>
      </c>
      <c r="H1455">
        <v>1</v>
      </c>
    </row>
    <row r="1456" spans="1:8">
      <c r="A1456">
        <v>1455</v>
      </c>
      <c r="B1456" t="s">
        <v>11</v>
      </c>
      <c r="C1456">
        <v>7</v>
      </c>
      <c r="D1456">
        <v>135773</v>
      </c>
      <c r="E1456">
        <v>42</v>
      </c>
      <c r="F1456" t="s">
        <v>14</v>
      </c>
      <c r="G1456">
        <v>9</v>
      </c>
      <c r="H1456">
        <v>5</v>
      </c>
    </row>
    <row r="1457" spans="1:8">
      <c r="A1457">
        <v>1456</v>
      </c>
      <c r="B1457" t="s">
        <v>8</v>
      </c>
      <c r="C1457">
        <v>54</v>
      </c>
      <c r="D1457">
        <v>136417</v>
      </c>
      <c r="E1457">
        <v>45</v>
      </c>
      <c r="F1457" t="s">
        <v>9</v>
      </c>
      <c r="G1457">
        <v>9</v>
      </c>
      <c r="H1457">
        <v>6</v>
      </c>
    </row>
    <row r="1458" spans="1:8">
      <c r="A1458">
        <v>1457</v>
      </c>
      <c r="B1458" t="s">
        <v>8</v>
      </c>
      <c r="C1458">
        <v>27</v>
      </c>
      <c r="D1458">
        <v>80783</v>
      </c>
      <c r="E1458">
        <v>82</v>
      </c>
      <c r="F1458" t="s">
        <v>14</v>
      </c>
      <c r="G1458">
        <v>9</v>
      </c>
      <c r="H1458">
        <v>3</v>
      </c>
    </row>
    <row r="1459" spans="1:8">
      <c r="A1459">
        <v>1458</v>
      </c>
      <c r="B1459" t="s">
        <v>8</v>
      </c>
      <c r="C1459">
        <v>28</v>
      </c>
      <c r="D1459">
        <v>182580</v>
      </c>
      <c r="E1459">
        <v>60</v>
      </c>
      <c r="F1459" t="s">
        <v>15</v>
      </c>
      <c r="G1459">
        <v>6</v>
      </c>
      <c r="H1459">
        <v>6</v>
      </c>
    </row>
    <row r="1460" spans="1:8">
      <c r="A1460">
        <v>1459</v>
      </c>
      <c r="B1460" t="s">
        <v>11</v>
      </c>
      <c r="C1460">
        <v>84</v>
      </c>
      <c r="D1460">
        <v>143567</v>
      </c>
      <c r="E1460">
        <v>48</v>
      </c>
      <c r="F1460" t="s">
        <v>14</v>
      </c>
      <c r="G1460">
        <v>7</v>
      </c>
      <c r="H1460">
        <v>2</v>
      </c>
    </row>
    <row r="1461" spans="1:8">
      <c r="A1461">
        <v>1460</v>
      </c>
      <c r="B1461" t="s">
        <v>8</v>
      </c>
      <c r="C1461">
        <v>71</v>
      </c>
      <c r="D1461">
        <v>85908</v>
      </c>
      <c r="E1461">
        <v>85</v>
      </c>
      <c r="F1461" t="s">
        <v>13</v>
      </c>
      <c r="G1461">
        <v>5</v>
      </c>
      <c r="H1461">
        <v>4</v>
      </c>
    </row>
    <row r="1462" spans="1:8">
      <c r="A1462">
        <v>1461</v>
      </c>
      <c r="B1462" t="s">
        <v>11</v>
      </c>
      <c r="C1462">
        <v>88</v>
      </c>
      <c r="D1462">
        <v>139806</v>
      </c>
      <c r="E1462">
        <v>99</v>
      </c>
      <c r="F1462" t="s">
        <v>13</v>
      </c>
      <c r="G1462">
        <v>4</v>
      </c>
      <c r="H1462">
        <v>4</v>
      </c>
    </row>
    <row r="1463" spans="1:8">
      <c r="A1463">
        <v>1462</v>
      </c>
      <c r="B1463" t="s">
        <v>11</v>
      </c>
      <c r="C1463">
        <v>75</v>
      </c>
      <c r="D1463">
        <v>77269</v>
      </c>
      <c r="E1463">
        <v>24</v>
      </c>
      <c r="F1463" t="s">
        <v>14</v>
      </c>
      <c r="G1463">
        <v>8</v>
      </c>
      <c r="H1463">
        <v>1</v>
      </c>
    </row>
    <row r="1464" spans="1:8">
      <c r="A1464">
        <v>1463</v>
      </c>
      <c r="B1464" t="s">
        <v>11</v>
      </c>
      <c r="C1464">
        <v>96</v>
      </c>
      <c r="D1464">
        <v>105968</v>
      </c>
      <c r="E1464">
        <v>65</v>
      </c>
      <c r="F1464" t="s">
        <v>10</v>
      </c>
      <c r="G1464">
        <v>4</v>
      </c>
      <c r="H1464">
        <v>5</v>
      </c>
    </row>
    <row r="1465" spans="1:8">
      <c r="A1465">
        <v>1464</v>
      </c>
      <c r="B1465" t="s">
        <v>11</v>
      </c>
      <c r="C1465">
        <v>83</v>
      </c>
      <c r="D1465">
        <v>125660</v>
      </c>
      <c r="E1465">
        <v>19</v>
      </c>
      <c r="F1465" t="s">
        <v>10</v>
      </c>
      <c r="G1465">
        <v>10</v>
      </c>
      <c r="H1465">
        <v>4</v>
      </c>
    </row>
    <row r="1466" spans="1:8">
      <c r="A1466">
        <v>1465</v>
      </c>
      <c r="B1466" t="s">
        <v>11</v>
      </c>
      <c r="C1466">
        <v>86</v>
      </c>
      <c r="D1466">
        <v>98444</v>
      </c>
      <c r="E1466">
        <v>76</v>
      </c>
      <c r="F1466" t="s">
        <v>13</v>
      </c>
      <c r="G1466">
        <v>7</v>
      </c>
      <c r="H1466">
        <v>4</v>
      </c>
    </row>
    <row r="1467" spans="1:8">
      <c r="A1467">
        <v>1466</v>
      </c>
      <c r="B1467" t="s">
        <v>8</v>
      </c>
      <c r="C1467">
        <v>60</v>
      </c>
      <c r="D1467">
        <v>179503</v>
      </c>
      <c r="E1467">
        <v>9</v>
      </c>
      <c r="F1467" t="s">
        <v>14</v>
      </c>
      <c r="G1467">
        <v>4</v>
      </c>
      <c r="H1467">
        <v>3</v>
      </c>
    </row>
    <row r="1468" spans="1:8">
      <c r="A1468">
        <v>1467</v>
      </c>
      <c r="B1468" t="s">
        <v>11</v>
      </c>
      <c r="C1468">
        <v>5</v>
      </c>
      <c r="D1468">
        <v>60575</v>
      </c>
      <c r="E1468">
        <v>14</v>
      </c>
      <c r="F1468" t="s">
        <v>10</v>
      </c>
      <c r="G1468">
        <v>5</v>
      </c>
      <c r="H1468">
        <v>2</v>
      </c>
    </row>
    <row r="1469" spans="1:8">
      <c r="A1469">
        <v>1468</v>
      </c>
      <c r="B1469" t="s">
        <v>11</v>
      </c>
      <c r="C1469">
        <v>65</v>
      </c>
      <c r="D1469">
        <v>75685</v>
      </c>
      <c r="E1469">
        <v>19</v>
      </c>
      <c r="F1469" t="s">
        <v>18</v>
      </c>
      <c r="G1469">
        <v>7</v>
      </c>
      <c r="H1469">
        <v>3</v>
      </c>
    </row>
    <row r="1470" spans="1:8">
      <c r="A1470">
        <v>1469</v>
      </c>
      <c r="B1470" t="s">
        <v>11</v>
      </c>
      <c r="C1470">
        <v>49</v>
      </c>
      <c r="D1470">
        <v>85374</v>
      </c>
      <c r="E1470">
        <v>45</v>
      </c>
      <c r="F1470" t="s">
        <v>14</v>
      </c>
      <c r="G1470">
        <v>8</v>
      </c>
      <c r="H1470">
        <v>5</v>
      </c>
    </row>
    <row r="1471" spans="1:8">
      <c r="A1471">
        <v>1470</v>
      </c>
      <c r="B1471" t="s">
        <v>11</v>
      </c>
      <c r="C1471">
        <v>78</v>
      </c>
      <c r="D1471">
        <v>128642</v>
      </c>
      <c r="E1471">
        <v>19</v>
      </c>
      <c r="F1471" t="s">
        <v>18</v>
      </c>
      <c r="G1471">
        <v>5</v>
      </c>
      <c r="H1471">
        <v>6</v>
      </c>
    </row>
    <row r="1472" spans="1:8">
      <c r="A1472">
        <v>1471</v>
      </c>
      <c r="B1472" t="s">
        <v>8</v>
      </c>
      <c r="C1472">
        <v>25</v>
      </c>
      <c r="D1472">
        <v>182292</v>
      </c>
      <c r="E1472">
        <v>78</v>
      </c>
      <c r="F1472" t="s">
        <v>14</v>
      </c>
      <c r="G1472">
        <v>7</v>
      </c>
      <c r="H1472">
        <v>5</v>
      </c>
    </row>
    <row r="1473" spans="1:8">
      <c r="A1473">
        <v>1472</v>
      </c>
      <c r="B1473" t="s">
        <v>11</v>
      </c>
      <c r="C1473">
        <v>5</v>
      </c>
      <c r="D1473">
        <v>124702</v>
      </c>
      <c r="E1473">
        <v>94</v>
      </c>
      <c r="F1473" t="s">
        <v>14</v>
      </c>
      <c r="G1473">
        <v>10</v>
      </c>
      <c r="H1473">
        <v>3</v>
      </c>
    </row>
    <row r="1474" spans="1:8">
      <c r="A1474">
        <v>1473</v>
      </c>
      <c r="B1474" t="s">
        <v>11</v>
      </c>
      <c r="C1474">
        <v>58</v>
      </c>
      <c r="D1474">
        <v>127833</v>
      </c>
      <c r="E1474">
        <v>2</v>
      </c>
      <c r="F1474" t="s">
        <v>14</v>
      </c>
      <c r="G1474">
        <v>7</v>
      </c>
      <c r="H1474">
        <v>7</v>
      </c>
    </row>
    <row r="1475" spans="1:8">
      <c r="A1475">
        <v>1474</v>
      </c>
      <c r="B1475" t="s">
        <v>11</v>
      </c>
      <c r="C1475">
        <v>80</v>
      </c>
      <c r="D1475">
        <v>178866</v>
      </c>
      <c r="E1475">
        <v>97</v>
      </c>
      <c r="F1475" t="s">
        <v>14</v>
      </c>
      <c r="G1475">
        <v>8</v>
      </c>
      <c r="H1475">
        <v>4</v>
      </c>
    </row>
    <row r="1476" spans="1:8">
      <c r="A1476">
        <v>1475</v>
      </c>
      <c r="B1476" t="s">
        <v>11</v>
      </c>
      <c r="C1476">
        <v>94</v>
      </c>
      <c r="D1476">
        <v>183643</v>
      </c>
      <c r="E1476">
        <v>51</v>
      </c>
      <c r="F1476" t="s">
        <v>14</v>
      </c>
      <c r="G1476">
        <v>5</v>
      </c>
      <c r="H1476">
        <v>5</v>
      </c>
    </row>
    <row r="1477" spans="1:8">
      <c r="A1477">
        <v>1476</v>
      </c>
      <c r="B1477" t="s">
        <v>8</v>
      </c>
      <c r="C1477">
        <v>62</v>
      </c>
      <c r="D1477">
        <v>113306</v>
      </c>
      <c r="E1477">
        <v>4</v>
      </c>
      <c r="F1477" t="s">
        <v>15</v>
      </c>
      <c r="G1477">
        <v>5</v>
      </c>
      <c r="H1477">
        <v>6</v>
      </c>
    </row>
    <row r="1478" spans="1:8">
      <c r="A1478">
        <v>1477</v>
      </c>
      <c r="B1478" t="s">
        <v>8</v>
      </c>
      <c r="C1478">
        <v>20</v>
      </c>
      <c r="D1478">
        <v>84008</v>
      </c>
      <c r="E1478">
        <v>77</v>
      </c>
      <c r="F1478" t="s">
        <v>14</v>
      </c>
      <c r="G1478">
        <v>8</v>
      </c>
      <c r="H1478">
        <v>4</v>
      </c>
    </row>
    <row r="1479" spans="1:8">
      <c r="A1479">
        <v>1478</v>
      </c>
      <c r="B1479" t="s">
        <v>8</v>
      </c>
      <c r="C1479">
        <v>85</v>
      </c>
      <c r="D1479">
        <v>85758</v>
      </c>
      <c r="E1479">
        <v>35</v>
      </c>
      <c r="F1479" t="s">
        <v>12</v>
      </c>
      <c r="G1479">
        <v>10</v>
      </c>
      <c r="H1479">
        <v>4</v>
      </c>
    </row>
    <row r="1480" spans="1:8">
      <c r="A1480">
        <v>1479</v>
      </c>
      <c r="B1480" t="s">
        <v>11</v>
      </c>
      <c r="C1480">
        <v>72</v>
      </c>
      <c r="D1480">
        <v>63128</v>
      </c>
      <c r="E1480">
        <v>45</v>
      </c>
      <c r="F1480" t="s">
        <v>10</v>
      </c>
      <c r="G1480">
        <v>8</v>
      </c>
      <c r="H1480">
        <v>7</v>
      </c>
    </row>
    <row r="1481" spans="1:8">
      <c r="A1481">
        <v>1480</v>
      </c>
      <c r="B1481" t="s">
        <v>8</v>
      </c>
      <c r="C1481">
        <v>95</v>
      </c>
      <c r="D1481">
        <v>70174</v>
      </c>
      <c r="E1481">
        <v>6</v>
      </c>
      <c r="F1481" t="s">
        <v>15</v>
      </c>
      <c r="G1481">
        <v>10</v>
      </c>
      <c r="H1481">
        <v>6</v>
      </c>
    </row>
    <row r="1482" spans="1:8">
      <c r="A1482">
        <v>1481</v>
      </c>
      <c r="B1482" t="s">
        <v>11</v>
      </c>
      <c r="C1482">
        <v>97</v>
      </c>
      <c r="D1482">
        <v>170133</v>
      </c>
      <c r="E1482">
        <v>42</v>
      </c>
      <c r="F1482" t="s">
        <v>10</v>
      </c>
      <c r="G1482">
        <v>5</v>
      </c>
      <c r="H1482">
        <v>5</v>
      </c>
    </row>
    <row r="1483" spans="1:8">
      <c r="A1483">
        <v>1482</v>
      </c>
      <c r="B1483" t="s">
        <v>11</v>
      </c>
      <c r="C1483">
        <v>25</v>
      </c>
      <c r="D1483">
        <v>165978</v>
      </c>
      <c r="E1483">
        <v>42</v>
      </c>
      <c r="F1483" t="s">
        <v>14</v>
      </c>
      <c r="G1483">
        <v>7</v>
      </c>
      <c r="H1483">
        <v>3</v>
      </c>
    </row>
    <row r="1484" spans="1:8">
      <c r="A1484">
        <v>1483</v>
      </c>
      <c r="B1484" t="s">
        <v>11</v>
      </c>
      <c r="C1484">
        <v>17</v>
      </c>
      <c r="D1484">
        <v>149727</v>
      </c>
      <c r="E1484">
        <v>78</v>
      </c>
      <c r="F1484" t="s">
        <v>14</v>
      </c>
      <c r="G1484">
        <v>7</v>
      </c>
      <c r="H1484">
        <v>3</v>
      </c>
    </row>
    <row r="1485" spans="1:8">
      <c r="A1485">
        <v>1484</v>
      </c>
      <c r="B1485" t="s">
        <v>11</v>
      </c>
      <c r="C1485">
        <v>19</v>
      </c>
      <c r="D1485">
        <v>147052</v>
      </c>
      <c r="E1485">
        <v>86</v>
      </c>
      <c r="G1485">
        <v>9</v>
      </c>
      <c r="H1485">
        <v>4</v>
      </c>
    </row>
    <row r="1486" spans="1:8">
      <c r="A1486">
        <v>1485</v>
      </c>
      <c r="B1486" t="s">
        <v>11</v>
      </c>
      <c r="C1486">
        <v>59</v>
      </c>
      <c r="D1486">
        <v>113389</v>
      </c>
      <c r="E1486">
        <v>79</v>
      </c>
      <c r="F1486" t="s">
        <v>16</v>
      </c>
      <c r="G1486">
        <v>4</v>
      </c>
      <c r="H1486">
        <v>6</v>
      </c>
    </row>
    <row r="1487" spans="1:8">
      <c r="A1487">
        <v>1486</v>
      </c>
      <c r="B1487" t="s">
        <v>8</v>
      </c>
      <c r="C1487">
        <v>30</v>
      </c>
      <c r="D1487">
        <v>111690</v>
      </c>
      <c r="E1487">
        <v>73</v>
      </c>
      <c r="F1487" t="s">
        <v>13</v>
      </c>
      <c r="G1487">
        <v>10</v>
      </c>
      <c r="H1487">
        <v>4</v>
      </c>
    </row>
    <row r="1488" spans="1:8">
      <c r="A1488">
        <v>1487</v>
      </c>
      <c r="B1488" t="s">
        <v>11</v>
      </c>
      <c r="C1488">
        <v>63</v>
      </c>
      <c r="D1488">
        <v>184830</v>
      </c>
      <c r="E1488">
        <v>60</v>
      </c>
      <c r="F1488" t="s">
        <v>16</v>
      </c>
      <c r="G1488">
        <v>9</v>
      </c>
      <c r="H1488">
        <v>3</v>
      </c>
    </row>
    <row r="1489" spans="1:8">
      <c r="A1489">
        <v>1488</v>
      </c>
      <c r="B1489" t="s">
        <v>11</v>
      </c>
      <c r="C1489">
        <v>23</v>
      </c>
      <c r="D1489">
        <v>91549</v>
      </c>
      <c r="E1489">
        <v>23</v>
      </c>
      <c r="F1489" t="s">
        <v>14</v>
      </c>
      <c r="G1489">
        <v>4</v>
      </c>
      <c r="H1489">
        <v>3</v>
      </c>
    </row>
    <row r="1490" spans="1:8">
      <c r="A1490">
        <v>1489</v>
      </c>
      <c r="B1490" t="s">
        <v>11</v>
      </c>
      <c r="C1490">
        <v>97</v>
      </c>
      <c r="D1490">
        <v>94629</v>
      </c>
      <c r="E1490">
        <v>17</v>
      </c>
      <c r="F1490" t="s">
        <v>18</v>
      </c>
      <c r="G1490">
        <v>6</v>
      </c>
      <c r="H1490">
        <v>3</v>
      </c>
    </row>
    <row r="1491" spans="1:8">
      <c r="A1491">
        <v>1490</v>
      </c>
      <c r="B1491" t="s">
        <v>11</v>
      </c>
      <c r="C1491">
        <v>97</v>
      </c>
      <c r="D1491">
        <v>167558</v>
      </c>
      <c r="E1491">
        <v>99</v>
      </c>
      <c r="F1491" t="s">
        <v>14</v>
      </c>
      <c r="G1491">
        <v>4</v>
      </c>
      <c r="H1491">
        <v>7</v>
      </c>
    </row>
    <row r="1492" spans="1:8">
      <c r="A1492">
        <v>1491</v>
      </c>
      <c r="B1492" t="s">
        <v>8</v>
      </c>
      <c r="C1492">
        <v>94</v>
      </c>
      <c r="D1492">
        <v>119189</v>
      </c>
      <c r="E1492">
        <v>57</v>
      </c>
      <c r="F1492" t="s">
        <v>14</v>
      </c>
      <c r="G1492">
        <v>9</v>
      </c>
      <c r="H1492">
        <v>3</v>
      </c>
    </row>
    <row r="1493" spans="1:8">
      <c r="A1493">
        <v>1492</v>
      </c>
      <c r="B1493" t="s">
        <v>11</v>
      </c>
      <c r="C1493">
        <v>28</v>
      </c>
      <c r="D1493">
        <v>96207</v>
      </c>
      <c r="E1493">
        <v>67</v>
      </c>
      <c r="F1493" t="s">
        <v>14</v>
      </c>
      <c r="G1493">
        <v>5</v>
      </c>
      <c r="H1493">
        <v>5</v>
      </c>
    </row>
    <row r="1494" spans="1:8">
      <c r="A1494">
        <v>1493</v>
      </c>
      <c r="B1494" t="s">
        <v>8</v>
      </c>
      <c r="C1494">
        <v>21</v>
      </c>
      <c r="D1494">
        <v>85339</v>
      </c>
      <c r="E1494">
        <v>6</v>
      </c>
      <c r="F1494" t="s">
        <v>16</v>
      </c>
      <c r="G1494">
        <v>4</v>
      </c>
      <c r="H1494">
        <v>7</v>
      </c>
    </row>
    <row r="1495" spans="1:8">
      <c r="A1495">
        <v>1494</v>
      </c>
      <c r="B1495" t="s">
        <v>11</v>
      </c>
      <c r="C1495">
        <v>25</v>
      </c>
      <c r="D1495">
        <v>111942</v>
      </c>
      <c r="E1495">
        <v>7</v>
      </c>
      <c r="F1495" t="s">
        <v>14</v>
      </c>
      <c r="G1495">
        <v>5</v>
      </c>
      <c r="H1495">
        <v>5</v>
      </c>
    </row>
    <row r="1496" spans="1:8">
      <c r="A1496">
        <v>1495</v>
      </c>
      <c r="B1496" t="s">
        <v>11</v>
      </c>
      <c r="C1496">
        <v>48</v>
      </c>
      <c r="D1496">
        <v>157003</v>
      </c>
      <c r="E1496">
        <v>45</v>
      </c>
      <c r="F1496" t="s">
        <v>10</v>
      </c>
      <c r="G1496">
        <v>5</v>
      </c>
      <c r="H1496">
        <v>4</v>
      </c>
    </row>
    <row r="1497" spans="1:8">
      <c r="A1497">
        <v>1496</v>
      </c>
      <c r="B1497" t="s">
        <v>11</v>
      </c>
      <c r="C1497">
        <v>53</v>
      </c>
      <c r="D1497">
        <v>117123</v>
      </c>
      <c r="E1497">
        <v>23</v>
      </c>
      <c r="F1497" t="s">
        <v>14</v>
      </c>
      <c r="G1497">
        <v>9</v>
      </c>
      <c r="H1497">
        <v>7</v>
      </c>
    </row>
    <row r="1498" spans="1:8">
      <c r="A1498">
        <v>1497</v>
      </c>
      <c r="B1498" t="s">
        <v>11</v>
      </c>
      <c r="C1498">
        <v>97</v>
      </c>
      <c r="D1498">
        <v>172747</v>
      </c>
      <c r="E1498">
        <v>76</v>
      </c>
      <c r="F1498" t="s">
        <v>14</v>
      </c>
      <c r="G1498">
        <v>7</v>
      </c>
      <c r="H1498">
        <v>2</v>
      </c>
    </row>
    <row r="1499" spans="1:8">
      <c r="A1499">
        <v>1498</v>
      </c>
      <c r="B1499" t="s">
        <v>8</v>
      </c>
      <c r="C1499">
        <v>33</v>
      </c>
      <c r="D1499">
        <v>157358</v>
      </c>
      <c r="E1499">
        <v>52</v>
      </c>
      <c r="F1499" t="s">
        <v>9</v>
      </c>
      <c r="G1499">
        <v>7</v>
      </c>
      <c r="H1499">
        <v>4</v>
      </c>
    </row>
    <row r="1500" spans="1:8">
      <c r="A1500">
        <v>1499</v>
      </c>
      <c r="B1500" t="s">
        <v>8</v>
      </c>
      <c r="C1500">
        <v>5</v>
      </c>
      <c r="D1500">
        <v>156655</v>
      </c>
      <c r="E1500">
        <v>20</v>
      </c>
      <c r="F1500" t="s">
        <v>13</v>
      </c>
      <c r="G1500">
        <v>4</v>
      </c>
      <c r="H1500">
        <v>5</v>
      </c>
    </row>
    <row r="1501" spans="1:8">
      <c r="A1501">
        <v>1500</v>
      </c>
      <c r="B1501" t="s">
        <v>8</v>
      </c>
      <c r="C1501">
        <v>72</v>
      </c>
      <c r="D1501">
        <v>166043</v>
      </c>
      <c r="E1501">
        <v>93</v>
      </c>
      <c r="F1501" t="s">
        <v>16</v>
      </c>
      <c r="G1501">
        <v>7</v>
      </c>
      <c r="H1501">
        <v>6</v>
      </c>
    </row>
    <row r="1502" spans="1:8">
      <c r="A1502">
        <v>1501</v>
      </c>
      <c r="B1502" t="s">
        <v>8</v>
      </c>
      <c r="C1502">
        <v>40</v>
      </c>
      <c r="D1502">
        <v>67768</v>
      </c>
      <c r="E1502">
        <v>15</v>
      </c>
      <c r="F1502" t="s">
        <v>16</v>
      </c>
      <c r="G1502">
        <v>10</v>
      </c>
      <c r="H1502">
        <v>6</v>
      </c>
    </row>
    <row r="1503" spans="1:8">
      <c r="A1503">
        <v>1502</v>
      </c>
      <c r="B1503" t="s">
        <v>8</v>
      </c>
      <c r="C1503">
        <v>34</v>
      </c>
      <c r="D1503">
        <v>171353</v>
      </c>
      <c r="E1503">
        <v>34</v>
      </c>
      <c r="F1503" t="s">
        <v>16</v>
      </c>
      <c r="G1503">
        <v>8</v>
      </c>
      <c r="H1503">
        <v>4</v>
      </c>
    </row>
    <row r="1504" spans="1:8">
      <c r="A1504">
        <v>1503</v>
      </c>
      <c r="B1504" t="s">
        <v>11</v>
      </c>
      <c r="C1504">
        <v>63</v>
      </c>
      <c r="D1504">
        <v>116971</v>
      </c>
      <c r="E1504">
        <v>76</v>
      </c>
      <c r="F1504" t="s">
        <v>15</v>
      </c>
      <c r="G1504">
        <v>7</v>
      </c>
      <c r="H1504">
        <v>5</v>
      </c>
    </row>
    <row r="1505" spans="1:8">
      <c r="A1505">
        <v>1504</v>
      </c>
      <c r="B1505" t="s">
        <v>11</v>
      </c>
      <c r="C1505">
        <v>85</v>
      </c>
      <c r="D1505">
        <v>97822</v>
      </c>
      <c r="E1505">
        <v>38</v>
      </c>
      <c r="F1505" t="s">
        <v>16</v>
      </c>
      <c r="G1505">
        <v>5</v>
      </c>
      <c r="H1505">
        <v>3</v>
      </c>
    </row>
    <row r="1506" spans="1:8">
      <c r="A1506">
        <v>1505</v>
      </c>
      <c r="B1506" t="s">
        <v>11</v>
      </c>
      <c r="C1506">
        <v>86</v>
      </c>
      <c r="D1506">
        <v>117203</v>
      </c>
      <c r="E1506">
        <v>83</v>
      </c>
      <c r="F1506" t="s">
        <v>9</v>
      </c>
      <c r="G1506">
        <v>10</v>
      </c>
      <c r="H1506">
        <v>3</v>
      </c>
    </row>
    <row r="1507" spans="1:8">
      <c r="A1507">
        <v>1506</v>
      </c>
      <c r="B1507" t="s">
        <v>11</v>
      </c>
      <c r="C1507">
        <v>63</v>
      </c>
      <c r="D1507">
        <v>88720</v>
      </c>
      <c r="E1507">
        <v>100</v>
      </c>
      <c r="F1507" t="s">
        <v>14</v>
      </c>
      <c r="G1507">
        <v>10</v>
      </c>
      <c r="H1507">
        <v>1</v>
      </c>
    </row>
    <row r="1508" spans="1:8">
      <c r="A1508">
        <v>1507</v>
      </c>
      <c r="B1508" t="s">
        <v>11</v>
      </c>
      <c r="C1508">
        <v>9</v>
      </c>
      <c r="D1508">
        <v>173233</v>
      </c>
      <c r="E1508">
        <v>18</v>
      </c>
      <c r="G1508">
        <v>5</v>
      </c>
      <c r="H1508">
        <v>1</v>
      </c>
    </row>
    <row r="1509" spans="1:8">
      <c r="A1509">
        <v>1508</v>
      </c>
      <c r="B1509" t="s">
        <v>11</v>
      </c>
      <c r="C1509">
        <v>76</v>
      </c>
      <c r="D1509">
        <v>139447</v>
      </c>
      <c r="E1509">
        <v>36</v>
      </c>
      <c r="F1509" t="s">
        <v>14</v>
      </c>
      <c r="G1509">
        <v>8</v>
      </c>
      <c r="H1509">
        <v>7</v>
      </c>
    </row>
    <row r="1510" spans="1:8">
      <c r="A1510">
        <v>1509</v>
      </c>
      <c r="B1510" t="s">
        <v>8</v>
      </c>
      <c r="C1510">
        <v>19</v>
      </c>
      <c r="D1510">
        <v>179269</v>
      </c>
      <c r="E1510">
        <v>93</v>
      </c>
      <c r="F1510" t="s">
        <v>13</v>
      </c>
      <c r="G1510">
        <v>6</v>
      </c>
      <c r="H1510">
        <v>3</v>
      </c>
    </row>
    <row r="1511" spans="1:8">
      <c r="A1511">
        <v>1510</v>
      </c>
      <c r="B1511" t="s">
        <v>11</v>
      </c>
      <c r="C1511">
        <v>84</v>
      </c>
      <c r="D1511">
        <v>136254</v>
      </c>
      <c r="E1511">
        <v>90</v>
      </c>
      <c r="F1511" t="s">
        <v>10</v>
      </c>
      <c r="G1511">
        <v>5</v>
      </c>
      <c r="H1511">
        <v>6</v>
      </c>
    </row>
    <row r="1512" spans="1:8">
      <c r="A1512">
        <v>1511</v>
      </c>
      <c r="B1512" t="s">
        <v>8</v>
      </c>
      <c r="C1512">
        <v>38</v>
      </c>
      <c r="D1512">
        <v>174594</v>
      </c>
      <c r="E1512">
        <v>56</v>
      </c>
      <c r="F1512" t="s">
        <v>15</v>
      </c>
      <c r="G1512">
        <v>8</v>
      </c>
      <c r="H1512">
        <v>2</v>
      </c>
    </row>
    <row r="1513" spans="1:8">
      <c r="A1513">
        <v>1512</v>
      </c>
      <c r="B1513" t="s">
        <v>11</v>
      </c>
      <c r="C1513">
        <v>1</v>
      </c>
      <c r="D1513">
        <v>100429</v>
      </c>
      <c r="E1513">
        <v>19</v>
      </c>
      <c r="F1513" t="s">
        <v>13</v>
      </c>
      <c r="G1513">
        <v>9</v>
      </c>
      <c r="H1513">
        <v>1</v>
      </c>
    </row>
    <row r="1514" spans="1:8">
      <c r="A1514">
        <v>1513</v>
      </c>
      <c r="B1514" t="s">
        <v>11</v>
      </c>
      <c r="C1514">
        <v>30</v>
      </c>
      <c r="D1514">
        <v>73107</v>
      </c>
      <c r="E1514">
        <v>48</v>
      </c>
      <c r="F1514" t="s">
        <v>14</v>
      </c>
      <c r="G1514">
        <v>9</v>
      </c>
      <c r="H1514">
        <v>1</v>
      </c>
    </row>
    <row r="1515" spans="1:8">
      <c r="A1515">
        <v>1514</v>
      </c>
      <c r="B1515" t="s">
        <v>11</v>
      </c>
      <c r="C1515">
        <v>86</v>
      </c>
      <c r="D1515">
        <v>98344</v>
      </c>
      <c r="E1515">
        <v>25</v>
      </c>
      <c r="F1515" t="s">
        <v>14</v>
      </c>
      <c r="G1515">
        <v>6</v>
      </c>
      <c r="H1515">
        <v>6</v>
      </c>
    </row>
    <row r="1516" spans="1:8">
      <c r="A1516">
        <v>1515</v>
      </c>
      <c r="B1516" t="s">
        <v>8</v>
      </c>
      <c r="C1516">
        <v>21</v>
      </c>
      <c r="D1516">
        <v>163509</v>
      </c>
      <c r="E1516">
        <v>21</v>
      </c>
      <c r="F1516" t="s">
        <v>9</v>
      </c>
      <c r="G1516">
        <v>10</v>
      </c>
      <c r="H1516">
        <v>1</v>
      </c>
    </row>
    <row r="1517" spans="1:8">
      <c r="A1517">
        <v>1516</v>
      </c>
      <c r="B1517" t="s">
        <v>8</v>
      </c>
      <c r="C1517">
        <v>15</v>
      </c>
      <c r="D1517">
        <v>116204</v>
      </c>
      <c r="E1517">
        <v>16</v>
      </c>
      <c r="F1517" t="s">
        <v>10</v>
      </c>
      <c r="G1517">
        <v>8</v>
      </c>
      <c r="H1517">
        <v>2</v>
      </c>
    </row>
    <row r="1518" spans="1:8">
      <c r="A1518">
        <v>1517</v>
      </c>
      <c r="B1518" t="s">
        <v>11</v>
      </c>
      <c r="C1518">
        <v>87</v>
      </c>
      <c r="D1518">
        <v>95853</v>
      </c>
      <c r="E1518">
        <v>53</v>
      </c>
      <c r="F1518" t="s">
        <v>9</v>
      </c>
      <c r="G1518">
        <v>9</v>
      </c>
      <c r="H1518">
        <v>1</v>
      </c>
    </row>
    <row r="1519" spans="1:8">
      <c r="A1519">
        <v>1518</v>
      </c>
      <c r="B1519" t="s">
        <v>8</v>
      </c>
      <c r="C1519">
        <v>40</v>
      </c>
      <c r="D1519">
        <v>156411</v>
      </c>
      <c r="E1519">
        <v>70</v>
      </c>
      <c r="F1519" t="s">
        <v>14</v>
      </c>
      <c r="G1519">
        <v>6</v>
      </c>
      <c r="H1519">
        <v>5</v>
      </c>
    </row>
    <row r="1520" spans="1:8">
      <c r="A1520">
        <v>1519</v>
      </c>
      <c r="B1520" t="s">
        <v>8</v>
      </c>
      <c r="C1520">
        <v>2</v>
      </c>
      <c r="D1520">
        <v>72889</v>
      </c>
      <c r="E1520">
        <v>36</v>
      </c>
      <c r="F1520" t="s">
        <v>17</v>
      </c>
      <c r="G1520">
        <v>5</v>
      </c>
      <c r="H1520">
        <v>7</v>
      </c>
    </row>
    <row r="1521" spans="1:8">
      <c r="A1521">
        <v>1520</v>
      </c>
      <c r="B1521" t="s">
        <v>11</v>
      </c>
      <c r="C1521">
        <v>63</v>
      </c>
      <c r="D1521">
        <v>106691</v>
      </c>
      <c r="E1521">
        <v>79</v>
      </c>
      <c r="F1521" t="s">
        <v>9</v>
      </c>
      <c r="G1521">
        <v>9</v>
      </c>
      <c r="H1521">
        <v>3</v>
      </c>
    </row>
    <row r="1522" spans="1:8">
      <c r="A1522">
        <v>1521</v>
      </c>
      <c r="B1522" t="s">
        <v>8</v>
      </c>
      <c r="C1522">
        <v>26</v>
      </c>
      <c r="D1522">
        <v>144832</v>
      </c>
      <c r="E1522">
        <v>42</v>
      </c>
      <c r="F1522" t="s">
        <v>14</v>
      </c>
      <c r="G1522">
        <v>5</v>
      </c>
      <c r="H1522">
        <v>3</v>
      </c>
    </row>
    <row r="1523" spans="1:8">
      <c r="A1523">
        <v>1522</v>
      </c>
      <c r="B1523" t="s">
        <v>8</v>
      </c>
      <c r="C1523">
        <v>29</v>
      </c>
      <c r="D1523">
        <v>132297</v>
      </c>
      <c r="E1523">
        <v>53</v>
      </c>
      <c r="F1523" t="s">
        <v>13</v>
      </c>
      <c r="G1523">
        <v>8</v>
      </c>
      <c r="H1523">
        <v>1</v>
      </c>
    </row>
    <row r="1524" spans="1:8">
      <c r="A1524">
        <v>1523</v>
      </c>
      <c r="B1524" t="s">
        <v>11</v>
      </c>
      <c r="C1524">
        <v>7</v>
      </c>
      <c r="D1524">
        <v>170345</v>
      </c>
      <c r="E1524">
        <v>3</v>
      </c>
      <c r="F1524" t="s">
        <v>15</v>
      </c>
      <c r="G1524">
        <v>9</v>
      </c>
      <c r="H1524">
        <v>5</v>
      </c>
    </row>
    <row r="1525" spans="1:8">
      <c r="A1525">
        <v>1524</v>
      </c>
      <c r="B1525" t="s">
        <v>8</v>
      </c>
      <c r="C1525">
        <v>28</v>
      </c>
      <c r="D1525">
        <v>157383</v>
      </c>
      <c r="E1525">
        <v>13</v>
      </c>
      <c r="F1525" t="s">
        <v>12</v>
      </c>
      <c r="G1525">
        <v>8</v>
      </c>
      <c r="H1525">
        <v>2</v>
      </c>
    </row>
    <row r="1526" spans="1:8">
      <c r="A1526">
        <v>1525</v>
      </c>
      <c r="B1526" t="s">
        <v>11</v>
      </c>
      <c r="C1526">
        <v>99</v>
      </c>
      <c r="D1526">
        <v>150782</v>
      </c>
      <c r="E1526">
        <v>18</v>
      </c>
      <c r="F1526" t="s">
        <v>15</v>
      </c>
      <c r="G1526">
        <v>8</v>
      </c>
      <c r="H1526">
        <v>2</v>
      </c>
    </row>
    <row r="1527" spans="1:8">
      <c r="A1527">
        <v>1526</v>
      </c>
      <c r="B1527" t="s">
        <v>8</v>
      </c>
      <c r="C1527">
        <v>69</v>
      </c>
      <c r="D1527">
        <v>143987</v>
      </c>
      <c r="E1527">
        <v>87</v>
      </c>
      <c r="F1527" t="s">
        <v>9</v>
      </c>
      <c r="G1527">
        <v>10</v>
      </c>
      <c r="H1527">
        <v>5</v>
      </c>
    </row>
    <row r="1528" spans="1:8">
      <c r="A1528">
        <v>1527</v>
      </c>
      <c r="B1528" t="s">
        <v>11</v>
      </c>
      <c r="C1528">
        <v>13</v>
      </c>
      <c r="D1528">
        <v>129659</v>
      </c>
      <c r="E1528">
        <v>59</v>
      </c>
      <c r="F1528" t="s">
        <v>13</v>
      </c>
      <c r="G1528">
        <v>6</v>
      </c>
      <c r="H1528">
        <v>7</v>
      </c>
    </row>
    <row r="1529" spans="1:8">
      <c r="A1529">
        <v>1528</v>
      </c>
      <c r="B1529" t="s">
        <v>8</v>
      </c>
      <c r="C1529">
        <v>73</v>
      </c>
      <c r="D1529">
        <v>104826</v>
      </c>
      <c r="E1529">
        <v>36</v>
      </c>
      <c r="F1529" t="s">
        <v>9</v>
      </c>
      <c r="G1529">
        <v>5</v>
      </c>
      <c r="H1529">
        <v>1</v>
      </c>
    </row>
    <row r="1530" spans="1:8">
      <c r="A1530">
        <v>1529</v>
      </c>
      <c r="B1530" t="s">
        <v>11</v>
      </c>
      <c r="C1530">
        <v>4</v>
      </c>
      <c r="D1530">
        <v>181471</v>
      </c>
      <c r="E1530">
        <v>59</v>
      </c>
      <c r="F1530" t="s">
        <v>9</v>
      </c>
      <c r="G1530">
        <v>10</v>
      </c>
      <c r="H1530">
        <v>4</v>
      </c>
    </row>
    <row r="1531" spans="1:8">
      <c r="A1531">
        <v>1530</v>
      </c>
      <c r="B1531" t="s">
        <v>11</v>
      </c>
      <c r="C1531">
        <v>42</v>
      </c>
      <c r="D1531">
        <v>152547</v>
      </c>
      <c r="E1531">
        <v>56</v>
      </c>
      <c r="F1531" t="s">
        <v>14</v>
      </c>
      <c r="G1531">
        <v>7</v>
      </c>
      <c r="H1531">
        <v>4</v>
      </c>
    </row>
    <row r="1532" spans="1:8">
      <c r="A1532">
        <v>1531</v>
      </c>
      <c r="B1532" t="s">
        <v>8</v>
      </c>
      <c r="C1532">
        <v>43</v>
      </c>
      <c r="D1532">
        <v>85347</v>
      </c>
      <c r="E1532">
        <v>9</v>
      </c>
      <c r="F1532" t="s">
        <v>16</v>
      </c>
      <c r="G1532">
        <v>1</v>
      </c>
      <c r="H1532">
        <v>1</v>
      </c>
    </row>
    <row r="1533" spans="1:8">
      <c r="A1533">
        <v>1532</v>
      </c>
      <c r="B1533" t="s">
        <v>11</v>
      </c>
      <c r="C1533">
        <v>79</v>
      </c>
      <c r="D1533">
        <v>122828</v>
      </c>
      <c r="E1533">
        <v>32</v>
      </c>
      <c r="F1533" t="s">
        <v>15</v>
      </c>
      <c r="G1533">
        <v>0</v>
      </c>
      <c r="H1533">
        <v>5</v>
      </c>
    </row>
    <row r="1534" spans="1:8">
      <c r="A1534">
        <v>1533</v>
      </c>
      <c r="B1534" t="s">
        <v>8</v>
      </c>
      <c r="C1534">
        <v>18</v>
      </c>
      <c r="D1534">
        <v>107794</v>
      </c>
      <c r="E1534">
        <v>17</v>
      </c>
      <c r="F1534" t="s">
        <v>10</v>
      </c>
      <c r="G1534">
        <v>0</v>
      </c>
      <c r="H1534">
        <v>5</v>
      </c>
    </row>
    <row r="1535" spans="1:8">
      <c r="A1535">
        <v>1534</v>
      </c>
      <c r="B1535" t="s">
        <v>8</v>
      </c>
      <c r="C1535">
        <v>39</v>
      </c>
      <c r="D1535">
        <v>152566</v>
      </c>
      <c r="E1535">
        <v>11</v>
      </c>
      <c r="F1535" t="s">
        <v>13</v>
      </c>
      <c r="G1535">
        <v>1</v>
      </c>
      <c r="H1535">
        <v>7</v>
      </c>
    </row>
    <row r="1536" spans="1:8">
      <c r="A1536">
        <v>1535</v>
      </c>
      <c r="B1536" t="s">
        <v>11</v>
      </c>
      <c r="C1536">
        <v>41</v>
      </c>
      <c r="D1536">
        <v>91715</v>
      </c>
      <c r="E1536">
        <v>99</v>
      </c>
      <c r="F1536" t="s">
        <v>13</v>
      </c>
      <c r="G1536">
        <v>0</v>
      </c>
      <c r="H1536">
        <v>3</v>
      </c>
    </row>
    <row r="1537" spans="1:8">
      <c r="A1537">
        <v>1536</v>
      </c>
      <c r="B1537" t="s">
        <v>11</v>
      </c>
      <c r="C1537">
        <v>60</v>
      </c>
      <c r="D1537">
        <v>99222</v>
      </c>
      <c r="E1537">
        <v>48</v>
      </c>
      <c r="F1537" t="s">
        <v>14</v>
      </c>
      <c r="G1537">
        <v>1</v>
      </c>
      <c r="H1537">
        <v>6</v>
      </c>
    </row>
    <row r="1538" spans="1:8">
      <c r="A1538">
        <v>1537</v>
      </c>
      <c r="B1538" t="s">
        <v>11</v>
      </c>
      <c r="C1538">
        <v>39</v>
      </c>
      <c r="D1538">
        <v>70280</v>
      </c>
      <c r="E1538">
        <v>99</v>
      </c>
      <c r="F1538" t="s">
        <v>10</v>
      </c>
      <c r="G1538">
        <v>0</v>
      </c>
      <c r="H1538">
        <v>4</v>
      </c>
    </row>
    <row r="1539" spans="1:8">
      <c r="A1539">
        <v>1538</v>
      </c>
      <c r="B1539" t="s">
        <v>11</v>
      </c>
      <c r="C1539">
        <v>90</v>
      </c>
      <c r="D1539">
        <v>70030</v>
      </c>
      <c r="E1539">
        <v>86</v>
      </c>
      <c r="F1539" t="s">
        <v>9</v>
      </c>
      <c r="G1539">
        <v>1</v>
      </c>
      <c r="H1539">
        <v>2</v>
      </c>
    </row>
    <row r="1540" spans="1:8">
      <c r="A1540">
        <v>1539</v>
      </c>
      <c r="B1540" t="s">
        <v>11</v>
      </c>
      <c r="C1540">
        <v>83</v>
      </c>
      <c r="D1540">
        <v>102083</v>
      </c>
      <c r="E1540">
        <v>24</v>
      </c>
      <c r="F1540" t="s">
        <v>14</v>
      </c>
      <c r="G1540">
        <v>1</v>
      </c>
      <c r="H1540">
        <v>1</v>
      </c>
    </row>
    <row r="1541" spans="1:8">
      <c r="A1541">
        <v>1540</v>
      </c>
      <c r="B1541" t="s">
        <v>11</v>
      </c>
      <c r="C1541">
        <v>92</v>
      </c>
      <c r="D1541">
        <v>166163</v>
      </c>
      <c r="E1541">
        <v>87</v>
      </c>
      <c r="F1541" t="s">
        <v>10</v>
      </c>
      <c r="G1541">
        <v>8</v>
      </c>
      <c r="H1541">
        <v>5</v>
      </c>
    </row>
    <row r="1542" spans="1:8">
      <c r="A1542">
        <v>1541</v>
      </c>
      <c r="B1542" t="s">
        <v>11</v>
      </c>
      <c r="C1542">
        <v>6</v>
      </c>
      <c r="D1542">
        <v>182871</v>
      </c>
      <c r="E1542">
        <v>27</v>
      </c>
      <c r="F1542" t="s">
        <v>10</v>
      </c>
      <c r="G1542">
        <v>8</v>
      </c>
      <c r="H1542">
        <v>6</v>
      </c>
    </row>
    <row r="1543" spans="1:8">
      <c r="A1543">
        <v>1542</v>
      </c>
      <c r="B1543" t="s">
        <v>8</v>
      </c>
      <c r="C1543">
        <v>50</v>
      </c>
      <c r="D1543">
        <v>187545</v>
      </c>
      <c r="E1543">
        <v>61</v>
      </c>
      <c r="F1543" t="s">
        <v>15</v>
      </c>
      <c r="G1543">
        <v>4</v>
      </c>
      <c r="H1543">
        <v>6</v>
      </c>
    </row>
    <row r="1544" spans="1:8">
      <c r="A1544">
        <v>1543</v>
      </c>
      <c r="B1544" t="s">
        <v>8</v>
      </c>
      <c r="C1544">
        <v>90</v>
      </c>
      <c r="D1544">
        <v>182910</v>
      </c>
      <c r="E1544">
        <v>86</v>
      </c>
      <c r="F1544" t="s">
        <v>13</v>
      </c>
      <c r="G1544">
        <v>0</v>
      </c>
      <c r="H1544">
        <v>1</v>
      </c>
    </row>
    <row r="1545" spans="1:8">
      <c r="A1545">
        <v>1544</v>
      </c>
      <c r="B1545" t="s">
        <v>11</v>
      </c>
      <c r="C1545">
        <v>13</v>
      </c>
      <c r="D1545">
        <v>174530</v>
      </c>
      <c r="E1545">
        <v>30</v>
      </c>
      <c r="F1545" t="s">
        <v>12</v>
      </c>
      <c r="G1545">
        <v>1</v>
      </c>
      <c r="H1545">
        <v>6</v>
      </c>
    </row>
    <row r="1546" spans="1:8">
      <c r="A1546">
        <v>1545</v>
      </c>
      <c r="B1546" t="s">
        <v>11</v>
      </c>
      <c r="C1546">
        <v>27</v>
      </c>
      <c r="D1546">
        <v>115438</v>
      </c>
      <c r="E1546">
        <v>37</v>
      </c>
      <c r="F1546" t="s">
        <v>14</v>
      </c>
      <c r="G1546">
        <v>0</v>
      </c>
      <c r="H1546">
        <v>6</v>
      </c>
    </row>
    <row r="1547" spans="1:8">
      <c r="A1547">
        <v>1546</v>
      </c>
      <c r="B1547" t="s">
        <v>11</v>
      </c>
      <c r="C1547">
        <v>93</v>
      </c>
      <c r="D1547">
        <v>93964</v>
      </c>
      <c r="E1547">
        <v>80</v>
      </c>
      <c r="F1547" t="s">
        <v>14</v>
      </c>
      <c r="G1547">
        <v>4</v>
      </c>
      <c r="H1547">
        <v>2</v>
      </c>
    </row>
    <row r="1548" spans="1:8">
      <c r="A1548">
        <v>1547</v>
      </c>
      <c r="B1548" t="s">
        <v>11</v>
      </c>
      <c r="C1548">
        <v>61</v>
      </c>
      <c r="D1548">
        <v>180341</v>
      </c>
      <c r="E1548">
        <v>75</v>
      </c>
      <c r="F1548" t="s">
        <v>9</v>
      </c>
      <c r="G1548">
        <v>1</v>
      </c>
      <c r="H1548">
        <v>3</v>
      </c>
    </row>
    <row r="1549" spans="1:8">
      <c r="A1549">
        <v>1548</v>
      </c>
      <c r="B1549" t="s">
        <v>11</v>
      </c>
      <c r="C1549">
        <v>91</v>
      </c>
      <c r="D1549">
        <v>107323</v>
      </c>
      <c r="E1549">
        <v>1</v>
      </c>
      <c r="F1549" t="s">
        <v>10</v>
      </c>
      <c r="G1549">
        <v>7</v>
      </c>
      <c r="H1549">
        <v>7</v>
      </c>
    </row>
    <row r="1550" spans="1:8">
      <c r="A1550">
        <v>1549</v>
      </c>
      <c r="B1550" t="s">
        <v>11</v>
      </c>
      <c r="C1550">
        <v>79</v>
      </c>
      <c r="D1550">
        <v>119435</v>
      </c>
      <c r="E1550">
        <v>55</v>
      </c>
      <c r="F1550" t="s">
        <v>13</v>
      </c>
      <c r="G1550">
        <v>0</v>
      </c>
      <c r="H1550">
        <v>7</v>
      </c>
    </row>
    <row r="1551" spans="1:8">
      <c r="A1551">
        <v>1550</v>
      </c>
      <c r="B1551" t="s">
        <v>11</v>
      </c>
      <c r="C1551">
        <v>80</v>
      </c>
      <c r="D1551">
        <v>68341</v>
      </c>
      <c r="E1551">
        <v>22</v>
      </c>
      <c r="F1551" t="s">
        <v>14</v>
      </c>
      <c r="G1551">
        <v>13</v>
      </c>
      <c r="H1551">
        <v>6</v>
      </c>
    </row>
    <row r="1552" spans="1:8">
      <c r="A1552">
        <v>1551</v>
      </c>
      <c r="B1552" t="s">
        <v>11</v>
      </c>
      <c r="C1552">
        <v>16</v>
      </c>
      <c r="D1552">
        <v>95365</v>
      </c>
      <c r="E1552">
        <v>60</v>
      </c>
      <c r="F1552" t="s">
        <v>14</v>
      </c>
      <c r="G1552">
        <v>0</v>
      </c>
      <c r="H1552">
        <v>5</v>
      </c>
    </row>
    <row r="1553" spans="1:8">
      <c r="A1553">
        <v>1552</v>
      </c>
      <c r="B1553" t="s">
        <v>8</v>
      </c>
      <c r="C1553">
        <v>4</v>
      </c>
      <c r="D1553">
        <v>131093</v>
      </c>
      <c r="E1553">
        <v>79</v>
      </c>
      <c r="F1553" t="s">
        <v>12</v>
      </c>
      <c r="G1553">
        <v>1</v>
      </c>
      <c r="H1553">
        <v>7</v>
      </c>
    </row>
    <row r="1554" spans="1:8">
      <c r="A1554">
        <v>1553</v>
      </c>
      <c r="B1554" t="s">
        <v>11</v>
      </c>
      <c r="C1554">
        <v>34</v>
      </c>
      <c r="D1554">
        <v>100621</v>
      </c>
      <c r="E1554">
        <v>3</v>
      </c>
      <c r="F1554" t="s">
        <v>9</v>
      </c>
      <c r="G1554">
        <v>1</v>
      </c>
      <c r="H1554">
        <v>1</v>
      </c>
    </row>
    <row r="1555" spans="1:8">
      <c r="A1555">
        <v>1554</v>
      </c>
      <c r="B1555" t="s">
        <v>8</v>
      </c>
      <c r="C1555">
        <v>10</v>
      </c>
      <c r="D1555">
        <v>116521</v>
      </c>
      <c r="E1555">
        <v>47</v>
      </c>
      <c r="F1555" t="s">
        <v>16</v>
      </c>
      <c r="G1555">
        <v>0</v>
      </c>
      <c r="H1555">
        <v>2</v>
      </c>
    </row>
    <row r="1556" spans="1:8">
      <c r="A1556">
        <v>1555</v>
      </c>
      <c r="B1556" t="s">
        <v>11</v>
      </c>
      <c r="C1556">
        <v>3</v>
      </c>
      <c r="D1556">
        <v>136316</v>
      </c>
      <c r="E1556">
        <v>88</v>
      </c>
      <c r="F1556" t="s">
        <v>15</v>
      </c>
      <c r="G1556">
        <v>0</v>
      </c>
      <c r="H1556">
        <v>3</v>
      </c>
    </row>
    <row r="1557" spans="1:8">
      <c r="A1557">
        <v>1556</v>
      </c>
      <c r="B1557" t="s">
        <v>8</v>
      </c>
      <c r="C1557">
        <v>96</v>
      </c>
      <c r="D1557">
        <v>172039</v>
      </c>
      <c r="E1557">
        <v>51</v>
      </c>
      <c r="F1557" t="s">
        <v>12</v>
      </c>
      <c r="G1557">
        <v>0</v>
      </c>
      <c r="H1557">
        <v>6</v>
      </c>
    </row>
    <row r="1558" spans="1:8">
      <c r="A1558">
        <v>1557</v>
      </c>
      <c r="B1558" t="s">
        <v>11</v>
      </c>
      <c r="C1558">
        <v>48</v>
      </c>
      <c r="D1558">
        <v>70844</v>
      </c>
      <c r="E1558">
        <v>22</v>
      </c>
      <c r="F1558" t="s">
        <v>13</v>
      </c>
      <c r="G1558">
        <v>0</v>
      </c>
      <c r="H1558">
        <v>3</v>
      </c>
    </row>
    <row r="1559" spans="1:8">
      <c r="A1559">
        <v>1558</v>
      </c>
      <c r="B1559" t="s">
        <v>8</v>
      </c>
      <c r="C1559">
        <v>25</v>
      </c>
      <c r="D1559">
        <v>100964</v>
      </c>
      <c r="E1559">
        <v>96</v>
      </c>
      <c r="F1559" t="s">
        <v>18</v>
      </c>
      <c r="G1559">
        <v>1</v>
      </c>
      <c r="H1559">
        <v>6</v>
      </c>
    </row>
    <row r="1560" spans="1:8">
      <c r="A1560">
        <v>1559</v>
      </c>
      <c r="B1560" t="s">
        <v>11</v>
      </c>
      <c r="C1560">
        <v>98</v>
      </c>
      <c r="D1560">
        <v>128037</v>
      </c>
      <c r="E1560">
        <v>39</v>
      </c>
      <c r="F1560" t="s">
        <v>13</v>
      </c>
      <c r="G1560">
        <v>6</v>
      </c>
      <c r="H1560">
        <v>2</v>
      </c>
    </row>
    <row r="1561" spans="1:8">
      <c r="A1561">
        <v>1560</v>
      </c>
      <c r="B1561" t="s">
        <v>8</v>
      </c>
      <c r="C1561">
        <v>84</v>
      </c>
      <c r="D1561">
        <v>97081</v>
      </c>
      <c r="E1561">
        <v>75</v>
      </c>
      <c r="F1561" t="s">
        <v>18</v>
      </c>
      <c r="G1561">
        <v>1</v>
      </c>
      <c r="H1561">
        <v>3</v>
      </c>
    </row>
    <row r="1562" spans="1:8">
      <c r="A1562">
        <v>1561</v>
      </c>
      <c r="B1562" t="s">
        <v>8</v>
      </c>
      <c r="C1562">
        <v>88</v>
      </c>
      <c r="D1562">
        <v>92247</v>
      </c>
      <c r="E1562">
        <v>47</v>
      </c>
      <c r="F1562" t="s">
        <v>18</v>
      </c>
      <c r="G1562">
        <v>0</v>
      </c>
      <c r="H1562">
        <v>6</v>
      </c>
    </row>
    <row r="1563" spans="1:8">
      <c r="A1563">
        <v>1562</v>
      </c>
      <c r="B1563" t="s">
        <v>8</v>
      </c>
      <c r="C1563">
        <v>86</v>
      </c>
      <c r="D1563">
        <v>129914</v>
      </c>
      <c r="E1563">
        <v>92</v>
      </c>
      <c r="F1563" t="s">
        <v>14</v>
      </c>
      <c r="G1563">
        <v>1</v>
      </c>
      <c r="H1563">
        <v>3</v>
      </c>
    </row>
    <row r="1564" spans="1:8">
      <c r="A1564">
        <v>1563</v>
      </c>
      <c r="B1564" t="s">
        <v>11</v>
      </c>
      <c r="C1564">
        <v>0</v>
      </c>
      <c r="D1564">
        <v>94014</v>
      </c>
      <c r="E1564">
        <v>53</v>
      </c>
      <c r="F1564" t="s">
        <v>10</v>
      </c>
      <c r="G1564">
        <v>9</v>
      </c>
      <c r="H1564">
        <v>5</v>
      </c>
    </row>
    <row r="1565" spans="1:8">
      <c r="A1565">
        <v>1564</v>
      </c>
      <c r="B1565" t="s">
        <v>11</v>
      </c>
      <c r="C1565">
        <v>56</v>
      </c>
      <c r="D1565">
        <v>138864</v>
      </c>
      <c r="E1565">
        <v>93</v>
      </c>
      <c r="F1565" t="s">
        <v>14</v>
      </c>
      <c r="G1565">
        <v>0</v>
      </c>
      <c r="H1565">
        <v>5</v>
      </c>
    </row>
    <row r="1566" spans="1:8">
      <c r="A1566">
        <v>1565</v>
      </c>
      <c r="B1566" t="s">
        <v>8</v>
      </c>
      <c r="C1566">
        <v>6</v>
      </c>
      <c r="D1566">
        <v>169299</v>
      </c>
      <c r="E1566">
        <v>46</v>
      </c>
      <c r="F1566" t="s">
        <v>18</v>
      </c>
      <c r="G1566">
        <v>1</v>
      </c>
      <c r="H1566">
        <v>5</v>
      </c>
    </row>
    <row r="1567" spans="1:8">
      <c r="A1567">
        <v>1566</v>
      </c>
      <c r="B1567" t="s">
        <v>8</v>
      </c>
      <c r="C1567">
        <v>2</v>
      </c>
      <c r="D1567">
        <v>119097</v>
      </c>
      <c r="E1567">
        <v>40</v>
      </c>
      <c r="F1567" t="s">
        <v>9</v>
      </c>
      <c r="G1567">
        <v>0</v>
      </c>
      <c r="H1567">
        <v>7</v>
      </c>
    </row>
    <row r="1568" spans="1:8">
      <c r="A1568">
        <v>1567</v>
      </c>
      <c r="B1568" t="s">
        <v>11</v>
      </c>
      <c r="C1568">
        <v>73</v>
      </c>
      <c r="D1568">
        <v>68161</v>
      </c>
      <c r="E1568">
        <v>23</v>
      </c>
      <c r="F1568" t="s">
        <v>16</v>
      </c>
      <c r="G1568">
        <v>1</v>
      </c>
      <c r="H1568">
        <v>2</v>
      </c>
    </row>
    <row r="1569" spans="1:8">
      <c r="A1569">
        <v>1568</v>
      </c>
      <c r="B1569" t="s">
        <v>11</v>
      </c>
      <c r="C1569">
        <v>38</v>
      </c>
      <c r="D1569">
        <v>181108</v>
      </c>
      <c r="E1569">
        <v>32</v>
      </c>
      <c r="F1569" t="s">
        <v>17</v>
      </c>
      <c r="G1569">
        <v>1</v>
      </c>
      <c r="H1569">
        <v>1</v>
      </c>
    </row>
    <row r="1570" spans="1:8">
      <c r="A1570">
        <v>1569</v>
      </c>
      <c r="B1570" t="s">
        <v>8</v>
      </c>
      <c r="C1570">
        <v>37</v>
      </c>
      <c r="D1570">
        <v>87764</v>
      </c>
      <c r="E1570">
        <v>59</v>
      </c>
      <c r="F1570" t="s">
        <v>10</v>
      </c>
      <c r="G1570">
        <v>9</v>
      </c>
      <c r="H1570">
        <v>7</v>
      </c>
    </row>
    <row r="1571" spans="1:8">
      <c r="A1571">
        <v>1570</v>
      </c>
      <c r="B1571" t="s">
        <v>11</v>
      </c>
      <c r="C1571">
        <v>41</v>
      </c>
      <c r="D1571">
        <v>102543</v>
      </c>
      <c r="E1571">
        <v>54</v>
      </c>
      <c r="F1571" t="s">
        <v>14</v>
      </c>
      <c r="G1571">
        <v>7</v>
      </c>
      <c r="H1571">
        <v>3</v>
      </c>
    </row>
    <row r="1572" spans="1:8">
      <c r="A1572">
        <v>1571</v>
      </c>
      <c r="B1572" t="s">
        <v>8</v>
      </c>
      <c r="C1572">
        <v>94</v>
      </c>
      <c r="D1572">
        <v>139417</v>
      </c>
      <c r="E1572">
        <v>13</v>
      </c>
      <c r="F1572" t="s">
        <v>14</v>
      </c>
      <c r="G1572">
        <v>1</v>
      </c>
      <c r="H1572">
        <v>3</v>
      </c>
    </row>
    <row r="1573" spans="1:8">
      <c r="A1573">
        <v>1572</v>
      </c>
      <c r="B1573" t="s">
        <v>11</v>
      </c>
      <c r="C1573">
        <v>57</v>
      </c>
      <c r="D1573">
        <v>81802</v>
      </c>
      <c r="E1573">
        <v>29</v>
      </c>
      <c r="F1573" t="s">
        <v>17</v>
      </c>
      <c r="G1573">
        <v>9</v>
      </c>
      <c r="H1573">
        <v>1</v>
      </c>
    </row>
    <row r="1574" spans="1:8">
      <c r="A1574">
        <v>1573</v>
      </c>
      <c r="B1574" t="s">
        <v>11</v>
      </c>
      <c r="C1574">
        <v>96</v>
      </c>
      <c r="D1574">
        <v>102788</v>
      </c>
      <c r="E1574">
        <v>51</v>
      </c>
      <c r="F1574" t="s">
        <v>14</v>
      </c>
      <c r="G1574">
        <v>0</v>
      </c>
      <c r="H1574">
        <v>1</v>
      </c>
    </row>
    <row r="1575" spans="1:8">
      <c r="A1575">
        <v>1574</v>
      </c>
      <c r="B1575" t="s">
        <v>11</v>
      </c>
      <c r="C1575">
        <v>59</v>
      </c>
      <c r="D1575">
        <v>163179</v>
      </c>
      <c r="E1575">
        <v>19</v>
      </c>
      <c r="F1575" t="s">
        <v>9</v>
      </c>
      <c r="G1575">
        <v>1</v>
      </c>
      <c r="H1575">
        <v>7</v>
      </c>
    </row>
    <row r="1576" spans="1:8">
      <c r="A1576">
        <v>1575</v>
      </c>
      <c r="B1576" t="s">
        <v>8</v>
      </c>
      <c r="C1576">
        <v>87</v>
      </c>
      <c r="D1576">
        <v>71318</v>
      </c>
      <c r="E1576">
        <v>22</v>
      </c>
      <c r="F1576" t="s">
        <v>9</v>
      </c>
      <c r="G1576">
        <v>1</v>
      </c>
      <c r="H1576">
        <v>3</v>
      </c>
    </row>
    <row r="1577" spans="1:8">
      <c r="A1577">
        <v>1576</v>
      </c>
      <c r="B1577" t="s">
        <v>8</v>
      </c>
      <c r="C1577">
        <v>55</v>
      </c>
      <c r="D1577">
        <v>63683</v>
      </c>
      <c r="E1577">
        <v>34</v>
      </c>
      <c r="F1577" t="s">
        <v>9</v>
      </c>
      <c r="G1577">
        <v>3</v>
      </c>
      <c r="H1577">
        <v>1</v>
      </c>
    </row>
    <row r="1578" spans="1:8">
      <c r="A1578">
        <v>1577</v>
      </c>
      <c r="B1578" t="s">
        <v>11</v>
      </c>
      <c r="C1578">
        <v>16</v>
      </c>
      <c r="D1578">
        <v>189689</v>
      </c>
      <c r="E1578">
        <v>37</v>
      </c>
      <c r="F1578" t="s">
        <v>9</v>
      </c>
      <c r="G1578">
        <v>8</v>
      </c>
      <c r="H1578">
        <v>5</v>
      </c>
    </row>
    <row r="1579" spans="1:8">
      <c r="A1579">
        <v>1578</v>
      </c>
      <c r="B1579" t="s">
        <v>8</v>
      </c>
      <c r="C1579">
        <v>82</v>
      </c>
      <c r="D1579">
        <v>121610</v>
      </c>
      <c r="E1579">
        <v>36</v>
      </c>
      <c r="F1579" t="s">
        <v>14</v>
      </c>
      <c r="G1579">
        <v>0</v>
      </c>
      <c r="H1579">
        <v>5</v>
      </c>
    </row>
    <row r="1580" spans="1:8">
      <c r="A1580">
        <v>1579</v>
      </c>
      <c r="B1580" t="s">
        <v>11</v>
      </c>
      <c r="C1580">
        <v>83</v>
      </c>
      <c r="D1580">
        <v>150682</v>
      </c>
      <c r="E1580">
        <v>25</v>
      </c>
      <c r="F1580" t="s">
        <v>14</v>
      </c>
      <c r="G1580">
        <v>1</v>
      </c>
      <c r="H1580">
        <v>1</v>
      </c>
    </row>
    <row r="1581" spans="1:8">
      <c r="A1581">
        <v>1580</v>
      </c>
      <c r="B1581" t="s">
        <v>11</v>
      </c>
      <c r="C1581">
        <v>96</v>
      </c>
      <c r="D1581">
        <v>124550</v>
      </c>
      <c r="E1581">
        <v>46</v>
      </c>
      <c r="F1581" t="s">
        <v>18</v>
      </c>
      <c r="G1581">
        <v>0</v>
      </c>
      <c r="H1581">
        <v>3</v>
      </c>
    </row>
    <row r="1582" spans="1:8">
      <c r="A1582">
        <v>1581</v>
      </c>
      <c r="B1582" t="s">
        <v>8</v>
      </c>
      <c r="C1582">
        <v>55</v>
      </c>
      <c r="D1582">
        <v>148875</v>
      </c>
      <c r="E1582">
        <v>99</v>
      </c>
      <c r="F1582" t="s">
        <v>14</v>
      </c>
      <c r="G1582">
        <v>0</v>
      </c>
      <c r="H1582">
        <v>4</v>
      </c>
    </row>
    <row r="1583" spans="1:8">
      <c r="A1583">
        <v>1582</v>
      </c>
      <c r="B1583" t="s">
        <v>8</v>
      </c>
      <c r="C1583">
        <v>6</v>
      </c>
      <c r="D1583">
        <v>107117</v>
      </c>
      <c r="E1583">
        <v>44</v>
      </c>
      <c r="F1583" t="s">
        <v>14</v>
      </c>
      <c r="G1583">
        <v>1</v>
      </c>
      <c r="H1583">
        <v>3</v>
      </c>
    </row>
    <row r="1584" spans="1:8">
      <c r="A1584">
        <v>1583</v>
      </c>
      <c r="B1584" t="s">
        <v>8</v>
      </c>
      <c r="C1584">
        <v>33</v>
      </c>
      <c r="D1584">
        <v>109223</v>
      </c>
      <c r="E1584">
        <v>43</v>
      </c>
      <c r="F1584" t="s">
        <v>10</v>
      </c>
      <c r="G1584">
        <v>1</v>
      </c>
      <c r="H1584">
        <v>5</v>
      </c>
    </row>
    <row r="1585" spans="1:8">
      <c r="A1585">
        <v>1584</v>
      </c>
      <c r="B1585" t="s">
        <v>11</v>
      </c>
      <c r="C1585">
        <v>0</v>
      </c>
      <c r="D1585">
        <v>120899</v>
      </c>
      <c r="E1585">
        <v>7</v>
      </c>
      <c r="F1585" t="s">
        <v>18</v>
      </c>
      <c r="G1585">
        <v>2</v>
      </c>
      <c r="H1585">
        <v>6</v>
      </c>
    </row>
    <row r="1586" spans="1:8">
      <c r="A1586">
        <v>1585</v>
      </c>
      <c r="B1586" t="s">
        <v>11</v>
      </c>
      <c r="C1586">
        <v>27</v>
      </c>
      <c r="D1586">
        <v>101948</v>
      </c>
      <c r="E1586">
        <v>31</v>
      </c>
      <c r="F1586" t="s">
        <v>14</v>
      </c>
      <c r="G1586">
        <v>0</v>
      </c>
      <c r="H1586">
        <v>5</v>
      </c>
    </row>
    <row r="1587" spans="1:8">
      <c r="A1587">
        <v>1586</v>
      </c>
      <c r="B1587" t="s">
        <v>8</v>
      </c>
      <c r="C1587">
        <v>72</v>
      </c>
      <c r="D1587">
        <v>143169</v>
      </c>
      <c r="E1587">
        <v>58</v>
      </c>
      <c r="F1587" t="s">
        <v>10</v>
      </c>
      <c r="G1587">
        <v>0</v>
      </c>
      <c r="H1587">
        <v>4</v>
      </c>
    </row>
    <row r="1588" spans="1:8">
      <c r="A1588">
        <v>1587</v>
      </c>
      <c r="B1588" t="s">
        <v>11</v>
      </c>
      <c r="C1588">
        <v>13</v>
      </c>
      <c r="D1588">
        <v>167619</v>
      </c>
      <c r="E1588">
        <v>4</v>
      </c>
      <c r="F1588" t="s">
        <v>9</v>
      </c>
      <c r="G1588">
        <v>7</v>
      </c>
      <c r="H1588">
        <v>6</v>
      </c>
    </row>
    <row r="1589" spans="1:8">
      <c r="A1589">
        <v>1588</v>
      </c>
      <c r="B1589" t="s">
        <v>11</v>
      </c>
      <c r="C1589">
        <v>19</v>
      </c>
      <c r="D1589">
        <v>181795</v>
      </c>
      <c r="E1589">
        <v>59</v>
      </c>
      <c r="F1589" t="s">
        <v>9</v>
      </c>
      <c r="G1589">
        <v>3</v>
      </c>
      <c r="H1589">
        <v>5</v>
      </c>
    </row>
    <row r="1590" spans="1:8">
      <c r="A1590">
        <v>1589</v>
      </c>
      <c r="B1590" t="s">
        <v>11</v>
      </c>
      <c r="C1590">
        <v>48</v>
      </c>
      <c r="D1590">
        <v>186445</v>
      </c>
      <c r="E1590">
        <v>41</v>
      </c>
      <c r="F1590" t="s">
        <v>10</v>
      </c>
      <c r="G1590">
        <v>0</v>
      </c>
      <c r="H1590">
        <v>1</v>
      </c>
    </row>
    <row r="1591" spans="1:8">
      <c r="A1591">
        <v>1590</v>
      </c>
      <c r="B1591" t="s">
        <v>11</v>
      </c>
      <c r="C1591">
        <v>58</v>
      </c>
      <c r="D1591">
        <v>102205</v>
      </c>
      <c r="E1591">
        <v>24</v>
      </c>
      <c r="F1591" t="s">
        <v>14</v>
      </c>
      <c r="G1591">
        <v>1</v>
      </c>
      <c r="H1591">
        <v>1</v>
      </c>
    </row>
    <row r="1592" spans="1:8">
      <c r="A1592">
        <v>1591</v>
      </c>
      <c r="B1592" t="s">
        <v>11</v>
      </c>
      <c r="C1592">
        <v>21</v>
      </c>
      <c r="D1592">
        <v>52326</v>
      </c>
      <c r="E1592">
        <v>69</v>
      </c>
      <c r="F1592" t="s">
        <v>9</v>
      </c>
      <c r="G1592">
        <v>0</v>
      </c>
      <c r="H1592">
        <v>2</v>
      </c>
    </row>
    <row r="1593" spans="1:8">
      <c r="A1593">
        <v>1592</v>
      </c>
      <c r="B1593" t="s">
        <v>8</v>
      </c>
      <c r="C1593">
        <v>91</v>
      </c>
      <c r="D1593">
        <v>82992</v>
      </c>
      <c r="E1593">
        <v>5</v>
      </c>
      <c r="F1593" t="s">
        <v>13</v>
      </c>
      <c r="G1593">
        <v>1</v>
      </c>
      <c r="H1593">
        <v>5</v>
      </c>
    </row>
    <row r="1594" spans="1:8">
      <c r="A1594">
        <v>1593</v>
      </c>
      <c r="B1594" t="s">
        <v>8</v>
      </c>
      <c r="C1594">
        <v>44</v>
      </c>
      <c r="D1594">
        <v>145520</v>
      </c>
      <c r="E1594">
        <v>55</v>
      </c>
      <c r="F1594" t="s">
        <v>17</v>
      </c>
      <c r="G1594">
        <v>1</v>
      </c>
      <c r="H1594">
        <v>7</v>
      </c>
    </row>
    <row r="1595" spans="1:8">
      <c r="A1595">
        <v>1594</v>
      </c>
      <c r="B1595" t="s">
        <v>11</v>
      </c>
      <c r="C1595">
        <v>80</v>
      </c>
      <c r="D1595">
        <v>104820</v>
      </c>
      <c r="E1595">
        <v>96</v>
      </c>
      <c r="F1595" t="s">
        <v>14</v>
      </c>
      <c r="G1595">
        <v>2</v>
      </c>
      <c r="H1595">
        <v>4</v>
      </c>
    </row>
    <row r="1596" spans="1:8">
      <c r="A1596">
        <v>1595</v>
      </c>
      <c r="B1596" t="s">
        <v>11</v>
      </c>
      <c r="C1596">
        <v>28</v>
      </c>
      <c r="D1596">
        <v>69025</v>
      </c>
      <c r="E1596">
        <v>79</v>
      </c>
      <c r="F1596" t="s">
        <v>13</v>
      </c>
      <c r="G1596">
        <v>0</v>
      </c>
      <c r="H1596">
        <v>2</v>
      </c>
    </row>
    <row r="1597" spans="1:8">
      <c r="A1597">
        <v>1596</v>
      </c>
      <c r="B1597" t="s">
        <v>8</v>
      </c>
      <c r="C1597">
        <v>74</v>
      </c>
      <c r="D1597">
        <v>164976</v>
      </c>
      <c r="E1597">
        <v>89</v>
      </c>
      <c r="F1597" t="s">
        <v>13</v>
      </c>
      <c r="G1597">
        <v>0</v>
      </c>
      <c r="H1597">
        <v>4</v>
      </c>
    </row>
    <row r="1598" spans="1:8">
      <c r="A1598">
        <v>1597</v>
      </c>
      <c r="B1598" t="s">
        <v>11</v>
      </c>
      <c r="C1598">
        <v>79</v>
      </c>
      <c r="D1598">
        <v>178576</v>
      </c>
      <c r="E1598">
        <v>51</v>
      </c>
      <c r="F1598" t="s">
        <v>15</v>
      </c>
      <c r="G1598">
        <v>5</v>
      </c>
      <c r="H1598">
        <v>5</v>
      </c>
    </row>
    <row r="1599" spans="1:8">
      <c r="A1599">
        <v>1598</v>
      </c>
      <c r="B1599" t="s">
        <v>11</v>
      </c>
      <c r="C1599">
        <v>42</v>
      </c>
      <c r="D1599">
        <v>72415</v>
      </c>
      <c r="E1599">
        <v>52</v>
      </c>
      <c r="F1599" t="s">
        <v>18</v>
      </c>
      <c r="G1599">
        <v>0</v>
      </c>
      <c r="H1599">
        <v>5</v>
      </c>
    </row>
    <row r="1600" spans="1:8">
      <c r="A1600">
        <v>1599</v>
      </c>
      <c r="B1600" t="s">
        <v>8</v>
      </c>
      <c r="C1600">
        <v>80</v>
      </c>
      <c r="D1600">
        <v>112146</v>
      </c>
      <c r="E1600">
        <v>24</v>
      </c>
      <c r="F1600" t="s">
        <v>13</v>
      </c>
      <c r="G1600">
        <v>0</v>
      </c>
      <c r="H1600">
        <v>3</v>
      </c>
    </row>
    <row r="1601" spans="1:8">
      <c r="A1601">
        <v>1600</v>
      </c>
      <c r="B1601" t="s">
        <v>8</v>
      </c>
      <c r="C1601">
        <v>8</v>
      </c>
      <c r="D1601">
        <v>144830</v>
      </c>
      <c r="E1601">
        <v>43</v>
      </c>
      <c r="F1601" t="s">
        <v>14</v>
      </c>
      <c r="G1601">
        <v>0</v>
      </c>
      <c r="H1601">
        <v>1</v>
      </c>
    </row>
    <row r="1602" spans="1:8">
      <c r="A1602">
        <v>1601</v>
      </c>
      <c r="B1602" t="s">
        <v>11</v>
      </c>
      <c r="C1602">
        <v>24</v>
      </c>
      <c r="D1602">
        <v>51661</v>
      </c>
      <c r="E1602">
        <v>79</v>
      </c>
      <c r="F1602" t="s">
        <v>13</v>
      </c>
      <c r="G1602">
        <v>0</v>
      </c>
      <c r="H1602">
        <v>7</v>
      </c>
    </row>
    <row r="1603" spans="1:8">
      <c r="A1603">
        <v>1602</v>
      </c>
      <c r="B1603" t="s">
        <v>11</v>
      </c>
      <c r="C1603">
        <v>71</v>
      </c>
      <c r="D1603">
        <v>152910</v>
      </c>
      <c r="E1603">
        <v>90</v>
      </c>
      <c r="F1603" t="s">
        <v>14</v>
      </c>
      <c r="G1603">
        <v>1</v>
      </c>
      <c r="H1603">
        <v>6</v>
      </c>
    </row>
    <row r="1604" spans="1:8">
      <c r="A1604">
        <v>1603</v>
      </c>
      <c r="B1604" t="s">
        <v>8</v>
      </c>
      <c r="C1604">
        <v>1</v>
      </c>
      <c r="D1604">
        <v>114556</v>
      </c>
      <c r="E1604">
        <v>64</v>
      </c>
      <c r="F1604" t="s">
        <v>13</v>
      </c>
      <c r="G1604">
        <v>0</v>
      </c>
      <c r="H1604">
        <v>7</v>
      </c>
    </row>
    <row r="1605" spans="1:8">
      <c r="A1605">
        <v>1604</v>
      </c>
      <c r="B1605" t="s">
        <v>8</v>
      </c>
      <c r="C1605">
        <v>0</v>
      </c>
      <c r="D1605">
        <v>143455</v>
      </c>
      <c r="E1605">
        <v>62</v>
      </c>
      <c r="F1605" t="s">
        <v>9</v>
      </c>
      <c r="G1605">
        <v>1</v>
      </c>
      <c r="H1605">
        <v>6</v>
      </c>
    </row>
    <row r="1606" spans="1:8">
      <c r="A1606">
        <v>1605</v>
      </c>
      <c r="B1606" t="s">
        <v>8</v>
      </c>
      <c r="C1606">
        <v>30</v>
      </c>
      <c r="D1606">
        <v>173096</v>
      </c>
      <c r="E1606">
        <v>92</v>
      </c>
      <c r="F1606" t="s">
        <v>9</v>
      </c>
      <c r="G1606">
        <v>0</v>
      </c>
      <c r="H1606">
        <v>3</v>
      </c>
    </row>
    <row r="1607" spans="1:8">
      <c r="A1607">
        <v>1606</v>
      </c>
      <c r="B1607" t="s">
        <v>11</v>
      </c>
      <c r="C1607">
        <v>52</v>
      </c>
      <c r="D1607">
        <v>121172</v>
      </c>
      <c r="E1607">
        <v>97</v>
      </c>
      <c r="F1607" t="s">
        <v>9</v>
      </c>
      <c r="G1607">
        <v>5</v>
      </c>
      <c r="H1607">
        <v>4</v>
      </c>
    </row>
    <row r="1608" spans="1:8">
      <c r="A1608">
        <v>1607</v>
      </c>
      <c r="B1608" t="s">
        <v>11</v>
      </c>
      <c r="C1608">
        <v>34</v>
      </c>
      <c r="D1608">
        <v>56492</v>
      </c>
      <c r="E1608">
        <v>15</v>
      </c>
      <c r="F1608" t="s">
        <v>17</v>
      </c>
      <c r="G1608">
        <v>8</v>
      </c>
      <c r="H1608">
        <v>1</v>
      </c>
    </row>
    <row r="1609" spans="1:8">
      <c r="A1609">
        <v>1608</v>
      </c>
      <c r="B1609" t="s">
        <v>8</v>
      </c>
      <c r="C1609">
        <v>64</v>
      </c>
      <c r="D1609">
        <v>156422</v>
      </c>
      <c r="E1609">
        <v>39</v>
      </c>
      <c r="F1609" t="s">
        <v>13</v>
      </c>
      <c r="G1609">
        <v>1</v>
      </c>
      <c r="H1609">
        <v>7</v>
      </c>
    </row>
    <row r="1610" spans="1:8">
      <c r="A1610">
        <v>1609</v>
      </c>
      <c r="B1610" t="s">
        <v>8</v>
      </c>
      <c r="C1610">
        <v>17</v>
      </c>
      <c r="D1610">
        <v>131863</v>
      </c>
      <c r="E1610">
        <v>94</v>
      </c>
      <c r="F1610" t="s">
        <v>14</v>
      </c>
      <c r="G1610">
        <v>1</v>
      </c>
      <c r="H1610">
        <v>7</v>
      </c>
    </row>
    <row r="1611" spans="1:8">
      <c r="A1611">
        <v>1610</v>
      </c>
      <c r="B1611" t="s">
        <v>8</v>
      </c>
      <c r="C1611">
        <v>71</v>
      </c>
      <c r="D1611">
        <v>118096</v>
      </c>
      <c r="E1611">
        <v>36</v>
      </c>
      <c r="F1611" t="s">
        <v>12</v>
      </c>
      <c r="G1611">
        <v>0</v>
      </c>
      <c r="H1611">
        <v>3</v>
      </c>
    </row>
    <row r="1612" spans="1:8">
      <c r="A1612">
        <v>1611</v>
      </c>
      <c r="B1612" t="s">
        <v>8</v>
      </c>
      <c r="C1612">
        <v>87</v>
      </c>
      <c r="D1612">
        <v>149685</v>
      </c>
      <c r="E1612">
        <v>30</v>
      </c>
      <c r="F1612" t="s">
        <v>15</v>
      </c>
      <c r="G1612">
        <v>9</v>
      </c>
      <c r="H1612">
        <v>6</v>
      </c>
    </row>
    <row r="1613" spans="1:8">
      <c r="A1613">
        <v>1612</v>
      </c>
      <c r="B1613" t="s">
        <v>11</v>
      </c>
      <c r="C1613">
        <v>68</v>
      </c>
      <c r="D1613">
        <v>89765</v>
      </c>
      <c r="E1613">
        <v>28</v>
      </c>
      <c r="F1613" t="s">
        <v>14</v>
      </c>
      <c r="G1613">
        <v>0</v>
      </c>
      <c r="H1613">
        <v>7</v>
      </c>
    </row>
    <row r="1614" spans="1:8">
      <c r="A1614">
        <v>1613</v>
      </c>
      <c r="B1614" t="s">
        <v>11</v>
      </c>
      <c r="C1614">
        <v>14</v>
      </c>
      <c r="D1614">
        <v>177701</v>
      </c>
      <c r="E1614">
        <v>49</v>
      </c>
      <c r="F1614" t="s">
        <v>13</v>
      </c>
      <c r="G1614">
        <v>0</v>
      </c>
      <c r="H1614">
        <v>6</v>
      </c>
    </row>
    <row r="1615" spans="1:8">
      <c r="A1615">
        <v>1614</v>
      </c>
      <c r="B1615" t="s">
        <v>8</v>
      </c>
      <c r="C1615">
        <v>24</v>
      </c>
      <c r="D1615">
        <v>64738</v>
      </c>
      <c r="E1615">
        <v>67</v>
      </c>
      <c r="F1615" t="s">
        <v>14</v>
      </c>
      <c r="G1615">
        <v>0</v>
      </c>
      <c r="H1615">
        <v>6</v>
      </c>
    </row>
    <row r="1616" spans="1:8">
      <c r="A1616">
        <v>1615</v>
      </c>
      <c r="B1616" t="s">
        <v>11</v>
      </c>
      <c r="C1616">
        <v>10</v>
      </c>
      <c r="D1616">
        <v>92734</v>
      </c>
      <c r="E1616">
        <v>28</v>
      </c>
      <c r="F1616" t="s">
        <v>12</v>
      </c>
      <c r="G1616">
        <v>1</v>
      </c>
      <c r="H1616">
        <v>4</v>
      </c>
    </row>
    <row r="1617" spans="1:8">
      <c r="A1617">
        <v>1616</v>
      </c>
      <c r="B1617" t="s">
        <v>11</v>
      </c>
      <c r="C1617">
        <v>53</v>
      </c>
      <c r="D1617">
        <v>146877</v>
      </c>
      <c r="E1617">
        <v>47</v>
      </c>
      <c r="F1617" t="s">
        <v>9</v>
      </c>
      <c r="G1617">
        <v>4</v>
      </c>
      <c r="H1617">
        <v>3</v>
      </c>
    </row>
    <row r="1618" spans="1:8">
      <c r="A1618">
        <v>1617</v>
      </c>
      <c r="B1618" t="s">
        <v>11</v>
      </c>
      <c r="C1618">
        <v>39</v>
      </c>
      <c r="D1618">
        <v>62935</v>
      </c>
      <c r="E1618">
        <v>60</v>
      </c>
      <c r="F1618" t="s">
        <v>14</v>
      </c>
      <c r="G1618">
        <v>0</v>
      </c>
      <c r="H1618">
        <v>7</v>
      </c>
    </row>
    <row r="1619" spans="1:8">
      <c r="A1619">
        <v>1618</v>
      </c>
      <c r="B1619" t="s">
        <v>11</v>
      </c>
      <c r="C1619">
        <v>16</v>
      </c>
      <c r="D1619">
        <v>67178</v>
      </c>
      <c r="E1619">
        <v>17</v>
      </c>
      <c r="F1619" t="s">
        <v>13</v>
      </c>
      <c r="G1619">
        <v>8</v>
      </c>
      <c r="H1619">
        <v>3</v>
      </c>
    </row>
    <row r="1620" spans="1:8">
      <c r="A1620">
        <v>1619</v>
      </c>
      <c r="B1620" t="s">
        <v>11</v>
      </c>
      <c r="C1620">
        <v>64</v>
      </c>
      <c r="D1620">
        <v>115754</v>
      </c>
      <c r="E1620">
        <v>35</v>
      </c>
      <c r="F1620" t="s">
        <v>10</v>
      </c>
      <c r="G1620">
        <v>1</v>
      </c>
      <c r="H1620">
        <v>3</v>
      </c>
    </row>
    <row r="1621" spans="1:8">
      <c r="A1621">
        <v>1620</v>
      </c>
      <c r="B1621" t="s">
        <v>11</v>
      </c>
      <c r="C1621">
        <v>41</v>
      </c>
      <c r="D1621">
        <v>186470</v>
      </c>
      <c r="E1621">
        <v>21</v>
      </c>
      <c r="F1621" t="s">
        <v>14</v>
      </c>
      <c r="G1621">
        <v>0</v>
      </c>
      <c r="H1621">
        <v>7</v>
      </c>
    </row>
    <row r="1622" spans="1:8">
      <c r="A1622">
        <v>1621</v>
      </c>
      <c r="B1622" t="s">
        <v>8</v>
      </c>
      <c r="C1622">
        <v>16</v>
      </c>
      <c r="D1622">
        <v>100939</v>
      </c>
      <c r="E1622">
        <v>34</v>
      </c>
      <c r="F1622" t="s">
        <v>9</v>
      </c>
      <c r="G1622">
        <v>7</v>
      </c>
      <c r="H1622">
        <v>6</v>
      </c>
    </row>
    <row r="1623" spans="1:8">
      <c r="A1623">
        <v>1622</v>
      </c>
      <c r="B1623" t="s">
        <v>11</v>
      </c>
      <c r="C1623">
        <v>94</v>
      </c>
      <c r="D1623">
        <v>86172</v>
      </c>
      <c r="E1623">
        <v>55</v>
      </c>
      <c r="F1623" t="s">
        <v>14</v>
      </c>
      <c r="G1623">
        <v>4</v>
      </c>
      <c r="H1623">
        <v>4</v>
      </c>
    </row>
    <row r="1624" spans="1:8">
      <c r="A1624">
        <v>1623</v>
      </c>
      <c r="B1624" t="s">
        <v>11</v>
      </c>
      <c r="C1624">
        <v>40</v>
      </c>
      <c r="D1624">
        <v>184222</v>
      </c>
      <c r="E1624">
        <v>17</v>
      </c>
      <c r="F1624" t="s">
        <v>9</v>
      </c>
      <c r="G1624">
        <v>0</v>
      </c>
      <c r="H1624">
        <v>2</v>
      </c>
    </row>
    <row r="1625" spans="1:8">
      <c r="A1625">
        <v>1624</v>
      </c>
      <c r="B1625" t="s">
        <v>8</v>
      </c>
      <c r="C1625">
        <v>81</v>
      </c>
      <c r="D1625">
        <v>71543</v>
      </c>
      <c r="E1625">
        <v>1</v>
      </c>
      <c r="F1625" t="s">
        <v>13</v>
      </c>
      <c r="G1625">
        <v>1</v>
      </c>
      <c r="H1625">
        <v>4</v>
      </c>
    </row>
    <row r="1626" spans="1:8">
      <c r="A1626">
        <v>1625</v>
      </c>
      <c r="B1626" t="s">
        <v>11</v>
      </c>
      <c r="C1626">
        <v>18</v>
      </c>
      <c r="D1626">
        <v>174836</v>
      </c>
      <c r="E1626">
        <v>63</v>
      </c>
      <c r="F1626" t="s">
        <v>9</v>
      </c>
      <c r="G1626">
        <v>0</v>
      </c>
      <c r="H1626">
        <v>4</v>
      </c>
    </row>
    <row r="1627" spans="1:8">
      <c r="A1627">
        <v>1626</v>
      </c>
      <c r="B1627" t="s">
        <v>11</v>
      </c>
      <c r="C1627">
        <v>78</v>
      </c>
      <c r="D1627">
        <v>130706</v>
      </c>
      <c r="E1627">
        <v>72</v>
      </c>
      <c r="G1627">
        <v>3</v>
      </c>
      <c r="H1627">
        <v>6</v>
      </c>
    </row>
    <row r="1628" spans="1:8">
      <c r="A1628">
        <v>1627</v>
      </c>
      <c r="B1628" t="s">
        <v>8</v>
      </c>
      <c r="C1628">
        <v>8</v>
      </c>
      <c r="D1628">
        <v>74407</v>
      </c>
      <c r="E1628">
        <v>100</v>
      </c>
      <c r="F1628" t="s">
        <v>16</v>
      </c>
      <c r="G1628">
        <v>0</v>
      </c>
      <c r="H1628">
        <v>6</v>
      </c>
    </row>
    <row r="1629" spans="1:8">
      <c r="A1629">
        <v>1628</v>
      </c>
      <c r="B1629" t="s">
        <v>8</v>
      </c>
      <c r="C1629">
        <v>64</v>
      </c>
      <c r="D1629">
        <v>130055</v>
      </c>
      <c r="E1629">
        <v>46</v>
      </c>
      <c r="F1629" t="s">
        <v>9</v>
      </c>
      <c r="G1629">
        <v>2</v>
      </c>
      <c r="H1629">
        <v>1</v>
      </c>
    </row>
    <row r="1630" spans="1:8">
      <c r="A1630">
        <v>1629</v>
      </c>
      <c r="B1630" t="s">
        <v>8</v>
      </c>
      <c r="C1630">
        <v>45</v>
      </c>
      <c r="D1630">
        <v>88707</v>
      </c>
      <c r="E1630">
        <v>81</v>
      </c>
      <c r="F1630" t="s">
        <v>9</v>
      </c>
      <c r="G1630">
        <v>0</v>
      </c>
      <c r="H1630">
        <v>5</v>
      </c>
    </row>
    <row r="1631" spans="1:8">
      <c r="A1631">
        <v>1630</v>
      </c>
      <c r="B1631" t="s">
        <v>8</v>
      </c>
      <c r="C1631">
        <v>99</v>
      </c>
      <c r="D1631">
        <v>162762</v>
      </c>
      <c r="E1631">
        <v>52</v>
      </c>
      <c r="F1631" t="s">
        <v>9</v>
      </c>
      <c r="G1631">
        <v>1</v>
      </c>
      <c r="H1631">
        <v>1</v>
      </c>
    </row>
    <row r="1632" spans="1:8">
      <c r="A1632">
        <v>1631</v>
      </c>
      <c r="B1632" t="s">
        <v>8</v>
      </c>
      <c r="C1632">
        <v>59</v>
      </c>
      <c r="D1632">
        <v>154821</v>
      </c>
      <c r="E1632">
        <v>77</v>
      </c>
      <c r="F1632" t="s">
        <v>16</v>
      </c>
      <c r="G1632">
        <v>0</v>
      </c>
      <c r="H1632">
        <v>2</v>
      </c>
    </row>
    <row r="1633" spans="1:8">
      <c r="A1633">
        <v>1632</v>
      </c>
      <c r="B1633" t="s">
        <v>8</v>
      </c>
      <c r="C1633">
        <v>53</v>
      </c>
      <c r="D1633">
        <v>57248</v>
      </c>
      <c r="E1633">
        <v>66</v>
      </c>
      <c r="F1633" t="s">
        <v>12</v>
      </c>
      <c r="G1633">
        <v>5</v>
      </c>
      <c r="H1633">
        <v>5</v>
      </c>
    </row>
    <row r="1634" spans="1:8">
      <c r="A1634">
        <v>1633</v>
      </c>
      <c r="B1634" t="s">
        <v>11</v>
      </c>
      <c r="C1634">
        <v>66</v>
      </c>
      <c r="D1634">
        <v>99902</v>
      </c>
      <c r="E1634">
        <v>54</v>
      </c>
      <c r="F1634" t="s">
        <v>10</v>
      </c>
      <c r="G1634">
        <v>10</v>
      </c>
      <c r="H1634">
        <v>2</v>
      </c>
    </row>
    <row r="1635" spans="1:8">
      <c r="A1635">
        <v>1634</v>
      </c>
      <c r="B1635" t="s">
        <v>11</v>
      </c>
      <c r="C1635">
        <v>1</v>
      </c>
      <c r="D1635">
        <v>165711</v>
      </c>
      <c r="E1635">
        <v>50</v>
      </c>
      <c r="F1635" t="s">
        <v>14</v>
      </c>
      <c r="G1635">
        <v>1</v>
      </c>
      <c r="H1635">
        <v>2</v>
      </c>
    </row>
    <row r="1636" spans="1:8">
      <c r="A1636">
        <v>1635</v>
      </c>
      <c r="B1636" t="s">
        <v>8</v>
      </c>
      <c r="C1636">
        <v>73</v>
      </c>
      <c r="D1636">
        <v>97455</v>
      </c>
      <c r="E1636">
        <v>55</v>
      </c>
      <c r="G1636">
        <v>6</v>
      </c>
      <c r="H1636">
        <v>4</v>
      </c>
    </row>
    <row r="1637" spans="1:8">
      <c r="A1637">
        <v>1636</v>
      </c>
      <c r="B1637" t="s">
        <v>11</v>
      </c>
      <c r="C1637">
        <v>34</v>
      </c>
      <c r="D1637">
        <v>93866</v>
      </c>
      <c r="E1637">
        <v>43</v>
      </c>
      <c r="F1637" t="s">
        <v>13</v>
      </c>
      <c r="G1637">
        <v>9</v>
      </c>
      <c r="H1637">
        <v>2</v>
      </c>
    </row>
    <row r="1638" spans="1:8">
      <c r="A1638">
        <v>1637</v>
      </c>
      <c r="B1638" t="s">
        <v>11</v>
      </c>
      <c r="C1638">
        <v>1</v>
      </c>
      <c r="D1638">
        <v>141307</v>
      </c>
      <c r="E1638">
        <v>17</v>
      </c>
      <c r="F1638" t="s">
        <v>9</v>
      </c>
      <c r="G1638">
        <v>1</v>
      </c>
      <c r="H1638">
        <v>3</v>
      </c>
    </row>
    <row r="1639" spans="1:8">
      <c r="A1639">
        <v>1638</v>
      </c>
      <c r="B1639" t="s">
        <v>8</v>
      </c>
      <c r="C1639">
        <v>73</v>
      </c>
      <c r="D1639">
        <v>172011</v>
      </c>
      <c r="E1639">
        <v>9</v>
      </c>
      <c r="F1639" t="s">
        <v>16</v>
      </c>
      <c r="G1639">
        <v>1</v>
      </c>
      <c r="H1639">
        <v>5</v>
      </c>
    </row>
    <row r="1640" spans="1:8">
      <c r="A1640">
        <v>1639</v>
      </c>
      <c r="B1640" t="s">
        <v>8</v>
      </c>
      <c r="C1640">
        <v>90</v>
      </c>
      <c r="D1640">
        <v>68138</v>
      </c>
      <c r="E1640">
        <v>18</v>
      </c>
      <c r="F1640" t="s">
        <v>9</v>
      </c>
      <c r="G1640">
        <v>2</v>
      </c>
      <c r="H1640">
        <v>7</v>
      </c>
    </row>
    <row r="1641" spans="1:8">
      <c r="A1641">
        <v>1640</v>
      </c>
      <c r="B1641" t="s">
        <v>11</v>
      </c>
      <c r="C1641">
        <v>32</v>
      </c>
      <c r="D1641">
        <v>123246</v>
      </c>
      <c r="E1641">
        <v>100</v>
      </c>
      <c r="F1641" t="s">
        <v>17</v>
      </c>
      <c r="G1641">
        <v>8</v>
      </c>
      <c r="H1641">
        <v>6</v>
      </c>
    </row>
    <row r="1642" spans="1:8">
      <c r="A1642">
        <v>1641</v>
      </c>
      <c r="B1642" t="s">
        <v>11</v>
      </c>
      <c r="C1642">
        <v>47</v>
      </c>
      <c r="D1642">
        <v>124194</v>
      </c>
      <c r="E1642">
        <v>32</v>
      </c>
      <c r="F1642" t="s">
        <v>16</v>
      </c>
      <c r="G1642">
        <v>1</v>
      </c>
      <c r="H1642">
        <v>7</v>
      </c>
    </row>
    <row r="1643" spans="1:8">
      <c r="A1643">
        <v>1642</v>
      </c>
      <c r="B1643" t="s">
        <v>8</v>
      </c>
      <c r="C1643">
        <v>15</v>
      </c>
      <c r="D1643">
        <v>188696</v>
      </c>
      <c r="E1643">
        <v>87</v>
      </c>
      <c r="F1643" t="s">
        <v>17</v>
      </c>
      <c r="G1643">
        <v>8</v>
      </c>
      <c r="H1643">
        <v>3</v>
      </c>
    </row>
    <row r="1644" spans="1:8">
      <c r="A1644">
        <v>1643</v>
      </c>
      <c r="B1644" t="s">
        <v>11</v>
      </c>
      <c r="C1644">
        <v>78</v>
      </c>
      <c r="D1644">
        <v>91213</v>
      </c>
      <c r="E1644">
        <v>84</v>
      </c>
      <c r="F1644" t="s">
        <v>12</v>
      </c>
      <c r="G1644">
        <v>3</v>
      </c>
      <c r="H1644">
        <v>5</v>
      </c>
    </row>
    <row r="1645" spans="1:8">
      <c r="A1645">
        <v>1644</v>
      </c>
      <c r="B1645" t="s">
        <v>11</v>
      </c>
      <c r="C1645">
        <v>83</v>
      </c>
      <c r="D1645">
        <v>166650</v>
      </c>
      <c r="E1645">
        <v>99</v>
      </c>
      <c r="F1645" t="s">
        <v>9</v>
      </c>
      <c r="G1645">
        <v>1</v>
      </c>
      <c r="H1645">
        <v>3</v>
      </c>
    </row>
    <row r="1646" spans="1:8">
      <c r="A1646">
        <v>1645</v>
      </c>
      <c r="B1646" t="s">
        <v>8</v>
      </c>
      <c r="C1646">
        <v>2</v>
      </c>
      <c r="D1646">
        <v>52727</v>
      </c>
      <c r="E1646">
        <v>60</v>
      </c>
      <c r="F1646" t="s">
        <v>14</v>
      </c>
      <c r="G1646">
        <v>1</v>
      </c>
      <c r="H1646">
        <v>3</v>
      </c>
    </row>
    <row r="1647" spans="1:8">
      <c r="A1647">
        <v>1646</v>
      </c>
      <c r="B1647" t="s">
        <v>8</v>
      </c>
      <c r="C1647">
        <v>75</v>
      </c>
      <c r="D1647">
        <v>126469</v>
      </c>
      <c r="E1647">
        <v>86</v>
      </c>
      <c r="F1647" t="s">
        <v>13</v>
      </c>
      <c r="G1647">
        <v>1</v>
      </c>
      <c r="H1647">
        <v>2</v>
      </c>
    </row>
    <row r="1648" spans="1:8">
      <c r="A1648">
        <v>1647</v>
      </c>
      <c r="B1648" t="s">
        <v>8</v>
      </c>
      <c r="C1648">
        <v>45</v>
      </c>
      <c r="D1648">
        <v>138775</v>
      </c>
      <c r="E1648">
        <v>17</v>
      </c>
      <c r="F1648" t="s">
        <v>15</v>
      </c>
      <c r="G1648">
        <v>0</v>
      </c>
      <c r="H1648">
        <v>7</v>
      </c>
    </row>
    <row r="1649" spans="1:8">
      <c r="A1649">
        <v>1648</v>
      </c>
      <c r="B1649" t="s">
        <v>11</v>
      </c>
      <c r="C1649">
        <v>49</v>
      </c>
      <c r="D1649">
        <v>68901</v>
      </c>
      <c r="E1649">
        <v>70</v>
      </c>
      <c r="F1649" t="s">
        <v>16</v>
      </c>
      <c r="G1649">
        <v>7</v>
      </c>
      <c r="H1649">
        <v>7</v>
      </c>
    </row>
    <row r="1650" spans="1:8">
      <c r="A1650">
        <v>1649</v>
      </c>
      <c r="B1650" t="s">
        <v>11</v>
      </c>
      <c r="C1650">
        <v>41</v>
      </c>
      <c r="D1650">
        <v>118621</v>
      </c>
      <c r="E1650">
        <v>7</v>
      </c>
      <c r="F1650" t="s">
        <v>17</v>
      </c>
      <c r="G1650">
        <v>0</v>
      </c>
      <c r="H1650">
        <v>7</v>
      </c>
    </row>
    <row r="1651" spans="1:8">
      <c r="A1651">
        <v>1650</v>
      </c>
      <c r="B1651" t="s">
        <v>8</v>
      </c>
      <c r="C1651">
        <v>34</v>
      </c>
      <c r="D1651">
        <v>109263</v>
      </c>
      <c r="E1651">
        <v>77</v>
      </c>
      <c r="F1651" t="s">
        <v>13</v>
      </c>
      <c r="G1651">
        <v>0</v>
      </c>
      <c r="H1651">
        <v>1</v>
      </c>
    </row>
    <row r="1652" spans="1:8">
      <c r="A1652">
        <v>1651</v>
      </c>
      <c r="B1652" t="s">
        <v>8</v>
      </c>
      <c r="C1652">
        <v>82</v>
      </c>
      <c r="D1652">
        <v>150012</v>
      </c>
      <c r="E1652">
        <v>83</v>
      </c>
      <c r="F1652" t="s">
        <v>9</v>
      </c>
      <c r="G1652">
        <v>3</v>
      </c>
      <c r="H1652">
        <v>6</v>
      </c>
    </row>
    <row r="1653" spans="1:8">
      <c r="A1653">
        <v>1652</v>
      </c>
      <c r="B1653" t="s">
        <v>8</v>
      </c>
      <c r="C1653">
        <v>37</v>
      </c>
      <c r="D1653">
        <v>133850</v>
      </c>
      <c r="E1653">
        <v>85</v>
      </c>
      <c r="F1653" t="s">
        <v>18</v>
      </c>
      <c r="G1653">
        <v>9</v>
      </c>
      <c r="H1653">
        <v>3</v>
      </c>
    </row>
    <row r="1654" spans="1:8">
      <c r="A1654">
        <v>1653</v>
      </c>
      <c r="B1654" t="s">
        <v>11</v>
      </c>
      <c r="C1654">
        <v>25</v>
      </c>
      <c r="D1654">
        <v>81640</v>
      </c>
      <c r="E1654">
        <v>95</v>
      </c>
      <c r="F1654" t="s">
        <v>13</v>
      </c>
      <c r="G1654">
        <v>1</v>
      </c>
      <c r="H1654">
        <v>6</v>
      </c>
    </row>
    <row r="1655" spans="1:8">
      <c r="A1655">
        <v>1654</v>
      </c>
      <c r="B1655" t="s">
        <v>11</v>
      </c>
      <c r="C1655">
        <v>52</v>
      </c>
      <c r="D1655">
        <v>133214</v>
      </c>
      <c r="E1655">
        <v>1</v>
      </c>
      <c r="F1655" t="s">
        <v>18</v>
      </c>
      <c r="G1655">
        <v>9</v>
      </c>
      <c r="H1655">
        <v>7</v>
      </c>
    </row>
    <row r="1656" spans="1:8">
      <c r="A1656">
        <v>1655</v>
      </c>
      <c r="B1656" t="s">
        <v>11</v>
      </c>
      <c r="C1656">
        <v>23</v>
      </c>
      <c r="D1656">
        <v>186723</v>
      </c>
      <c r="E1656">
        <v>42</v>
      </c>
      <c r="F1656" t="s">
        <v>13</v>
      </c>
      <c r="G1656">
        <v>8</v>
      </c>
      <c r="H1656">
        <v>5</v>
      </c>
    </row>
    <row r="1657" spans="1:8">
      <c r="A1657">
        <v>1656</v>
      </c>
      <c r="B1657" t="s">
        <v>11</v>
      </c>
      <c r="C1657">
        <v>96</v>
      </c>
      <c r="D1657">
        <v>92100</v>
      </c>
      <c r="E1657">
        <v>23</v>
      </c>
      <c r="F1657" t="s">
        <v>14</v>
      </c>
      <c r="G1657">
        <v>9</v>
      </c>
      <c r="H1657">
        <v>3</v>
      </c>
    </row>
    <row r="1658" spans="1:8">
      <c r="A1658">
        <v>1657</v>
      </c>
      <c r="B1658" t="s">
        <v>8</v>
      </c>
      <c r="C1658">
        <v>5</v>
      </c>
      <c r="D1658">
        <v>64484</v>
      </c>
      <c r="E1658">
        <v>10</v>
      </c>
      <c r="F1658" t="s">
        <v>17</v>
      </c>
      <c r="G1658">
        <v>0</v>
      </c>
      <c r="H1658">
        <v>5</v>
      </c>
    </row>
    <row r="1659" spans="1:8">
      <c r="A1659">
        <v>1658</v>
      </c>
      <c r="B1659" t="s">
        <v>11</v>
      </c>
      <c r="C1659">
        <v>47</v>
      </c>
      <c r="D1659">
        <v>69024</v>
      </c>
      <c r="E1659">
        <v>3</v>
      </c>
      <c r="F1659" t="s">
        <v>9</v>
      </c>
      <c r="G1659">
        <v>4</v>
      </c>
      <c r="H1659">
        <v>5</v>
      </c>
    </row>
    <row r="1660" spans="1:8">
      <c r="A1660">
        <v>1659</v>
      </c>
      <c r="B1660" t="s">
        <v>8</v>
      </c>
      <c r="C1660">
        <v>81</v>
      </c>
      <c r="D1660">
        <v>171194</v>
      </c>
      <c r="E1660">
        <v>55</v>
      </c>
      <c r="F1660" t="s">
        <v>14</v>
      </c>
      <c r="G1660">
        <v>0</v>
      </c>
      <c r="H1660">
        <v>5</v>
      </c>
    </row>
    <row r="1661" spans="1:8">
      <c r="A1661">
        <v>1660</v>
      </c>
      <c r="B1661" t="s">
        <v>11</v>
      </c>
      <c r="C1661">
        <v>4</v>
      </c>
      <c r="D1661">
        <v>183282</v>
      </c>
      <c r="E1661">
        <v>34</v>
      </c>
      <c r="F1661" t="s">
        <v>14</v>
      </c>
      <c r="G1661">
        <v>1</v>
      </c>
      <c r="H1661">
        <v>1</v>
      </c>
    </row>
    <row r="1662" spans="1:8">
      <c r="A1662">
        <v>1661</v>
      </c>
      <c r="B1662" t="s">
        <v>11</v>
      </c>
      <c r="C1662">
        <v>8</v>
      </c>
      <c r="D1662">
        <v>100099</v>
      </c>
      <c r="E1662">
        <v>74</v>
      </c>
      <c r="F1662" t="s">
        <v>9</v>
      </c>
      <c r="G1662">
        <v>1</v>
      </c>
      <c r="H1662">
        <v>3</v>
      </c>
    </row>
    <row r="1663" spans="1:8">
      <c r="A1663">
        <v>1662</v>
      </c>
      <c r="B1663" t="s">
        <v>11</v>
      </c>
      <c r="C1663">
        <v>35</v>
      </c>
      <c r="D1663">
        <v>164435</v>
      </c>
      <c r="E1663">
        <v>26</v>
      </c>
      <c r="F1663" t="s">
        <v>12</v>
      </c>
      <c r="G1663">
        <v>1</v>
      </c>
      <c r="H1663">
        <v>3</v>
      </c>
    </row>
    <row r="1664" spans="1:8">
      <c r="A1664">
        <v>1663</v>
      </c>
      <c r="B1664" t="s">
        <v>8</v>
      </c>
      <c r="C1664">
        <v>67</v>
      </c>
      <c r="D1664">
        <v>172407</v>
      </c>
      <c r="E1664">
        <v>60</v>
      </c>
      <c r="F1664" t="s">
        <v>16</v>
      </c>
      <c r="G1664">
        <v>9</v>
      </c>
      <c r="H1664">
        <v>3</v>
      </c>
    </row>
    <row r="1665" spans="1:8">
      <c r="A1665">
        <v>1664</v>
      </c>
      <c r="B1665" t="s">
        <v>11</v>
      </c>
      <c r="C1665">
        <v>9</v>
      </c>
      <c r="D1665">
        <v>84781</v>
      </c>
      <c r="E1665">
        <v>14</v>
      </c>
      <c r="F1665" t="s">
        <v>15</v>
      </c>
      <c r="G1665">
        <v>1</v>
      </c>
      <c r="H1665">
        <v>3</v>
      </c>
    </row>
    <row r="1666" spans="1:8">
      <c r="A1666">
        <v>1665</v>
      </c>
      <c r="B1666" t="s">
        <v>8</v>
      </c>
      <c r="C1666">
        <v>82</v>
      </c>
      <c r="D1666">
        <v>186130</v>
      </c>
      <c r="E1666">
        <v>61</v>
      </c>
      <c r="F1666" t="s">
        <v>12</v>
      </c>
      <c r="G1666">
        <v>3</v>
      </c>
      <c r="H1666">
        <v>7</v>
      </c>
    </row>
    <row r="1667" spans="1:8">
      <c r="A1667">
        <v>1666</v>
      </c>
      <c r="B1667" t="s">
        <v>11</v>
      </c>
      <c r="C1667">
        <v>2</v>
      </c>
      <c r="D1667">
        <v>56782</v>
      </c>
      <c r="E1667">
        <v>10</v>
      </c>
      <c r="F1667" t="s">
        <v>14</v>
      </c>
      <c r="G1667">
        <v>9</v>
      </c>
      <c r="H1667">
        <v>5</v>
      </c>
    </row>
    <row r="1668" spans="1:8">
      <c r="A1668">
        <v>1667</v>
      </c>
      <c r="B1668" t="s">
        <v>8</v>
      </c>
      <c r="C1668">
        <v>95</v>
      </c>
      <c r="D1668">
        <v>137206</v>
      </c>
      <c r="E1668">
        <v>4</v>
      </c>
      <c r="F1668" t="s">
        <v>14</v>
      </c>
      <c r="G1668">
        <v>0</v>
      </c>
      <c r="H1668">
        <v>4</v>
      </c>
    </row>
    <row r="1669" spans="1:8">
      <c r="A1669">
        <v>1668</v>
      </c>
      <c r="B1669" t="s">
        <v>11</v>
      </c>
      <c r="C1669">
        <v>9</v>
      </c>
      <c r="D1669">
        <v>146950</v>
      </c>
      <c r="E1669">
        <v>92</v>
      </c>
      <c r="F1669" t="s">
        <v>16</v>
      </c>
      <c r="G1669">
        <v>6</v>
      </c>
      <c r="H1669">
        <v>5</v>
      </c>
    </row>
    <row r="1670" spans="1:8">
      <c r="A1670">
        <v>1669</v>
      </c>
      <c r="B1670" t="s">
        <v>11</v>
      </c>
      <c r="C1670">
        <v>99</v>
      </c>
      <c r="D1670">
        <v>174275</v>
      </c>
      <c r="E1670">
        <v>4</v>
      </c>
      <c r="F1670" t="s">
        <v>9</v>
      </c>
      <c r="G1670">
        <v>0</v>
      </c>
      <c r="H1670">
        <v>2</v>
      </c>
    </row>
    <row r="1671" spans="1:8">
      <c r="A1671">
        <v>1670</v>
      </c>
      <c r="B1671" t="s">
        <v>8</v>
      </c>
      <c r="C1671">
        <v>96</v>
      </c>
      <c r="D1671">
        <v>97705</v>
      </c>
      <c r="E1671">
        <v>41</v>
      </c>
      <c r="F1671" t="s">
        <v>17</v>
      </c>
      <c r="G1671">
        <v>8</v>
      </c>
      <c r="H1671">
        <v>2</v>
      </c>
    </row>
    <row r="1672" spans="1:8">
      <c r="A1672">
        <v>1671</v>
      </c>
      <c r="B1672" t="s">
        <v>8</v>
      </c>
      <c r="C1672">
        <v>92</v>
      </c>
      <c r="D1672">
        <v>188984</v>
      </c>
      <c r="E1672">
        <v>69</v>
      </c>
      <c r="F1672" t="s">
        <v>12</v>
      </c>
      <c r="G1672">
        <v>1</v>
      </c>
      <c r="H1672">
        <v>4</v>
      </c>
    </row>
    <row r="1673" spans="1:8">
      <c r="A1673">
        <v>1672</v>
      </c>
      <c r="B1673" t="s">
        <v>8</v>
      </c>
      <c r="C1673">
        <v>24</v>
      </c>
      <c r="D1673">
        <v>119238</v>
      </c>
      <c r="E1673">
        <v>55</v>
      </c>
      <c r="F1673" t="s">
        <v>14</v>
      </c>
      <c r="G1673">
        <v>1</v>
      </c>
      <c r="H1673">
        <v>3</v>
      </c>
    </row>
    <row r="1674" spans="1:8">
      <c r="A1674">
        <v>1673</v>
      </c>
      <c r="B1674" t="s">
        <v>8</v>
      </c>
      <c r="C1674">
        <v>58</v>
      </c>
      <c r="D1674">
        <v>87923</v>
      </c>
      <c r="E1674">
        <v>19</v>
      </c>
      <c r="F1674" t="s">
        <v>13</v>
      </c>
      <c r="G1674">
        <v>0</v>
      </c>
      <c r="H1674">
        <v>5</v>
      </c>
    </row>
    <row r="1675" spans="1:8">
      <c r="A1675">
        <v>1674</v>
      </c>
      <c r="B1675" t="s">
        <v>8</v>
      </c>
      <c r="C1675">
        <v>15</v>
      </c>
      <c r="D1675">
        <v>128573</v>
      </c>
      <c r="E1675">
        <v>97</v>
      </c>
      <c r="F1675" t="s">
        <v>15</v>
      </c>
      <c r="G1675">
        <v>1</v>
      </c>
      <c r="H1675">
        <v>1</v>
      </c>
    </row>
    <row r="1676" spans="1:8">
      <c r="A1676">
        <v>1675</v>
      </c>
      <c r="B1676" t="s">
        <v>11</v>
      </c>
      <c r="C1676">
        <v>13</v>
      </c>
      <c r="D1676">
        <v>132374</v>
      </c>
      <c r="E1676">
        <v>96</v>
      </c>
      <c r="F1676" t="s">
        <v>18</v>
      </c>
      <c r="G1676">
        <v>0</v>
      </c>
      <c r="H1676">
        <v>3</v>
      </c>
    </row>
    <row r="1677" spans="1:8">
      <c r="A1677">
        <v>1676</v>
      </c>
      <c r="B1677" t="s">
        <v>11</v>
      </c>
      <c r="C1677">
        <v>51</v>
      </c>
      <c r="D1677">
        <v>135164</v>
      </c>
      <c r="E1677">
        <v>75</v>
      </c>
      <c r="F1677" t="s">
        <v>14</v>
      </c>
      <c r="G1677">
        <v>9</v>
      </c>
      <c r="H1677">
        <v>3</v>
      </c>
    </row>
    <row r="1678" spans="1:8">
      <c r="A1678">
        <v>1677</v>
      </c>
      <c r="B1678" t="s">
        <v>8</v>
      </c>
      <c r="C1678">
        <v>9</v>
      </c>
      <c r="D1678">
        <v>165194</v>
      </c>
      <c r="E1678">
        <v>10</v>
      </c>
      <c r="F1678" t="s">
        <v>14</v>
      </c>
      <c r="G1678">
        <v>8</v>
      </c>
      <c r="H1678">
        <v>3</v>
      </c>
    </row>
    <row r="1679" spans="1:8">
      <c r="A1679">
        <v>1678</v>
      </c>
      <c r="B1679" t="s">
        <v>8</v>
      </c>
      <c r="C1679">
        <v>0</v>
      </c>
      <c r="D1679">
        <v>126060</v>
      </c>
      <c r="E1679">
        <v>92</v>
      </c>
      <c r="F1679" t="s">
        <v>16</v>
      </c>
      <c r="G1679">
        <v>1</v>
      </c>
      <c r="H1679">
        <v>3</v>
      </c>
    </row>
    <row r="1680" spans="1:8">
      <c r="A1680">
        <v>1679</v>
      </c>
      <c r="B1680" t="s">
        <v>8</v>
      </c>
      <c r="C1680">
        <v>67</v>
      </c>
      <c r="D1680">
        <v>89366</v>
      </c>
      <c r="E1680">
        <v>55</v>
      </c>
      <c r="F1680" t="s">
        <v>9</v>
      </c>
      <c r="G1680">
        <v>9</v>
      </c>
      <c r="H1680">
        <v>3</v>
      </c>
    </row>
    <row r="1681" spans="1:8">
      <c r="A1681">
        <v>1680</v>
      </c>
      <c r="B1681" t="s">
        <v>8</v>
      </c>
      <c r="C1681">
        <v>58</v>
      </c>
      <c r="D1681">
        <v>95172</v>
      </c>
      <c r="E1681">
        <v>77</v>
      </c>
      <c r="F1681" t="s">
        <v>9</v>
      </c>
      <c r="G1681">
        <v>1</v>
      </c>
      <c r="H1681">
        <v>5</v>
      </c>
    </row>
    <row r="1682" spans="1:8">
      <c r="A1682">
        <v>1681</v>
      </c>
      <c r="B1682" t="s">
        <v>11</v>
      </c>
      <c r="C1682">
        <v>55</v>
      </c>
      <c r="D1682">
        <v>95975</v>
      </c>
      <c r="E1682">
        <v>49</v>
      </c>
      <c r="F1682" t="s">
        <v>15</v>
      </c>
      <c r="G1682">
        <v>0</v>
      </c>
      <c r="H1682">
        <v>1</v>
      </c>
    </row>
    <row r="1683" spans="1:8">
      <c r="A1683">
        <v>1682</v>
      </c>
      <c r="B1683" t="s">
        <v>11</v>
      </c>
      <c r="C1683">
        <v>52</v>
      </c>
      <c r="D1683">
        <v>165573</v>
      </c>
      <c r="E1683">
        <v>59</v>
      </c>
      <c r="F1683" t="s">
        <v>9</v>
      </c>
      <c r="G1683">
        <v>0</v>
      </c>
      <c r="H1683">
        <v>7</v>
      </c>
    </row>
    <row r="1684" spans="1:8">
      <c r="A1684">
        <v>1683</v>
      </c>
      <c r="B1684" t="s">
        <v>8</v>
      </c>
      <c r="C1684">
        <v>83</v>
      </c>
      <c r="D1684">
        <v>180887</v>
      </c>
      <c r="E1684">
        <v>59</v>
      </c>
      <c r="F1684" t="s">
        <v>13</v>
      </c>
      <c r="G1684">
        <v>1</v>
      </c>
      <c r="H1684">
        <v>1</v>
      </c>
    </row>
    <row r="1685" spans="1:8">
      <c r="A1685">
        <v>1684</v>
      </c>
      <c r="B1685" t="s">
        <v>11</v>
      </c>
      <c r="C1685">
        <v>83</v>
      </c>
      <c r="D1685">
        <v>142720</v>
      </c>
      <c r="E1685">
        <v>86</v>
      </c>
      <c r="F1685" t="s">
        <v>15</v>
      </c>
      <c r="G1685">
        <v>0</v>
      </c>
      <c r="H1685">
        <v>1</v>
      </c>
    </row>
    <row r="1686" spans="1:8">
      <c r="A1686">
        <v>1685</v>
      </c>
      <c r="B1686" t="s">
        <v>11</v>
      </c>
      <c r="C1686">
        <v>90</v>
      </c>
      <c r="D1686">
        <v>113460</v>
      </c>
      <c r="E1686">
        <v>54</v>
      </c>
      <c r="F1686" t="s">
        <v>12</v>
      </c>
      <c r="G1686">
        <v>1</v>
      </c>
      <c r="H1686">
        <v>7</v>
      </c>
    </row>
    <row r="1687" spans="1:8">
      <c r="A1687">
        <v>1686</v>
      </c>
      <c r="B1687" t="s">
        <v>8</v>
      </c>
      <c r="C1687">
        <v>87</v>
      </c>
      <c r="D1687">
        <v>110434</v>
      </c>
      <c r="E1687">
        <v>20</v>
      </c>
      <c r="F1687" t="s">
        <v>14</v>
      </c>
      <c r="G1687">
        <v>7</v>
      </c>
      <c r="H1687">
        <v>3</v>
      </c>
    </row>
    <row r="1688" spans="1:8">
      <c r="A1688">
        <v>1687</v>
      </c>
      <c r="B1688" t="s">
        <v>11</v>
      </c>
      <c r="C1688">
        <v>67</v>
      </c>
      <c r="D1688">
        <v>146016</v>
      </c>
      <c r="E1688">
        <v>38</v>
      </c>
      <c r="F1688" t="s">
        <v>14</v>
      </c>
      <c r="G1688">
        <v>1</v>
      </c>
      <c r="H1688">
        <v>6</v>
      </c>
    </row>
    <row r="1689" spans="1:8">
      <c r="A1689">
        <v>1688</v>
      </c>
      <c r="B1689" t="s">
        <v>8</v>
      </c>
      <c r="C1689">
        <v>81</v>
      </c>
      <c r="D1689">
        <v>101073</v>
      </c>
      <c r="E1689">
        <v>67</v>
      </c>
      <c r="F1689" t="s">
        <v>15</v>
      </c>
      <c r="G1689">
        <v>0</v>
      </c>
      <c r="H1689">
        <v>7</v>
      </c>
    </row>
    <row r="1690" spans="1:8">
      <c r="A1690">
        <v>1689</v>
      </c>
      <c r="B1690" t="s">
        <v>11</v>
      </c>
      <c r="C1690">
        <v>36</v>
      </c>
      <c r="D1690">
        <v>62617</v>
      </c>
      <c r="E1690">
        <v>10</v>
      </c>
      <c r="F1690" t="s">
        <v>14</v>
      </c>
      <c r="G1690">
        <v>9</v>
      </c>
      <c r="H1690">
        <v>3</v>
      </c>
    </row>
    <row r="1691" spans="1:8">
      <c r="A1691">
        <v>1690</v>
      </c>
      <c r="B1691" t="s">
        <v>11</v>
      </c>
      <c r="C1691">
        <v>51</v>
      </c>
      <c r="D1691">
        <v>96028</v>
      </c>
      <c r="E1691">
        <v>37</v>
      </c>
      <c r="F1691" t="s">
        <v>14</v>
      </c>
      <c r="G1691">
        <v>0</v>
      </c>
      <c r="H1691">
        <v>5</v>
      </c>
    </row>
    <row r="1692" spans="1:8">
      <c r="A1692">
        <v>1691</v>
      </c>
      <c r="B1692" t="s">
        <v>11</v>
      </c>
      <c r="C1692">
        <v>31</v>
      </c>
      <c r="D1692">
        <v>186334</v>
      </c>
      <c r="E1692">
        <v>37</v>
      </c>
      <c r="F1692" t="s">
        <v>14</v>
      </c>
      <c r="G1692">
        <v>0</v>
      </c>
      <c r="H1692">
        <v>1</v>
      </c>
    </row>
    <row r="1693" spans="1:8">
      <c r="A1693">
        <v>1692</v>
      </c>
      <c r="B1693" t="s">
        <v>11</v>
      </c>
      <c r="C1693">
        <v>57</v>
      </c>
      <c r="D1693">
        <v>163473</v>
      </c>
      <c r="E1693">
        <v>52</v>
      </c>
      <c r="F1693" t="s">
        <v>14</v>
      </c>
      <c r="G1693">
        <v>0</v>
      </c>
      <c r="H1693">
        <v>1</v>
      </c>
    </row>
    <row r="1694" spans="1:8">
      <c r="A1694">
        <v>1693</v>
      </c>
      <c r="B1694" t="s">
        <v>8</v>
      </c>
      <c r="C1694">
        <v>83</v>
      </c>
      <c r="D1694">
        <v>89819</v>
      </c>
      <c r="E1694">
        <v>59</v>
      </c>
      <c r="F1694" t="s">
        <v>14</v>
      </c>
      <c r="G1694">
        <v>4</v>
      </c>
      <c r="H1694">
        <v>2</v>
      </c>
    </row>
    <row r="1695" spans="1:8">
      <c r="A1695">
        <v>1694</v>
      </c>
      <c r="B1695" t="s">
        <v>11</v>
      </c>
      <c r="C1695">
        <v>51</v>
      </c>
      <c r="D1695">
        <v>69388</v>
      </c>
      <c r="E1695">
        <v>33</v>
      </c>
      <c r="F1695" t="s">
        <v>10</v>
      </c>
      <c r="G1695">
        <v>3</v>
      </c>
      <c r="H1695">
        <v>4</v>
      </c>
    </row>
    <row r="1696" spans="1:8">
      <c r="A1696">
        <v>1695</v>
      </c>
      <c r="B1696" t="s">
        <v>11</v>
      </c>
      <c r="C1696">
        <v>15</v>
      </c>
      <c r="D1696">
        <v>134748</v>
      </c>
      <c r="E1696">
        <v>76</v>
      </c>
      <c r="F1696" t="s">
        <v>18</v>
      </c>
      <c r="G1696">
        <v>1</v>
      </c>
      <c r="H1696">
        <v>6</v>
      </c>
    </row>
    <row r="1697" spans="1:8">
      <c r="A1697">
        <v>1696</v>
      </c>
      <c r="B1697" t="s">
        <v>11</v>
      </c>
      <c r="C1697">
        <v>18</v>
      </c>
      <c r="D1697">
        <v>149915</v>
      </c>
      <c r="E1697">
        <v>94</v>
      </c>
      <c r="F1697" t="s">
        <v>16</v>
      </c>
      <c r="G1697">
        <v>14</v>
      </c>
      <c r="H1697">
        <v>1</v>
      </c>
    </row>
    <row r="1698" spans="1:8">
      <c r="A1698">
        <v>1697</v>
      </c>
      <c r="B1698" t="s">
        <v>11</v>
      </c>
      <c r="C1698">
        <v>88</v>
      </c>
      <c r="D1698">
        <v>104098</v>
      </c>
      <c r="E1698">
        <v>48</v>
      </c>
      <c r="F1698" t="s">
        <v>9</v>
      </c>
      <c r="G1698">
        <v>1</v>
      </c>
      <c r="H1698">
        <v>6</v>
      </c>
    </row>
    <row r="1699" spans="1:8">
      <c r="A1699">
        <v>1698</v>
      </c>
      <c r="B1699" t="s">
        <v>8</v>
      </c>
      <c r="C1699">
        <v>70</v>
      </c>
      <c r="D1699">
        <v>80160</v>
      </c>
      <c r="E1699">
        <v>10</v>
      </c>
      <c r="F1699" t="s">
        <v>14</v>
      </c>
      <c r="G1699">
        <v>8</v>
      </c>
      <c r="H1699">
        <v>5</v>
      </c>
    </row>
    <row r="1700" spans="1:8">
      <c r="A1700">
        <v>1699</v>
      </c>
      <c r="B1700" t="s">
        <v>8</v>
      </c>
      <c r="C1700">
        <v>9</v>
      </c>
      <c r="D1700">
        <v>124125</v>
      </c>
      <c r="E1700">
        <v>91</v>
      </c>
      <c r="F1700" t="s">
        <v>14</v>
      </c>
      <c r="G1700">
        <v>1</v>
      </c>
      <c r="H1700">
        <v>2</v>
      </c>
    </row>
    <row r="1701" spans="1:8">
      <c r="A1701">
        <v>1700</v>
      </c>
      <c r="B1701" t="s">
        <v>8</v>
      </c>
      <c r="C1701">
        <v>6</v>
      </c>
      <c r="D1701">
        <v>170226</v>
      </c>
      <c r="E1701">
        <v>31</v>
      </c>
      <c r="F1701" t="s">
        <v>12</v>
      </c>
      <c r="G1701">
        <v>0</v>
      </c>
      <c r="H1701">
        <v>3</v>
      </c>
    </row>
    <row r="1702" spans="1:8">
      <c r="A1702">
        <v>1701</v>
      </c>
      <c r="B1702" t="s">
        <v>11</v>
      </c>
      <c r="C1702">
        <v>8</v>
      </c>
      <c r="D1702">
        <v>53306</v>
      </c>
      <c r="E1702">
        <v>98</v>
      </c>
      <c r="F1702" t="s">
        <v>10</v>
      </c>
      <c r="G1702">
        <v>0</v>
      </c>
      <c r="H1702">
        <v>2</v>
      </c>
    </row>
    <row r="1703" spans="1:8">
      <c r="A1703">
        <v>1702</v>
      </c>
      <c r="B1703" t="s">
        <v>8</v>
      </c>
      <c r="C1703">
        <v>55</v>
      </c>
      <c r="D1703">
        <v>103933</v>
      </c>
      <c r="E1703">
        <v>31</v>
      </c>
      <c r="F1703" t="s">
        <v>15</v>
      </c>
      <c r="G1703">
        <v>6</v>
      </c>
      <c r="H1703">
        <v>3</v>
      </c>
    </row>
    <row r="1704" spans="1:8">
      <c r="A1704">
        <v>1703</v>
      </c>
      <c r="B1704" t="s">
        <v>11</v>
      </c>
      <c r="C1704">
        <v>69</v>
      </c>
      <c r="D1704">
        <v>85401</v>
      </c>
      <c r="E1704">
        <v>10</v>
      </c>
      <c r="F1704" t="s">
        <v>13</v>
      </c>
      <c r="G1704">
        <v>4</v>
      </c>
      <c r="H1704">
        <v>6</v>
      </c>
    </row>
    <row r="1705" spans="1:8">
      <c r="A1705">
        <v>1704</v>
      </c>
      <c r="B1705" t="s">
        <v>11</v>
      </c>
      <c r="C1705">
        <v>18</v>
      </c>
      <c r="D1705">
        <v>53812</v>
      </c>
      <c r="E1705">
        <v>32</v>
      </c>
      <c r="F1705" t="s">
        <v>17</v>
      </c>
      <c r="G1705">
        <v>9</v>
      </c>
      <c r="H1705">
        <v>5</v>
      </c>
    </row>
    <row r="1706" spans="1:8">
      <c r="A1706">
        <v>1705</v>
      </c>
      <c r="B1706" t="s">
        <v>11</v>
      </c>
      <c r="C1706">
        <v>13</v>
      </c>
      <c r="D1706">
        <v>60771</v>
      </c>
      <c r="E1706">
        <v>50</v>
      </c>
      <c r="F1706" t="s">
        <v>13</v>
      </c>
      <c r="G1706">
        <v>1</v>
      </c>
      <c r="H1706">
        <v>7</v>
      </c>
    </row>
    <row r="1707" spans="1:8">
      <c r="A1707">
        <v>1706</v>
      </c>
      <c r="B1707" t="s">
        <v>11</v>
      </c>
      <c r="C1707">
        <v>69</v>
      </c>
      <c r="D1707">
        <v>56398</v>
      </c>
      <c r="E1707">
        <v>75</v>
      </c>
      <c r="F1707" t="s">
        <v>13</v>
      </c>
      <c r="G1707">
        <v>8</v>
      </c>
      <c r="H1707">
        <v>3</v>
      </c>
    </row>
    <row r="1708" spans="1:8">
      <c r="A1708">
        <v>1707</v>
      </c>
      <c r="B1708" t="s">
        <v>11</v>
      </c>
      <c r="C1708">
        <v>69</v>
      </c>
      <c r="D1708">
        <v>171118</v>
      </c>
      <c r="E1708">
        <v>91</v>
      </c>
      <c r="F1708" t="s">
        <v>10</v>
      </c>
      <c r="G1708">
        <v>9</v>
      </c>
      <c r="H1708">
        <v>3</v>
      </c>
    </row>
    <row r="1709" spans="1:8">
      <c r="A1709">
        <v>1708</v>
      </c>
      <c r="B1709" t="s">
        <v>8</v>
      </c>
      <c r="C1709">
        <v>69</v>
      </c>
      <c r="D1709">
        <v>79806</v>
      </c>
      <c r="E1709">
        <v>73</v>
      </c>
      <c r="F1709" t="s">
        <v>9</v>
      </c>
      <c r="G1709">
        <v>0</v>
      </c>
      <c r="H1709">
        <v>5</v>
      </c>
    </row>
    <row r="1710" spans="1:8">
      <c r="A1710">
        <v>1709</v>
      </c>
      <c r="B1710" t="s">
        <v>11</v>
      </c>
      <c r="C1710">
        <v>89</v>
      </c>
      <c r="D1710">
        <v>150187</v>
      </c>
      <c r="E1710">
        <v>35</v>
      </c>
      <c r="F1710" t="s">
        <v>9</v>
      </c>
      <c r="G1710">
        <v>0</v>
      </c>
      <c r="H1710">
        <v>5</v>
      </c>
    </row>
    <row r="1711" spans="1:8">
      <c r="A1711">
        <v>1710</v>
      </c>
      <c r="B1711" t="s">
        <v>11</v>
      </c>
      <c r="C1711">
        <v>45</v>
      </c>
      <c r="D1711">
        <v>129455</v>
      </c>
      <c r="E1711">
        <v>14</v>
      </c>
      <c r="F1711" t="s">
        <v>12</v>
      </c>
      <c r="G1711">
        <v>0</v>
      </c>
      <c r="H1711">
        <v>3</v>
      </c>
    </row>
    <row r="1712" spans="1:8">
      <c r="A1712">
        <v>1711</v>
      </c>
      <c r="B1712" t="s">
        <v>11</v>
      </c>
      <c r="C1712">
        <v>75</v>
      </c>
      <c r="D1712">
        <v>116813</v>
      </c>
      <c r="E1712">
        <v>72</v>
      </c>
      <c r="F1712" t="s">
        <v>13</v>
      </c>
      <c r="G1712">
        <v>10</v>
      </c>
      <c r="H1712">
        <v>6</v>
      </c>
    </row>
    <row r="1713" spans="1:8">
      <c r="A1713">
        <v>1712</v>
      </c>
      <c r="B1713" t="s">
        <v>11</v>
      </c>
      <c r="C1713">
        <v>54</v>
      </c>
      <c r="D1713">
        <v>95734</v>
      </c>
      <c r="E1713">
        <v>39</v>
      </c>
      <c r="F1713" t="s">
        <v>17</v>
      </c>
      <c r="G1713">
        <v>8</v>
      </c>
      <c r="H1713">
        <v>7</v>
      </c>
    </row>
    <row r="1714" spans="1:8">
      <c r="A1714">
        <v>1713</v>
      </c>
      <c r="B1714" t="s">
        <v>8</v>
      </c>
      <c r="C1714">
        <v>33</v>
      </c>
      <c r="D1714">
        <v>76654</v>
      </c>
      <c r="E1714">
        <v>48</v>
      </c>
      <c r="F1714" t="s">
        <v>14</v>
      </c>
      <c r="G1714">
        <v>4</v>
      </c>
      <c r="H1714">
        <v>1</v>
      </c>
    </row>
    <row r="1715" spans="1:8">
      <c r="A1715">
        <v>1714</v>
      </c>
      <c r="B1715" t="s">
        <v>8</v>
      </c>
      <c r="C1715">
        <v>67</v>
      </c>
      <c r="D1715">
        <v>86289</v>
      </c>
      <c r="E1715">
        <v>96</v>
      </c>
      <c r="F1715" t="s">
        <v>14</v>
      </c>
      <c r="G1715">
        <v>1</v>
      </c>
      <c r="H1715">
        <v>5</v>
      </c>
    </row>
    <row r="1716" spans="1:8">
      <c r="A1716">
        <v>1715</v>
      </c>
      <c r="B1716" t="s">
        <v>8</v>
      </c>
      <c r="C1716">
        <v>26</v>
      </c>
      <c r="D1716">
        <v>176147</v>
      </c>
      <c r="E1716">
        <v>19</v>
      </c>
      <c r="F1716" t="s">
        <v>9</v>
      </c>
      <c r="G1716">
        <v>0</v>
      </c>
      <c r="H1716">
        <v>1</v>
      </c>
    </row>
    <row r="1717" spans="1:8">
      <c r="A1717">
        <v>1716</v>
      </c>
      <c r="B1717" t="s">
        <v>11</v>
      </c>
      <c r="C1717">
        <v>5</v>
      </c>
      <c r="D1717">
        <v>142351</v>
      </c>
      <c r="E1717">
        <v>97</v>
      </c>
      <c r="F1717" t="s">
        <v>13</v>
      </c>
      <c r="G1717">
        <v>0</v>
      </c>
      <c r="H1717">
        <v>7</v>
      </c>
    </row>
    <row r="1718" spans="1:8">
      <c r="A1718">
        <v>1717</v>
      </c>
      <c r="B1718" t="s">
        <v>8</v>
      </c>
      <c r="C1718">
        <v>65</v>
      </c>
      <c r="D1718">
        <v>186673</v>
      </c>
      <c r="E1718">
        <v>51</v>
      </c>
      <c r="F1718" t="s">
        <v>16</v>
      </c>
      <c r="G1718">
        <v>1</v>
      </c>
      <c r="H1718">
        <v>1</v>
      </c>
    </row>
    <row r="1719" spans="1:8">
      <c r="A1719">
        <v>1718</v>
      </c>
      <c r="B1719" t="s">
        <v>11</v>
      </c>
      <c r="C1719">
        <v>94</v>
      </c>
      <c r="D1719">
        <v>131521</v>
      </c>
      <c r="E1719">
        <v>62</v>
      </c>
      <c r="F1719" t="s">
        <v>14</v>
      </c>
      <c r="G1719">
        <v>0</v>
      </c>
      <c r="H1719">
        <v>6</v>
      </c>
    </row>
    <row r="1720" spans="1:8">
      <c r="A1720">
        <v>1719</v>
      </c>
      <c r="B1720" t="s">
        <v>11</v>
      </c>
      <c r="C1720">
        <v>95</v>
      </c>
      <c r="D1720">
        <v>50223</v>
      </c>
      <c r="E1720">
        <v>15</v>
      </c>
      <c r="F1720" t="s">
        <v>13</v>
      </c>
      <c r="G1720">
        <v>8</v>
      </c>
      <c r="H1720">
        <v>1</v>
      </c>
    </row>
    <row r="1721" spans="1:8">
      <c r="A1721">
        <v>1720</v>
      </c>
      <c r="B1721" t="s">
        <v>11</v>
      </c>
      <c r="C1721">
        <v>48</v>
      </c>
      <c r="D1721">
        <v>74308</v>
      </c>
      <c r="E1721">
        <v>23</v>
      </c>
      <c r="F1721" t="s">
        <v>13</v>
      </c>
      <c r="G1721">
        <v>1</v>
      </c>
      <c r="H1721">
        <v>2</v>
      </c>
    </row>
    <row r="1722" spans="1:8">
      <c r="A1722">
        <v>1721</v>
      </c>
      <c r="B1722" t="s">
        <v>11</v>
      </c>
      <c r="C1722">
        <v>41</v>
      </c>
      <c r="D1722">
        <v>155881</v>
      </c>
      <c r="E1722">
        <v>22</v>
      </c>
      <c r="F1722" t="s">
        <v>12</v>
      </c>
      <c r="G1722">
        <v>0</v>
      </c>
      <c r="H1722">
        <v>7</v>
      </c>
    </row>
    <row r="1723" spans="1:8">
      <c r="A1723">
        <v>1722</v>
      </c>
      <c r="B1723" t="s">
        <v>11</v>
      </c>
      <c r="C1723">
        <v>92</v>
      </c>
      <c r="D1723">
        <v>168303</v>
      </c>
      <c r="E1723">
        <v>16</v>
      </c>
      <c r="F1723" t="s">
        <v>15</v>
      </c>
      <c r="G1723">
        <v>9</v>
      </c>
      <c r="H1723">
        <v>4</v>
      </c>
    </row>
    <row r="1724" spans="1:8">
      <c r="A1724">
        <v>1723</v>
      </c>
      <c r="B1724" t="s">
        <v>8</v>
      </c>
      <c r="C1724">
        <v>44</v>
      </c>
      <c r="D1724">
        <v>182748</v>
      </c>
      <c r="E1724">
        <v>58</v>
      </c>
      <c r="F1724" t="s">
        <v>10</v>
      </c>
      <c r="G1724">
        <v>1</v>
      </c>
      <c r="H1724">
        <v>7</v>
      </c>
    </row>
    <row r="1725" spans="1:8">
      <c r="A1725">
        <v>1724</v>
      </c>
      <c r="B1725" t="s">
        <v>11</v>
      </c>
      <c r="C1725">
        <v>35</v>
      </c>
      <c r="D1725">
        <v>52374</v>
      </c>
      <c r="E1725">
        <v>73</v>
      </c>
      <c r="F1725" t="s">
        <v>14</v>
      </c>
      <c r="G1725">
        <v>1</v>
      </c>
      <c r="H1725">
        <v>1</v>
      </c>
    </row>
    <row r="1726" spans="1:8">
      <c r="A1726">
        <v>1725</v>
      </c>
      <c r="B1726" t="s">
        <v>11</v>
      </c>
      <c r="C1726">
        <v>34</v>
      </c>
      <c r="D1726">
        <v>86154</v>
      </c>
      <c r="E1726">
        <v>17</v>
      </c>
      <c r="F1726" t="s">
        <v>16</v>
      </c>
      <c r="G1726">
        <v>1</v>
      </c>
      <c r="H1726">
        <v>2</v>
      </c>
    </row>
    <row r="1727" spans="1:8">
      <c r="A1727">
        <v>1726</v>
      </c>
      <c r="B1727" t="s">
        <v>11</v>
      </c>
      <c r="C1727">
        <v>52</v>
      </c>
      <c r="D1727">
        <v>163612</v>
      </c>
      <c r="E1727">
        <v>51</v>
      </c>
      <c r="F1727" t="s">
        <v>15</v>
      </c>
      <c r="G1727">
        <v>0</v>
      </c>
      <c r="H1727">
        <v>5</v>
      </c>
    </row>
    <row r="1728" spans="1:8">
      <c r="A1728">
        <v>1727</v>
      </c>
      <c r="B1728" t="s">
        <v>11</v>
      </c>
      <c r="C1728">
        <v>64</v>
      </c>
      <c r="D1728">
        <v>64756</v>
      </c>
      <c r="E1728">
        <v>17</v>
      </c>
      <c r="F1728" t="s">
        <v>18</v>
      </c>
      <c r="G1728">
        <v>10</v>
      </c>
      <c r="H1728">
        <v>1</v>
      </c>
    </row>
    <row r="1729" spans="1:8">
      <c r="A1729">
        <v>1728</v>
      </c>
      <c r="B1729" t="s">
        <v>8</v>
      </c>
      <c r="C1729">
        <v>62</v>
      </c>
      <c r="D1729">
        <v>185257</v>
      </c>
      <c r="E1729">
        <v>58</v>
      </c>
      <c r="F1729" t="s">
        <v>14</v>
      </c>
      <c r="G1729">
        <v>1</v>
      </c>
      <c r="H1729">
        <v>4</v>
      </c>
    </row>
    <row r="1730" spans="1:8">
      <c r="A1730">
        <v>1729</v>
      </c>
      <c r="B1730" t="s">
        <v>8</v>
      </c>
      <c r="C1730">
        <v>58</v>
      </c>
      <c r="D1730">
        <v>78669</v>
      </c>
      <c r="E1730">
        <v>75</v>
      </c>
      <c r="F1730" t="s">
        <v>14</v>
      </c>
      <c r="G1730">
        <v>1</v>
      </c>
      <c r="H1730">
        <v>7</v>
      </c>
    </row>
    <row r="1731" spans="1:8">
      <c r="A1731">
        <v>1730</v>
      </c>
      <c r="B1731" t="s">
        <v>8</v>
      </c>
      <c r="C1731">
        <v>15</v>
      </c>
      <c r="D1731">
        <v>164520</v>
      </c>
      <c r="E1731">
        <v>47</v>
      </c>
      <c r="F1731" t="s">
        <v>14</v>
      </c>
      <c r="G1731">
        <v>1</v>
      </c>
      <c r="H1731">
        <v>7</v>
      </c>
    </row>
    <row r="1732" spans="1:8">
      <c r="A1732">
        <v>1731</v>
      </c>
      <c r="B1732" t="s">
        <v>11</v>
      </c>
      <c r="C1732">
        <v>65</v>
      </c>
      <c r="D1732">
        <v>92135</v>
      </c>
      <c r="E1732">
        <v>49</v>
      </c>
      <c r="F1732" t="s">
        <v>17</v>
      </c>
      <c r="G1732">
        <v>6</v>
      </c>
      <c r="H1732">
        <v>4</v>
      </c>
    </row>
    <row r="1733" spans="1:8">
      <c r="A1733">
        <v>1732</v>
      </c>
      <c r="B1733" t="s">
        <v>8</v>
      </c>
      <c r="C1733">
        <v>20</v>
      </c>
      <c r="D1733">
        <v>103195</v>
      </c>
      <c r="E1733">
        <v>68</v>
      </c>
      <c r="F1733" t="s">
        <v>16</v>
      </c>
      <c r="G1733">
        <v>0</v>
      </c>
      <c r="H1733">
        <v>7</v>
      </c>
    </row>
    <row r="1734" spans="1:8">
      <c r="A1734">
        <v>1733</v>
      </c>
      <c r="B1734" t="s">
        <v>11</v>
      </c>
      <c r="C1734">
        <v>21</v>
      </c>
      <c r="D1734">
        <v>161663</v>
      </c>
      <c r="E1734">
        <v>36</v>
      </c>
      <c r="F1734" t="s">
        <v>15</v>
      </c>
      <c r="G1734">
        <v>1</v>
      </c>
      <c r="H1734">
        <v>7</v>
      </c>
    </row>
    <row r="1735" spans="1:8">
      <c r="A1735">
        <v>1734</v>
      </c>
      <c r="B1735" t="s">
        <v>11</v>
      </c>
      <c r="C1735">
        <v>79</v>
      </c>
      <c r="D1735">
        <v>57039</v>
      </c>
      <c r="E1735">
        <v>34</v>
      </c>
      <c r="F1735" t="s">
        <v>14</v>
      </c>
      <c r="G1735">
        <v>2</v>
      </c>
      <c r="H1735">
        <v>6</v>
      </c>
    </row>
    <row r="1736" spans="1:8">
      <c r="A1736">
        <v>1735</v>
      </c>
      <c r="B1736" t="s">
        <v>11</v>
      </c>
      <c r="C1736">
        <v>91</v>
      </c>
      <c r="D1736">
        <v>54754</v>
      </c>
      <c r="E1736">
        <v>4</v>
      </c>
      <c r="F1736" t="s">
        <v>14</v>
      </c>
      <c r="G1736">
        <v>0</v>
      </c>
      <c r="H1736">
        <v>2</v>
      </c>
    </row>
    <row r="1737" spans="1:8">
      <c r="A1737">
        <v>1736</v>
      </c>
      <c r="B1737" t="s">
        <v>11</v>
      </c>
      <c r="C1737">
        <v>92</v>
      </c>
      <c r="D1737">
        <v>136531</v>
      </c>
      <c r="E1737">
        <v>76</v>
      </c>
      <c r="F1737" t="s">
        <v>10</v>
      </c>
      <c r="G1737">
        <v>1</v>
      </c>
      <c r="H1737">
        <v>4</v>
      </c>
    </row>
    <row r="1738" spans="1:8">
      <c r="A1738">
        <v>1737</v>
      </c>
      <c r="B1738" t="s">
        <v>8</v>
      </c>
      <c r="C1738">
        <v>62</v>
      </c>
      <c r="D1738">
        <v>120838</v>
      </c>
      <c r="E1738">
        <v>79</v>
      </c>
      <c r="F1738" t="s">
        <v>14</v>
      </c>
      <c r="G1738">
        <v>1</v>
      </c>
      <c r="H1738">
        <v>4</v>
      </c>
    </row>
    <row r="1739" spans="1:8">
      <c r="A1739">
        <v>1738</v>
      </c>
      <c r="B1739" t="s">
        <v>8</v>
      </c>
      <c r="C1739">
        <v>94</v>
      </c>
      <c r="D1739">
        <v>127927</v>
      </c>
      <c r="E1739">
        <v>48</v>
      </c>
      <c r="F1739" t="s">
        <v>16</v>
      </c>
      <c r="G1739">
        <v>0</v>
      </c>
      <c r="H1739">
        <v>4</v>
      </c>
    </row>
    <row r="1740" spans="1:8">
      <c r="A1740">
        <v>1739</v>
      </c>
      <c r="B1740" t="s">
        <v>8</v>
      </c>
      <c r="C1740">
        <v>10</v>
      </c>
      <c r="D1740">
        <v>164214</v>
      </c>
      <c r="E1740">
        <v>77</v>
      </c>
      <c r="F1740" t="s">
        <v>12</v>
      </c>
      <c r="G1740">
        <v>0</v>
      </c>
      <c r="H1740">
        <v>4</v>
      </c>
    </row>
    <row r="1741" spans="1:8">
      <c r="A1741">
        <v>1740</v>
      </c>
      <c r="B1741" t="s">
        <v>11</v>
      </c>
      <c r="C1741">
        <v>53</v>
      </c>
      <c r="D1741">
        <v>145498</v>
      </c>
      <c r="E1741">
        <v>66</v>
      </c>
      <c r="F1741" t="s">
        <v>14</v>
      </c>
      <c r="G1741">
        <v>8</v>
      </c>
      <c r="H1741">
        <v>4</v>
      </c>
    </row>
    <row r="1742" spans="1:8">
      <c r="A1742">
        <v>1741</v>
      </c>
      <c r="B1742" t="s">
        <v>8</v>
      </c>
      <c r="C1742">
        <v>7</v>
      </c>
      <c r="D1742">
        <v>129215</v>
      </c>
      <c r="E1742">
        <v>69</v>
      </c>
      <c r="F1742" t="s">
        <v>13</v>
      </c>
      <c r="G1742">
        <v>9</v>
      </c>
      <c r="H1742">
        <v>6</v>
      </c>
    </row>
    <row r="1743" spans="1:8">
      <c r="A1743">
        <v>1742</v>
      </c>
      <c r="B1743" t="s">
        <v>11</v>
      </c>
      <c r="C1743">
        <v>92</v>
      </c>
      <c r="D1743">
        <v>152429</v>
      </c>
      <c r="E1743">
        <v>76</v>
      </c>
      <c r="F1743" t="s">
        <v>13</v>
      </c>
      <c r="G1743">
        <v>0</v>
      </c>
      <c r="H1743">
        <v>2</v>
      </c>
    </row>
    <row r="1744" spans="1:8">
      <c r="A1744">
        <v>1743</v>
      </c>
      <c r="B1744" t="s">
        <v>11</v>
      </c>
      <c r="C1744">
        <v>12</v>
      </c>
      <c r="D1744">
        <v>89252</v>
      </c>
      <c r="E1744">
        <v>31</v>
      </c>
      <c r="F1744" t="s">
        <v>13</v>
      </c>
      <c r="G1744">
        <v>0</v>
      </c>
      <c r="H1744">
        <v>5</v>
      </c>
    </row>
    <row r="1745" spans="1:8">
      <c r="A1745">
        <v>1744</v>
      </c>
      <c r="B1745" t="s">
        <v>11</v>
      </c>
      <c r="C1745">
        <v>31</v>
      </c>
      <c r="D1745">
        <v>147447</v>
      </c>
      <c r="E1745">
        <v>23</v>
      </c>
      <c r="F1745" t="s">
        <v>16</v>
      </c>
      <c r="G1745">
        <v>6</v>
      </c>
      <c r="H1745">
        <v>7</v>
      </c>
    </row>
    <row r="1746" spans="1:8">
      <c r="A1746">
        <v>1745</v>
      </c>
      <c r="B1746" t="s">
        <v>11</v>
      </c>
      <c r="C1746">
        <v>93</v>
      </c>
      <c r="D1746">
        <v>74467</v>
      </c>
      <c r="E1746">
        <v>33</v>
      </c>
      <c r="F1746" t="s">
        <v>12</v>
      </c>
      <c r="G1746">
        <v>5</v>
      </c>
      <c r="H1746">
        <v>1</v>
      </c>
    </row>
    <row r="1747" spans="1:8">
      <c r="A1747">
        <v>1746</v>
      </c>
      <c r="B1747" t="s">
        <v>11</v>
      </c>
      <c r="C1747">
        <v>66</v>
      </c>
      <c r="D1747">
        <v>127410</v>
      </c>
      <c r="E1747">
        <v>37</v>
      </c>
      <c r="F1747" t="s">
        <v>10</v>
      </c>
      <c r="G1747">
        <v>8</v>
      </c>
      <c r="H1747">
        <v>2</v>
      </c>
    </row>
    <row r="1748" spans="1:8">
      <c r="A1748">
        <v>1747</v>
      </c>
      <c r="B1748" t="s">
        <v>8</v>
      </c>
      <c r="C1748">
        <v>49</v>
      </c>
      <c r="D1748">
        <v>91290</v>
      </c>
      <c r="E1748">
        <v>44</v>
      </c>
      <c r="F1748" t="s">
        <v>9</v>
      </c>
      <c r="G1748">
        <v>7</v>
      </c>
      <c r="H1748">
        <v>7</v>
      </c>
    </row>
    <row r="1749" spans="1:8">
      <c r="A1749">
        <v>1748</v>
      </c>
      <c r="B1749" t="s">
        <v>11</v>
      </c>
      <c r="C1749">
        <v>64</v>
      </c>
      <c r="D1749">
        <v>92812</v>
      </c>
      <c r="E1749">
        <v>97</v>
      </c>
      <c r="F1749" t="s">
        <v>14</v>
      </c>
      <c r="G1749">
        <v>5</v>
      </c>
      <c r="H1749">
        <v>7</v>
      </c>
    </row>
    <row r="1750" spans="1:8">
      <c r="A1750">
        <v>1749</v>
      </c>
      <c r="B1750" t="s">
        <v>11</v>
      </c>
      <c r="C1750">
        <v>27</v>
      </c>
      <c r="D1750">
        <v>170166</v>
      </c>
      <c r="E1750">
        <v>18</v>
      </c>
      <c r="F1750" t="s">
        <v>14</v>
      </c>
      <c r="G1750">
        <v>10</v>
      </c>
      <c r="H1750">
        <v>4</v>
      </c>
    </row>
    <row r="1751" spans="1:8">
      <c r="A1751">
        <v>1750</v>
      </c>
      <c r="B1751" t="s">
        <v>11</v>
      </c>
      <c r="C1751">
        <v>33</v>
      </c>
      <c r="D1751">
        <v>150823</v>
      </c>
      <c r="E1751">
        <v>75</v>
      </c>
      <c r="F1751" t="s">
        <v>14</v>
      </c>
      <c r="G1751">
        <v>4</v>
      </c>
      <c r="H1751">
        <v>1</v>
      </c>
    </row>
    <row r="1752" spans="1:8">
      <c r="A1752">
        <v>1751</v>
      </c>
      <c r="B1752" t="s">
        <v>8</v>
      </c>
      <c r="C1752">
        <v>79</v>
      </c>
      <c r="D1752">
        <v>95839</v>
      </c>
      <c r="E1752">
        <v>30</v>
      </c>
      <c r="F1752" t="s">
        <v>15</v>
      </c>
      <c r="G1752">
        <v>7</v>
      </c>
      <c r="H1752">
        <v>2</v>
      </c>
    </row>
    <row r="1753" spans="1:8">
      <c r="A1753">
        <v>1752</v>
      </c>
      <c r="B1753" t="s">
        <v>11</v>
      </c>
      <c r="C1753">
        <v>14</v>
      </c>
      <c r="D1753">
        <v>60175</v>
      </c>
      <c r="E1753">
        <v>60</v>
      </c>
      <c r="F1753" t="s">
        <v>15</v>
      </c>
      <c r="G1753">
        <v>9</v>
      </c>
      <c r="H1753">
        <v>7</v>
      </c>
    </row>
    <row r="1754" spans="1:8">
      <c r="A1754">
        <v>1753</v>
      </c>
      <c r="B1754" t="s">
        <v>11</v>
      </c>
      <c r="C1754">
        <v>22</v>
      </c>
      <c r="D1754">
        <v>153024</v>
      </c>
      <c r="E1754">
        <v>91</v>
      </c>
      <c r="F1754" t="s">
        <v>14</v>
      </c>
      <c r="G1754">
        <v>10</v>
      </c>
      <c r="H1754">
        <v>7</v>
      </c>
    </row>
    <row r="1755" spans="1:8">
      <c r="A1755">
        <v>1754</v>
      </c>
      <c r="B1755" t="s">
        <v>11</v>
      </c>
      <c r="C1755">
        <v>8</v>
      </c>
      <c r="D1755">
        <v>116858</v>
      </c>
      <c r="E1755">
        <v>67</v>
      </c>
      <c r="F1755" t="s">
        <v>14</v>
      </c>
      <c r="G1755">
        <v>5</v>
      </c>
      <c r="H1755">
        <v>7</v>
      </c>
    </row>
    <row r="1756" spans="1:8">
      <c r="A1756">
        <v>1755</v>
      </c>
      <c r="B1756" t="s">
        <v>11</v>
      </c>
      <c r="C1756">
        <v>6</v>
      </c>
      <c r="D1756">
        <v>122961</v>
      </c>
      <c r="E1756">
        <v>47</v>
      </c>
      <c r="F1756" t="s">
        <v>16</v>
      </c>
      <c r="G1756">
        <v>8</v>
      </c>
      <c r="H1756">
        <v>2</v>
      </c>
    </row>
    <row r="1757" spans="1:8">
      <c r="A1757">
        <v>1756</v>
      </c>
      <c r="B1757" t="s">
        <v>8</v>
      </c>
      <c r="C1757">
        <v>81</v>
      </c>
      <c r="D1757">
        <v>141471</v>
      </c>
      <c r="E1757">
        <v>45</v>
      </c>
      <c r="F1757" t="s">
        <v>14</v>
      </c>
      <c r="G1757">
        <v>8</v>
      </c>
      <c r="H1757">
        <v>6</v>
      </c>
    </row>
    <row r="1758" spans="1:8">
      <c r="A1758">
        <v>1757</v>
      </c>
      <c r="B1758" t="s">
        <v>8</v>
      </c>
      <c r="C1758">
        <v>69</v>
      </c>
      <c r="D1758">
        <v>76155</v>
      </c>
      <c r="E1758">
        <v>14</v>
      </c>
      <c r="F1758" t="s">
        <v>9</v>
      </c>
      <c r="G1758">
        <v>8</v>
      </c>
      <c r="H1758">
        <v>7</v>
      </c>
    </row>
    <row r="1759" spans="1:8">
      <c r="A1759">
        <v>1758</v>
      </c>
      <c r="B1759" t="s">
        <v>8</v>
      </c>
      <c r="C1759">
        <v>0</v>
      </c>
      <c r="D1759">
        <v>108169</v>
      </c>
      <c r="E1759">
        <v>24</v>
      </c>
      <c r="F1759" t="s">
        <v>15</v>
      </c>
      <c r="G1759">
        <v>10</v>
      </c>
      <c r="H1759">
        <v>3</v>
      </c>
    </row>
    <row r="1760" spans="1:8">
      <c r="A1760">
        <v>1759</v>
      </c>
      <c r="B1760" t="s">
        <v>11</v>
      </c>
      <c r="C1760">
        <v>61</v>
      </c>
      <c r="D1760">
        <v>139520</v>
      </c>
      <c r="E1760">
        <v>39</v>
      </c>
      <c r="F1760" t="s">
        <v>14</v>
      </c>
      <c r="G1760">
        <v>8</v>
      </c>
      <c r="H1760">
        <v>4</v>
      </c>
    </row>
    <row r="1761" spans="1:8">
      <c r="A1761">
        <v>1760</v>
      </c>
      <c r="B1761" t="s">
        <v>8</v>
      </c>
      <c r="C1761">
        <v>62</v>
      </c>
      <c r="D1761">
        <v>182631</v>
      </c>
      <c r="E1761">
        <v>52</v>
      </c>
      <c r="F1761" t="s">
        <v>14</v>
      </c>
      <c r="G1761">
        <v>5</v>
      </c>
      <c r="H1761">
        <v>3</v>
      </c>
    </row>
    <row r="1762" spans="1:8">
      <c r="A1762">
        <v>1761</v>
      </c>
      <c r="B1762" t="s">
        <v>11</v>
      </c>
      <c r="C1762">
        <v>95</v>
      </c>
      <c r="D1762">
        <v>177134</v>
      </c>
      <c r="E1762">
        <v>78</v>
      </c>
      <c r="F1762" t="s">
        <v>9</v>
      </c>
      <c r="G1762">
        <v>10</v>
      </c>
      <c r="H1762">
        <v>2</v>
      </c>
    </row>
    <row r="1763" spans="1:8">
      <c r="A1763">
        <v>1762</v>
      </c>
      <c r="B1763" t="s">
        <v>11</v>
      </c>
      <c r="C1763">
        <v>32</v>
      </c>
      <c r="D1763">
        <v>181703</v>
      </c>
      <c r="E1763">
        <v>54</v>
      </c>
      <c r="F1763" t="s">
        <v>12</v>
      </c>
      <c r="G1763">
        <v>6</v>
      </c>
      <c r="H1763">
        <v>2</v>
      </c>
    </row>
    <row r="1764" spans="1:8">
      <c r="A1764">
        <v>1763</v>
      </c>
      <c r="B1764" t="s">
        <v>11</v>
      </c>
      <c r="C1764">
        <v>13</v>
      </c>
      <c r="D1764">
        <v>61917</v>
      </c>
      <c r="E1764">
        <v>16</v>
      </c>
      <c r="F1764" t="s">
        <v>14</v>
      </c>
      <c r="G1764">
        <v>7</v>
      </c>
      <c r="H1764">
        <v>2</v>
      </c>
    </row>
    <row r="1765" spans="1:8">
      <c r="A1765">
        <v>1764</v>
      </c>
      <c r="B1765" t="s">
        <v>11</v>
      </c>
      <c r="C1765">
        <v>1</v>
      </c>
      <c r="D1765">
        <v>140648</v>
      </c>
      <c r="E1765">
        <v>36</v>
      </c>
      <c r="F1765" t="s">
        <v>15</v>
      </c>
      <c r="G1765">
        <v>9</v>
      </c>
      <c r="H1765">
        <v>7</v>
      </c>
    </row>
    <row r="1766" spans="1:8">
      <c r="A1766">
        <v>1765</v>
      </c>
      <c r="B1766" t="s">
        <v>11</v>
      </c>
      <c r="C1766">
        <v>63</v>
      </c>
      <c r="D1766">
        <v>176783</v>
      </c>
      <c r="E1766">
        <v>40</v>
      </c>
      <c r="F1766" t="s">
        <v>16</v>
      </c>
      <c r="G1766">
        <v>9</v>
      </c>
      <c r="H1766">
        <v>4</v>
      </c>
    </row>
    <row r="1767" spans="1:8">
      <c r="A1767">
        <v>1766</v>
      </c>
      <c r="B1767" t="s">
        <v>8</v>
      </c>
      <c r="C1767">
        <v>75</v>
      </c>
      <c r="D1767">
        <v>59741</v>
      </c>
      <c r="E1767">
        <v>67</v>
      </c>
      <c r="F1767" t="s">
        <v>14</v>
      </c>
      <c r="G1767">
        <v>10</v>
      </c>
      <c r="H1767">
        <v>5</v>
      </c>
    </row>
    <row r="1768" spans="1:8">
      <c r="A1768">
        <v>1767</v>
      </c>
      <c r="B1768" t="s">
        <v>11</v>
      </c>
      <c r="C1768">
        <v>43</v>
      </c>
      <c r="D1768">
        <v>156567</v>
      </c>
      <c r="E1768">
        <v>89</v>
      </c>
      <c r="F1768" t="s">
        <v>10</v>
      </c>
      <c r="G1768">
        <v>7</v>
      </c>
      <c r="H1768">
        <v>6</v>
      </c>
    </row>
    <row r="1769" spans="1:8">
      <c r="A1769">
        <v>1768</v>
      </c>
      <c r="B1769" t="s">
        <v>11</v>
      </c>
      <c r="C1769">
        <v>29</v>
      </c>
      <c r="D1769">
        <v>110309</v>
      </c>
      <c r="E1769">
        <v>21</v>
      </c>
      <c r="F1769" t="s">
        <v>14</v>
      </c>
      <c r="G1769">
        <v>6</v>
      </c>
      <c r="H1769">
        <v>2</v>
      </c>
    </row>
    <row r="1770" spans="1:8">
      <c r="A1770">
        <v>1769</v>
      </c>
      <c r="B1770" t="s">
        <v>11</v>
      </c>
      <c r="C1770">
        <v>82</v>
      </c>
      <c r="D1770">
        <v>111077</v>
      </c>
      <c r="E1770">
        <v>55</v>
      </c>
      <c r="F1770" t="s">
        <v>14</v>
      </c>
      <c r="G1770">
        <v>9</v>
      </c>
      <c r="H1770">
        <v>7</v>
      </c>
    </row>
    <row r="1771" spans="1:8">
      <c r="A1771">
        <v>1770</v>
      </c>
      <c r="B1771" t="s">
        <v>11</v>
      </c>
      <c r="C1771">
        <v>87</v>
      </c>
      <c r="D1771">
        <v>170333</v>
      </c>
      <c r="E1771">
        <v>96</v>
      </c>
      <c r="F1771" t="s">
        <v>13</v>
      </c>
      <c r="G1771">
        <v>4</v>
      </c>
      <c r="H1771">
        <v>2</v>
      </c>
    </row>
    <row r="1772" spans="1:8">
      <c r="A1772">
        <v>1771</v>
      </c>
      <c r="B1772" t="s">
        <v>8</v>
      </c>
      <c r="C1772">
        <v>66</v>
      </c>
      <c r="D1772">
        <v>183339</v>
      </c>
      <c r="E1772">
        <v>39</v>
      </c>
      <c r="F1772" t="s">
        <v>14</v>
      </c>
      <c r="G1772">
        <v>7</v>
      </c>
      <c r="H1772">
        <v>4</v>
      </c>
    </row>
    <row r="1773" spans="1:8">
      <c r="A1773">
        <v>1772</v>
      </c>
      <c r="B1773" t="s">
        <v>11</v>
      </c>
      <c r="C1773">
        <v>99</v>
      </c>
      <c r="D1773">
        <v>84167</v>
      </c>
      <c r="E1773">
        <v>46</v>
      </c>
      <c r="F1773" t="s">
        <v>14</v>
      </c>
      <c r="G1773">
        <v>10</v>
      </c>
      <c r="H1773">
        <v>7</v>
      </c>
    </row>
    <row r="1774" spans="1:8">
      <c r="A1774">
        <v>1773</v>
      </c>
      <c r="B1774" t="s">
        <v>11</v>
      </c>
      <c r="C1774">
        <v>54</v>
      </c>
      <c r="D1774">
        <v>184815</v>
      </c>
      <c r="E1774">
        <v>50</v>
      </c>
      <c r="F1774" t="s">
        <v>12</v>
      </c>
      <c r="G1774">
        <v>6</v>
      </c>
      <c r="H1774">
        <v>3</v>
      </c>
    </row>
    <row r="1775" spans="1:8">
      <c r="A1775">
        <v>1774</v>
      </c>
      <c r="B1775" t="s">
        <v>11</v>
      </c>
      <c r="C1775">
        <v>49</v>
      </c>
      <c r="D1775">
        <v>122556</v>
      </c>
      <c r="E1775">
        <v>74</v>
      </c>
      <c r="F1775" t="s">
        <v>14</v>
      </c>
      <c r="G1775">
        <v>9</v>
      </c>
      <c r="H1775">
        <v>7</v>
      </c>
    </row>
    <row r="1776" spans="1:8">
      <c r="A1776">
        <v>1775</v>
      </c>
      <c r="B1776" t="s">
        <v>11</v>
      </c>
      <c r="C1776">
        <v>60</v>
      </c>
      <c r="D1776">
        <v>174768</v>
      </c>
      <c r="E1776">
        <v>66</v>
      </c>
      <c r="F1776" t="s">
        <v>13</v>
      </c>
      <c r="G1776">
        <v>9</v>
      </c>
      <c r="H1776">
        <v>2</v>
      </c>
    </row>
    <row r="1777" spans="1:8">
      <c r="A1777">
        <v>1776</v>
      </c>
      <c r="B1777" t="s">
        <v>8</v>
      </c>
      <c r="C1777">
        <v>75</v>
      </c>
      <c r="D1777">
        <v>172309</v>
      </c>
      <c r="E1777">
        <v>82</v>
      </c>
      <c r="F1777" t="s">
        <v>15</v>
      </c>
      <c r="G1777">
        <v>4</v>
      </c>
      <c r="H1777">
        <v>1</v>
      </c>
    </row>
    <row r="1778" spans="1:8">
      <c r="A1778">
        <v>1777</v>
      </c>
      <c r="B1778" t="s">
        <v>8</v>
      </c>
      <c r="C1778">
        <v>77</v>
      </c>
      <c r="D1778">
        <v>117920</v>
      </c>
      <c r="E1778">
        <v>4</v>
      </c>
      <c r="F1778" t="s">
        <v>16</v>
      </c>
      <c r="G1778">
        <v>10</v>
      </c>
      <c r="H1778">
        <v>4</v>
      </c>
    </row>
    <row r="1779" spans="1:8">
      <c r="A1779">
        <v>1778</v>
      </c>
      <c r="B1779" t="s">
        <v>8</v>
      </c>
      <c r="C1779">
        <v>34</v>
      </c>
      <c r="D1779">
        <v>134882</v>
      </c>
      <c r="E1779">
        <v>61</v>
      </c>
      <c r="F1779" t="s">
        <v>14</v>
      </c>
      <c r="G1779">
        <v>10</v>
      </c>
      <c r="H1779">
        <v>3</v>
      </c>
    </row>
    <row r="1780" spans="1:8">
      <c r="A1780">
        <v>1779</v>
      </c>
      <c r="B1780" t="s">
        <v>11</v>
      </c>
      <c r="C1780">
        <v>63</v>
      </c>
      <c r="D1780">
        <v>77259</v>
      </c>
      <c r="E1780">
        <v>11</v>
      </c>
      <c r="F1780" t="s">
        <v>12</v>
      </c>
      <c r="G1780">
        <v>6</v>
      </c>
      <c r="H1780">
        <v>6</v>
      </c>
    </row>
    <row r="1781" spans="1:8">
      <c r="A1781">
        <v>1780</v>
      </c>
      <c r="B1781" t="s">
        <v>8</v>
      </c>
      <c r="C1781">
        <v>38</v>
      </c>
      <c r="D1781">
        <v>170019</v>
      </c>
      <c r="E1781">
        <v>38</v>
      </c>
      <c r="F1781" t="s">
        <v>14</v>
      </c>
      <c r="G1781">
        <v>7</v>
      </c>
      <c r="H1781">
        <v>2</v>
      </c>
    </row>
    <row r="1782" spans="1:8">
      <c r="A1782">
        <v>1781</v>
      </c>
      <c r="B1782" t="s">
        <v>11</v>
      </c>
      <c r="C1782">
        <v>68</v>
      </c>
      <c r="D1782">
        <v>176884</v>
      </c>
      <c r="E1782">
        <v>94</v>
      </c>
      <c r="F1782" t="s">
        <v>10</v>
      </c>
      <c r="G1782">
        <v>10</v>
      </c>
      <c r="H1782">
        <v>2</v>
      </c>
    </row>
    <row r="1783" spans="1:8">
      <c r="A1783">
        <v>1782</v>
      </c>
      <c r="B1783" t="s">
        <v>11</v>
      </c>
      <c r="C1783">
        <v>80</v>
      </c>
      <c r="D1783">
        <v>106709</v>
      </c>
      <c r="E1783">
        <v>93</v>
      </c>
      <c r="F1783" t="s">
        <v>18</v>
      </c>
      <c r="G1783">
        <v>10</v>
      </c>
      <c r="H1783">
        <v>2</v>
      </c>
    </row>
    <row r="1784" spans="1:8">
      <c r="A1784">
        <v>1783</v>
      </c>
      <c r="B1784" t="s">
        <v>11</v>
      </c>
      <c r="C1784">
        <v>8</v>
      </c>
      <c r="D1784">
        <v>168723</v>
      </c>
      <c r="E1784">
        <v>31</v>
      </c>
      <c r="F1784" t="s">
        <v>17</v>
      </c>
      <c r="G1784">
        <v>7</v>
      </c>
      <c r="H1784">
        <v>2</v>
      </c>
    </row>
    <row r="1785" spans="1:8">
      <c r="A1785">
        <v>1784</v>
      </c>
      <c r="B1785" t="s">
        <v>11</v>
      </c>
      <c r="C1785">
        <v>86</v>
      </c>
      <c r="D1785">
        <v>90228</v>
      </c>
      <c r="E1785">
        <v>68</v>
      </c>
      <c r="F1785" t="s">
        <v>10</v>
      </c>
      <c r="G1785">
        <v>7</v>
      </c>
      <c r="H1785">
        <v>5</v>
      </c>
    </row>
    <row r="1786" spans="1:8">
      <c r="A1786">
        <v>1785</v>
      </c>
      <c r="B1786" t="s">
        <v>11</v>
      </c>
      <c r="C1786">
        <v>1</v>
      </c>
      <c r="D1786">
        <v>89473</v>
      </c>
      <c r="E1786">
        <v>85</v>
      </c>
      <c r="F1786" t="s">
        <v>12</v>
      </c>
      <c r="G1786">
        <v>10</v>
      </c>
      <c r="H1786">
        <v>4</v>
      </c>
    </row>
    <row r="1787" spans="1:8">
      <c r="A1787">
        <v>1786</v>
      </c>
      <c r="B1787" t="s">
        <v>8</v>
      </c>
      <c r="C1787">
        <v>56</v>
      </c>
      <c r="D1787">
        <v>131911</v>
      </c>
      <c r="E1787">
        <v>42</v>
      </c>
      <c r="F1787" t="s">
        <v>9</v>
      </c>
      <c r="G1787">
        <v>7</v>
      </c>
      <c r="H1787">
        <v>7</v>
      </c>
    </row>
    <row r="1788" spans="1:8">
      <c r="A1788">
        <v>1787</v>
      </c>
      <c r="B1788" t="s">
        <v>11</v>
      </c>
      <c r="C1788">
        <v>14</v>
      </c>
      <c r="D1788">
        <v>140107</v>
      </c>
      <c r="E1788">
        <v>63</v>
      </c>
      <c r="F1788" t="s">
        <v>18</v>
      </c>
      <c r="G1788">
        <v>6</v>
      </c>
      <c r="H1788">
        <v>6</v>
      </c>
    </row>
    <row r="1789" spans="1:8">
      <c r="A1789">
        <v>1788</v>
      </c>
      <c r="B1789" t="s">
        <v>11</v>
      </c>
      <c r="C1789">
        <v>4</v>
      </c>
      <c r="D1789">
        <v>170403</v>
      </c>
      <c r="E1789">
        <v>44</v>
      </c>
      <c r="F1789" t="s">
        <v>14</v>
      </c>
      <c r="G1789">
        <v>4</v>
      </c>
      <c r="H1789">
        <v>5</v>
      </c>
    </row>
    <row r="1790" spans="1:8">
      <c r="A1790">
        <v>1789</v>
      </c>
      <c r="B1790" t="s">
        <v>11</v>
      </c>
      <c r="C1790">
        <v>58</v>
      </c>
      <c r="D1790">
        <v>51416</v>
      </c>
      <c r="E1790">
        <v>46</v>
      </c>
      <c r="G1790">
        <v>7</v>
      </c>
      <c r="H1790">
        <v>5</v>
      </c>
    </row>
    <row r="1791" spans="1:8">
      <c r="A1791">
        <v>1790</v>
      </c>
      <c r="B1791" t="s">
        <v>11</v>
      </c>
      <c r="C1791">
        <v>6</v>
      </c>
      <c r="D1791">
        <v>52648</v>
      </c>
      <c r="E1791">
        <v>2</v>
      </c>
      <c r="F1791" t="s">
        <v>14</v>
      </c>
      <c r="G1791">
        <v>5</v>
      </c>
      <c r="H1791">
        <v>2</v>
      </c>
    </row>
    <row r="1792" spans="1:8">
      <c r="A1792">
        <v>1791</v>
      </c>
      <c r="B1792" t="s">
        <v>8</v>
      </c>
      <c r="C1792">
        <v>17</v>
      </c>
      <c r="D1792">
        <v>125471</v>
      </c>
      <c r="E1792">
        <v>48</v>
      </c>
      <c r="F1792" t="s">
        <v>10</v>
      </c>
      <c r="G1792">
        <v>7</v>
      </c>
      <c r="H1792">
        <v>1</v>
      </c>
    </row>
    <row r="1793" spans="1:8">
      <c r="A1793">
        <v>1792</v>
      </c>
      <c r="B1793" t="s">
        <v>11</v>
      </c>
      <c r="C1793">
        <v>55</v>
      </c>
      <c r="D1793">
        <v>106153</v>
      </c>
      <c r="E1793">
        <v>62</v>
      </c>
      <c r="F1793" t="s">
        <v>14</v>
      </c>
      <c r="G1793">
        <v>10</v>
      </c>
      <c r="H1793">
        <v>1</v>
      </c>
    </row>
    <row r="1794" spans="1:8">
      <c r="A1794">
        <v>1793</v>
      </c>
      <c r="B1794" t="s">
        <v>8</v>
      </c>
      <c r="C1794">
        <v>14</v>
      </c>
      <c r="D1794">
        <v>124785</v>
      </c>
      <c r="E1794">
        <v>28</v>
      </c>
      <c r="F1794" t="s">
        <v>12</v>
      </c>
      <c r="G1794">
        <v>7</v>
      </c>
      <c r="H1794">
        <v>2</v>
      </c>
    </row>
    <row r="1795" spans="1:8">
      <c r="A1795">
        <v>1794</v>
      </c>
      <c r="B1795" t="s">
        <v>11</v>
      </c>
      <c r="C1795">
        <v>22</v>
      </c>
      <c r="D1795">
        <v>101474</v>
      </c>
      <c r="E1795">
        <v>14</v>
      </c>
      <c r="F1795" t="s">
        <v>17</v>
      </c>
      <c r="G1795">
        <v>10</v>
      </c>
      <c r="H1795">
        <v>2</v>
      </c>
    </row>
    <row r="1796" spans="1:8">
      <c r="A1796">
        <v>1795</v>
      </c>
      <c r="B1796" t="s">
        <v>11</v>
      </c>
      <c r="C1796">
        <v>8</v>
      </c>
      <c r="D1796">
        <v>141359</v>
      </c>
      <c r="E1796">
        <v>65</v>
      </c>
      <c r="F1796" t="s">
        <v>9</v>
      </c>
      <c r="G1796">
        <v>4</v>
      </c>
      <c r="H1796">
        <v>5</v>
      </c>
    </row>
    <row r="1797" spans="1:8">
      <c r="A1797">
        <v>1796</v>
      </c>
      <c r="B1797" t="s">
        <v>11</v>
      </c>
      <c r="C1797">
        <v>70</v>
      </c>
      <c r="D1797">
        <v>57596</v>
      </c>
      <c r="E1797">
        <v>96</v>
      </c>
      <c r="F1797" t="s">
        <v>14</v>
      </c>
      <c r="G1797">
        <v>4</v>
      </c>
      <c r="H1797">
        <v>1</v>
      </c>
    </row>
    <row r="1798" spans="1:8">
      <c r="A1798">
        <v>1797</v>
      </c>
      <c r="B1798" t="s">
        <v>11</v>
      </c>
      <c r="C1798">
        <v>67</v>
      </c>
      <c r="D1798">
        <v>78489</v>
      </c>
      <c r="E1798">
        <v>81</v>
      </c>
      <c r="F1798" t="s">
        <v>14</v>
      </c>
      <c r="G1798">
        <v>7</v>
      </c>
      <c r="H1798">
        <v>5</v>
      </c>
    </row>
    <row r="1799" spans="1:8">
      <c r="A1799">
        <v>1798</v>
      </c>
      <c r="B1799" t="s">
        <v>8</v>
      </c>
      <c r="C1799">
        <v>50</v>
      </c>
      <c r="D1799">
        <v>112957</v>
      </c>
      <c r="E1799">
        <v>71</v>
      </c>
      <c r="F1799" t="s">
        <v>15</v>
      </c>
      <c r="G1799">
        <v>5</v>
      </c>
      <c r="H1799">
        <v>3</v>
      </c>
    </row>
    <row r="1800" spans="1:8">
      <c r="A1800">
        <v>1799</v>
      </c>
      <c r="B1800" t="s">
        <v>8</v>
      </c>
      <c r="C1800">
        <v>72</v>
      </c>
      <c r="D1800">
        <v>82377</v>
      </c>
      <c r="E1800">
        <v>37</v>
      </c>
      <c r="F1800" t="s">
        <v>10</v>
      </c>
      <c r="G1800">
        <v>9</v>
      </c>
      <c r="H1800">
        <v>2</v>
      </c>
    </row>
    <row r="1801" spans="1:8">
      <c r="A1801">
        <v>1800</v>
      </c>
      <c r="B1801" t="s">
        <v>8</v>
      </c>
      <c r="C1801">
        <v>76</v>
      </c>
      <c r="D1801">
        <v>82315</v>
      </c>
      <c r="E1801">
        <v>53</v>
      </c>
      <c r="F1801" t="s">
        <v>10</v>
      </c>
      <c r="G1801">
        <v>6</v>
      </c>
      <c r="H1801">
        <v>1</v>
      </c>
    </row>
    <row r="1802" spans="1:8">
      <c r="A1802">
        <v>1801</v>
      </c>
      <c r="B1802" t="s">
        <v>8</v>
      </c>
      <c r="C1802">
        <v>80</v>
      </c>
      <c r="D1802">
        <v>93253</v>
      </c>
      <c r="E1802">
        <v>51</v>
      </c>
      <c r="F1802" t="s">
        <v>14</v>
      </c>
      <c r="G1802">
        <v>4</v>
      </c>
      <c r="H1802">
        <v>5</v>
      </c>
    </row>
    <row r="1803" spans="1:8">
      <c r="A1803">
        <v>1802</v>
      </c>
      <c r="B1803" t="s">
        <v>8</v>
      </c>
      <c r="C1803">
        <v>20</v>
      </c>
      <c r="D1803">
        <v>189650</v>
      </c>
      <c r="E1803">
        <v>60</v>
      </c>
      <c r="F1803" t="s">
        <v>12</v>
      </c>
      <c r="G1803">
        <v>8</v>
      </c>
      <c r="H1803">
        <v>4</v>
      </c>
    </row>
    <row r="1804" spans="1:8">
      <c r="A1804">
        <v>1803</v>
      </c>
      <c r="B1804" t="s">
        <v>11</v>
      </c>
      <c r="C1804">
        <v>89</v>
      </c>
      <c r="D1804">
        <v>114858</v>
      </c>
      <c r="E1804">
        <v>53</v>
      </c>
      <c r="F1804" t="s">
        <v>14</v>
      </c>
      <c r="G1804">
        <v>10</v>
      </c>
      <c r="H1804">
        <v>1</v>
      </c>
    </row>
    <row r="1805" spans="1:8">
      <c r="A1805">
        <v>1804</v>
      </c>
      <c r="B1805" t="s">
        <v>11</v>
      </c>
      <c r="C1805">
        <v>18</v>
      </c>
      <c r="D1805">
        <v>62151</v>
      </c>
      <c r="E1805">
        <v>18</v>
      </c>
      <c r="F1805" t="s">
        <v>14</v>
      </c>
      <c r="G1805">
        <v>8</v>
      </c>
      <c r="H1805">
        <v>2</v>
      </c>
    </row>
    <row r="1806" spans="1:8">
      <c r="A1806">
        <v>1805</v>
      </c>
      <c r="B1806" t="s">
        <v>11</v>
      </c>
      <c r="C1806">
        <v>75</v>
      </c>
      <c r="D1806">
        <v>135159</v>
      </c>
      <c r="E1806">
        <v>12</v>
      </c>
      <c r="F1806" t="s">
        <v>10</v>
      </c>
      <c r="G1806">
        <v>7</v>
      </c>
      <c r="H1806">
        <v>6</v>
      </c>
    </row>
    <row r="1807" spans="1:8">
      <c r="A1807">
        <v>1806</v>
      </c>
      <c r="B1807" t="s">
        <v>11</v>
      </c>
      <c r="C1807">
        <v>5</v>
      </c>
      <c r="D1807">
        <v>126263</v>
      </c>
      <c r="E1807">
        <v>55</v>
      </c>
      <c r="F1807" t="s">
        <v>18</v>
      </c>
      <c r="G1807">
        <v>6</v>
      </c>
      <c r="H1807">
        <v>3</v>
      </c>
    </row>
    <row r="1808" spans="1:8">
      <c r="A1808">
        <v>1807</v>
      </c>
      <c r="B1808" t="s">
        <v>11</v>
      </c>
      <c r="C1808">
        <v>79</v>
      </c>
      <c r="D1808">
        <v>123064</v>
      </c>
      <c r="E1808">
        <v>41</v>
      </c>
      <c r="F1808" t="s">
        <v>14</v>
      </c>
      <c r="G1808">
        <v>10</v>
      </c>
      <c r="H1808">
        <v>4</v>
      </c>
    </row>
    <row r="1809" spans="1:8">
      <c r="A1809">
        <v>1808</v>
      </c>
      <c r="B1809" t="s">
        <v>11</v>
      </c>
      <c r="C1809">
        <v>31</v>
      </c>
      <c r="D1809">
        <v>181773</v>
      </c>
      <c r="E1809">
        <v>40</v>
      </c>
      <c r="F1809" t="s">
        <v>9</v>
      </c>
      <c r="G1809">
        <v>8</v>
      </c>
      <c r="H1809">
        <v>1</v>
      </c>
    </row>
    <row r="1810" spans="1:8">
      <c r="A1810">
        <v>1809</v>
      </c>
      <c r="B1810" t="s">
        <v>8</v>
      </c>
      <c r="C1810">
        <v>92</v>
      </c>
      <c r="D1810">
        <v>171794</v>
      </c>
      <c r="E1810">
        <v>65</v>
      </c>
      <c r="F1810" t="s">
        <v>14</v>
      </c>
      <c r="G1810">
        <v>6</v>
      </c>
      <c r="H1810">
        <v>5</v>
      </c>
    </row>
    <row r="1811" spans="1:8">
      <c r="A1811">
        <v>1810</v>
      </c>
      <c r="B1811" t="s">
        <v>11</v>
      </c>
      <c r="C1811">
        <v>15</v>
      </c>
      <c r="D1811">
        <v>156339</v>
      </c>
      <c r="E1811">
        <v>27</v>
      </c>
      <c r="F1811" t="s">
        <v>17</v>
      </c>
      <c r="G1811">
        <v>6</v>
      </c>
      <c r="H1811">
        <v>2</v>
      </c>
    </row>
    <row r="1812" spans="1:8">
      <c r="A1812">
        <v>1811</v>
      </c>
      <c r="B1812" t="s">
        <v>8</v>
      </c>
      <c r="C1812">
        <v>94</v>
      </c>
      <c r="D1812">
        <v>65483</v>
      </c>
      <c r="E1812">
        <v>84</v>
      </c>
      <c r="F1812" t="s">
        <v>18</v>
      </c>
      <c r="G1812">
        <v>10</v>
      </c>
      <c r="H1812">
        <v>7</v>
      </c>
    </row>
    <row r="1813" spans="1:8">
      <c r="A1813">
        <v>1812</v>
      </c>
      <c r="B1813" t="s">
        <v>11</v>
      </c>
      <c r="C1813">
        <v>35</v>
      </c>
      <c r="D1813">
        <v>145654</v>
      </c>
      <c r="E1813">
        <v>22</v>
      </c>
      <c r="F1813" t="s">
        <v>15</v>
      </c>
      <c r="G1813">
        <v>6</v>
      </c>
      <c r="H1813">
        <v>3</v>
      </c>
    </row>
    <row r="1814" spans="1:8">
      <c r="A1814">
        <v>1813</v>
      </c>
      <c r="B1814" t="s">
        <v>11</v>
      </c>
      <c r="C1814">
        <v>68</v>
      </c>
      <c r="D1814">
        <v>91609</v>
      </c>
      <c r="E1814">
        <v>43</v>
      </c>
      <c r="F1814" t="s">
        <v>13</v>
      </c>
      <c r="G1814">
        <v>8</v>
      </c>
      <c r="H1814">
        <v>1</v>
      </c>
    </row>
    <row r="1815" spans="1:8">
      <c r="A1815">
        <v>1814</v>
      </c>
      <c r="B1815" t="s">
        <v>11</v>
      </c>
      <c r="C1815">
        <v>29</v>
      </c>
      <c r="D1815">
        <v>53002</v>
      </c>
      <c r="E1815">
        <v>73</v>
      </c>
      <c r="F1815" t="s">
        <v>12</v>
      </c>
      <c r="G1815">
        <v>5</v>
      </c>
      <c r="H1815">
        <v>5</v>
      </c>
    </row>
    <row r="1816" spans="1:8">
      <c r="A1816">
        <v>1815</v>
      </c>
      <c r="B1816" t="s">
        <v>8</v>
      </c>
      <c r="C1816">
        <v>87</v>
      </c>
      <c r="D1816">
        <v>115699</v>
      </c>
      <c r="E1816">
        <v>61</v>
      </c>
      <c r="F1816" t="s">
        <v>9</v>
      </c>
      <c r="G1816">
        <v>9</v>
      </c>
      <c r="H1816">
        <v>1</v>
      </c>
    </row>
    <row r="1817" spans="1:8">
      <c r="A1817">
        <v>1816</v>
      </c>
      <c r="B1817" t="s">
        <v>8</v>
      </c>
      <c r="C1817">
        <v>33</v>
      </c>
      <c r="D1817">
        <v>149609</v>
      </c>
      <c r="E1817">
        <v>44</v>
      </c>
      <c r="F1817" t="s">
        <v>15</v>
      </c>
      <c r="G1817">
        <v>9</v>
      </c>
      <c r="H1817">
        <v>2</v>
      </c>
    </row>
    <row r="1818" spans="1:8">
      <c r="A1818">
        <v>1817</v>
      </c>
      <c r="B1818" t="s">
        <v>11</v>
      </c>
      <c r="C1818">
        <v>29</v>
      </c>
      <c r="D1818">
        <v>165254</v>
      </c>
      <c r="E1818">
        <v>7</v>
      </c>
      <c r="F1818" t="s">
        <v>15</v>
      </c>
      <c r="G1818">
        <v>9</v>
      </c>
      <c r="H1818">
        <v>7</v>
      </c>
    </row>
    <row r="1819" spans="1:8">
      <c r="A1819">
        <v>1818</v>
      </c>
      <c r="B1819" t="s">
        <v>8</v>
      </c>
      <c r="C1819">
        <v>43</v>
      </c>
      <c r="D1819">
        <v>50418</v>
      </c>
      <c r="E1819">
        <v>49</v>
      </c>
      <c r="F1819" t="s">
        <v>9</v>
      </c>
      <c r="G1819">
        <v>5</v>
      </c>
      <c r="H1819">
        <v>1</v>
      </c>
    </row>
    <row r="1820" spans="1:8">
      <c r="A1820">
        <v>1819</v>
      </c>
      <c r="B1820" t="s">
        <v>8</v>
      </c>
      <c r="C1820">
        <v>43</v>
      </c>
      <c r="D1820">
        <v>103531</v>
      </c>
      <c r="E1820">
        <v>90</v>
      </c>
      <c r="F1820" t="s">
        <v>14</v>
      </c>
      <c r="G1820">
        <v>10</v>
      </c>
      <c r="H1820">
        <v>5</v>
      </c>
    </row>
    <row r="1821" spans="1:8">
      <c r="A1821">
        <v>1820</v>
      </c>
      <c r="B1821" t="s">
        <v>11</v>
      </c>
      <c r="C1821">
        <v>66</v>
      </c>
      <c r="D1821">
        <v>184060</v>
      </c>
      <c r="E1821">
        <v>98</v>
      </c>
      <c r="F1821" t="s">
        <v>14</v>
      </c>
      <c r="G1821">
        <v>10</v>
      </c>
      <c r="H1821">
        <v>5</v>
      </c>
    </row>
    <row r="1822" spans="1:8">
      <c r="A1822">
        <v>1821</v>
      </c>
      <c r="B1822" t="s">
        <v>8</v>
      </c>
      <c r="C1822">
        <v>23</v>
      </c>
      <c r="D1822">
        <v>75961</v>
      </c>
      <c r="E1822">
        <v>70</v>
      </c>
      <c r="F1822" t="s">
        <v>15</v>
      </c>
      <c r="G1822">
        <v>5</v>
      </c>
      <c r="H1822">
        <v>7</v>
      </c>
    </row>
    <row r="1823" spans="1:8">
      <c r="A1823">
        <v>1822</v>
      </c>
      <c r="B1823" t="s">
        <v>8</v>
      </c>
      <c r="C1823">
        <v>87</v>
      </c>
      <c r="D1823">
        <v>174163</v>
      </c>
      <c r="E1823">
        <v>28</v>
      </c>
      <c r="F1823" t="s">
        <v>14</v>
      </c>
      <c r="G1823">
        <v>4</v>
      </c>
      <c r="H1823">
        <v>2</v>
      </c>
    </row>
    <row r="1824" spans="1:8">
      <c r="A1824">
        <v>1823</v>
      </c>
      <c r="B1824" t="s">
        <v>11</v>
      </c>
      <c r="C1824">
        <v>81</v>
      </c>
      <c r="D1824">
        <v>105255</v>
      </c>
      <c r="E1824">
        <v>54</v>
      </c>
      <c r="F1824" t="s">
        <v>15</v>
      </c>
      <c r="G1824">
        <v>8</v>
      </c>
      <c r="H1824">
        <v>3</v>
      </c>
    </row>
    <row r="1825" spans="1:8">
      <c r="A1825">
        <v>1824</v>
      </c>
      <c r="B1825" t="s">
        <v>8</v>
      </c>
      <c r="C1825">
        <v>42</v>
      </c>
      <c r="D1825">
        <v>51860</v>
      </c>
      <c r="E1825">
        <v>4</v>
      </c>
      <c r="F1825" t="s">
        <v>12</v>
      </c>
      <c r="G1825">
        <v>4</v>
      </c>
      <c r="H1825">
        <v>5</v>
      </c>
    </row>
    <row r="1826" spans="1:8">
      <c r="A1826">
        <v>1825</v>
      </c>
      <c r="B1826" t="s">
        <v>11</v>
      </c>
      <c r="C1826">
        <v>32</v>
      </c>
      <c r="D1826">
        <v>185218</v>
      </c>
      <c r="E1826">
        <v>83</v>
      </c>
      <c r="F1826" t="s">
        <v>9</v>
      </c>
      <c r="G1826">
        <v>4</v>
      </c>
      <c r="H1826">
        <v>6</v>
      </c>
    </row>
    <row r="1827" spans="1:8">
      <c r="A1827">
        <v>1826</v>
      </c>
      <c r="B1827" t="s">
        <v>8</v>
      </c>
      <c r="C1827">
        <v>7</v>
      </c>
      <c r="D1827">
        <v>189709</v>
      </c>
      <c r="E1827">
        <v>18</v>
      </c>
      <c r="F1827" t="s">
        <v>14</v>
      </c>
      <c r="G1827">
        <v>6</v>
      </c>
      <c r="H1827">
        <v>6</v>
      </c>
    </row>
    <row r="1828" spans="1:8">
      <c r="A1828">
        <v>1827</v>
      </c>
      <c r="B1828" t="s">
        <v>11</v>
      </c>
      <c r="C1828">
        <v>91</v>
      </c>
      <c r="D1828">
        <v>134665</v>
      </c>
      <c r="E1828">
        <v>66</v>
      </c>
      <c r="F1828" t="s">
        <v>14</v>
      </c>
      <c r="G1828">
        <v>7</v>
      </c>
      <c r="H1828">
        <v>2</v>
      </c>
    </row>
    <row r="1829" spans="1:8">
      <c r="A1829">
        <v>1828</v>
      </c>
      <c r="B1829" t="s">
        <v>8</v>
      </c>
      <c r="C1829">
        <v>95</v>
      </c>
      <c r="D1829">
        <v>91352</v>
      </c>
      <c r="E1829">
        <v>9</v>
      </c>
      <c r="F1829" t="s">
        <v>16</v>
      </c>
      <c r="G1829">
        <v>7</v>
      </c>
      <c r="H1829">
        <v>3</v>
      </c>
    </row>
    <row r="1830" spans="1:8">
      <c r="A1830">
        <v>1829</v>
      </c>
      <c r="B1830" t="s">
        <v>11</v>
      </c>
      <c r="C1830">
        <v>10</v>
      </c>
      <c r="D1830">
        <v>154623</v>
      </c>
      <c r="E1830">
        <v>21</v>
      </c>
      <c r="F1830" t="s">
        <v>14</v>
      </c>
      <c r="G1830">
        <v>6</v>
      </c>
      <c r="H1830">
        <v>6</v>
      </c>
    </row>
    <row r="1831" spans="1:8">
      <c r="A1831">
        <v>1830</v>
      </c>
      <c r="B1831" t="s">
        <v>11</v>
      </c>
      <c r="C1831">
        <v>20</v>
      </c>
      <c r="D1831">
        <v>113767</v>
      </c>
      <c r="E1831">
        <v>88</v>
      </c>
      <c r="F1831" t="s">
        <v>14</v>
      </c>
      <c r="G1831">
        <v>6</v>
      </c>
      <c r="H1831">
        <v>2</v>
      </c>
    </row>
    <row r="1832" spans="1:8">
      <c r="A1832">
        <v>1831</v>
      </c>
      <c r="B1832" t="s">
        <v>8</v>
      </c>
      <c r="C1832">
        <v>5</v>
      </c>
      <c r="D1832">
        <v>160469</v>
      </c>
      <c r="E1832">
        <v>61</v>
      </c>
      <c r="F1832" t="s">
        <v>12</v>
      </c>
      <c r="G1832">
        <v>8</v>
      </c>
      <c r="H1832">
        <v>1</v>
      </c>
    </row>
    <row r="1833" spans="1:8">
      <c r="A1833">
        <v>1832</v>
      </c>
      <c r="B1833" t="s">
        <v>11</v>
      </c>
      <c r="C1833">
        <v>84</v>
      </c>
      <c r="D1833">
        <v>99418</v>
      </c>
      <c r="E1833">
        <v>27</v>
      </c>
      <c r="F1833" t="s">
        <v>14</v>
      </c>
      <c r="G1833">
        <v>4</v>
      </c>
      <c r="H1833">
        <v>2</v>
      </c>
    </row>
    <row r="1834" spans="1:8">
      <c r="A1834">
        <v>1833</v>
      </c>
      <c r="B1834" t="s">
        <v>8</v>
      </c>
      <c r="C1834">
        <v>54</v>
      </c>
      <c r="D1834">
        <v>56215</v>
      </c>
      <c r="E1834">
        <v>34</v>
      </c>
      <c r="F1834" t="s">
        <v>9</v>
      </c>
      <c r="G1834">
        <v>10</v>
      </c>
      <c r="H1834">
        <v>4</v>
      </c>
    </row>
    <row r="1835" spans="1:8">
      <c r="A1835">
        <v>1834</v>
      </c>
      <c r="B1835" t="s">
        <v>8</v>
      </c>
      <c r="C1835">
        <v>12</v>
      </c>
      <c r="D1835">
        <v>55639</v>
      </c>
      <c r="E1835">
        <v>63</v>
      </c>
      <c r="F1835" t="s">
        <v>9</v>
      </c>
      <c r="G1835">
        <v>8</v>
      </c>
      <c r="H1835">
        <v>1</v>
      </c>
    </row>
    <row r="1836" spans="1:8">
      <c r="A1836">
        <v>1835</v>
      </c>
      <c r="B1836" t="s">
        <v>11</v>
      </c>
      <c r="C1836">
        <v>90</v>
      </c>
      <c r="D1836">
        <v>62504</v>
      </c>
      <c r="E1836">
        <v>99</v>
      </c>
      <c r="F1836" t="s">
        <v>14</v>
      </c>
      <c r="G1836">
        <v>10</v>
      </c>
      <c r="H1836">
        <v>4</v>
      </c>
    </row>
    <row r="1837" spans="1:8">
      <c r="A1837">
        <v>1836</v>
      </c>
      <c r="B1837" t="s">
        <v>11</v>
      </c>
      <c r="C1837">
        <v>19</v>
      </c>
      <c r="D1837">
        <v>151382</v>
      </c>
      <c r="E1837">
        <v>38</v>
      </c>
      <c r="F1837" t="s">
        <v>12</v>
      </c>
      <c r="G1837">
        <v>1</v>
      </c>
      <c r="H1837">
        <v>1</v>
      </c>
    </row>
    <row r="1838" spans="1:8">
      <c r="A1838">
        <v>1837</v>
      </c>
      <c r="B1838" t="s">
        <v>11</v>
      </c>
      <c r="C1838">
        <v>91</v>
      </c>
      <c r="D1838">
        <v>156574</v>
      </c>
      <c r="E1838">
        <v>96</v>
      </c>
      <c r="F1838" t="s">
        <v>18</v>
      </c>
      <c r="G1838">
        <v>0</v>
      </c>
      <c r="H1838">
        <v>7</v>
      </c>
    </row>
    <row r="1839" spans="1:8">
      <c r="A1839">
        <v>1838</v>
      </c>
      <c r="B1839" t="s">
        <v>11</v>
      </c>
      <c r="C1839">
        <v>90</v>
      </c>
      <c r="D1839">
        <v>60998</v>
      </c>
      <c r="E1839">
        <v>35</v>
      </c>
      <c r="F1839" t="s">
        <v>13</v>
      </c>
      <c r="G1839">
        <v>1</v>
      </c>
      <c r="H1839">
        <v>7</v>
      </c>
    </row>
    <row r="1840" spans="1:8">
      <c r="A1840">
        <v>1839</v>
      </c>
      <c r="B1840" t="s">
        <v>11</v>
      </c>
      <c r="C1840">
        <v>60</v>
      </c>
      <c r="D1840">
        <v>108509</v>
      </c>
      <c r="E1840">
        <v>36</v>
      </c>
      <c r="F1840" t="s">
        <v>16</v>
      </c>
      <c r="G1840">
        <v>0</v>
      </c>
      <c r="H1840">
        <v>2</v>
      </c>
    </row>
    <row r="1841" spans="1:8">
      <c r="A1841">
        <v>1840</v>
      </c>
      <c r="B1841" t="s">
        <v>11</v>
      </c>
      <c r="C1841">
        <v>68</v>
      </c>
      <c r="D1841">
        <v>85540</v>
      </c>
      <c r="E1841">
        <v>49</v>
      </c>
      <c r="F1841" t="s">
        <v>17</v>
      </c>
      <c r="G1841">
        <v>9</v>
      </c>
      <c r="H1841">
        <v>1</v>
      </c>
    </row>
    <row r="1842" spans="1:8">
      <c r="A1842">
        <v>1841</v>
      </c>
      <c r="B1842" t="s">
        <v>11</v>
      </c>
      <c r="C1842">
        <v>43</v>
      </c>
      <c r="D1842">
        <v>73915</v>
      </c>
      <c r="E1842">
        <v>47</v>
      </c>
      <c r="F1842" t="s">
        <v>14</v>
      </c>
      <c r="G1842">
        <v>11</v>
      </c>
      <c r="H1842">
        <v>2</v>
      </c>
    </row>
    <row r="1843" spans="1:8">
      <c r="A1843">
        <v>1842</v>
      </c>
      <c r="B1843" t="s">
        <v>8</v>
      </c>
      <c r="C1843">
        <v>52</v>
      </c>
      <c r="D1843">
        <v>148901</v>
      </c>
      <c r="E1843">
        <v>77</v>
      </c>
      <c r="F1843" t="s">
        <v>9</v>
      </c>
      <c r="G1843">
        <v>4</v>
      </c>
      <c r="H1843">
        <v>4</v>
      </c>
    </row>
    <row r="1844" spans="1:8">
      <c r="A1844">
        <v>1843</v>
      </c>
      <c r="B1844" t="s">
        <v>8</v>
      </c>
      <c r="C1844">
        <v>81</v>
      </c>
      <c r="D1844">
        <v>152602</v>
      </c>
      <c r="E1844">
        <v>91</v>
      </c>
      <c r="F1844" t="s">
        <v>13</v>
      </c>
      <c r="G1844">
        <v>0</v>
      </c>
      <c r="H1844">
        <v>1</v>
      </c>
    </row>
    <row r="1845" spans="1:8">
      <c r="A1845">
        <v>1844</v>
      </c>
      <c r="B1845" t="s">
        <v>11</v>
      </c>
      <c r="C1845">
        <v>54</v>
      </c>
      <c r="D1845">
        <v>58999</v>
      </c>
      <c r="E1845">
        <v>22</v>
      </c>
      <c r="F1845" t="s">
        <v>13</v>
      </c>
      <c r="G1845">
        <v>7</v>
      </c>
      <c r="H1845">
        <v>3</v>
      </c>
    </row>
    <row r="1846" spans="1:8">
      <c r="A1846">
        <v>1845</v>
      </c>
      <c r="B1846" t="s">
        <v>11</v>
      </c>
      <c r="C1846">
        <v>43</v>
      </c>
      <c r="D1846">
        <v>133740</v>
      </c>
      <c r="E1846">
        <v>37</v>
      </c>
      <c r="F1846" t="s">
        <v>14</v>
      </c>
      <c r="G1846">
        <v>5</v>
      </c>
      <c r="H1846">
        <v>4</v>
      </c>
    </row>
    <row r="1847" spans="1:8">
      <c r="A1847">
        <v>1846</v>
      </c>
      <c r="B1847" t="s">
        <v>11</v>
      </c>
      <c r="C1847">
        <v>20</v>
      </c>
      <c r="D1847">
        <v>113217</v>
      </c>
      <c r="E1847">
        <v>41</v>
      </c>
      <c r="F1847" t="s">
        <v>12</v>
      </c>
      <c r="G1847">
        <v>9</v>
      </c>
      <c r="H1847">
        <v>1</v>
      </c>
    </row>
    <row r="1848" spans="1:8">
      <c r="A1848">
        <v>1847</v>
      </c>
      <c r="B1848" t="s">
        <v>11</v>
      </c>
      <c r="C1848">
        <v>71</v>
      </c>
      <c r="D1848">
        <v>60209</v>
      </c>
      <c r="E1848">
        <v>46</v>
      </c>
      <c r="F1848" t="s">
        <v>14</v>
      </c>
      <c r="G1848">
        <v>1</v>
      </c>
      <c r="H1848">
        <v>3</v>
      </c>
    </row>
    <row r="1849" spans="1:8">
      <c r="A1849">
        <v>1848</v>
      </c>
      <c r="B1849" t="s">
        <v>11</v>
      </c>
      <c r="C1849">
        <v>26</v>
      </c>
      <c r="D1849">
        <v>145491</v>
      </c>
      <c r="E1849">
        <v>72</v>
      </c>
      <c r="F1849" t="s">
        <v>13</v>
      </c>
      <c r="G1849">
        <v>9</v>
      </c>
      <c r="H1849">
        <v>5</v>
      </c>
    </row>
    <row r="1850" spans="1:8">
      <c r="A1850">
        <v>1849</v>
      </c>
      <c r="B1850" t="s">
        <v>11</v>
      </c>
      <c r="C1850">
        <v>75</v>
      </c>
      <c r="D1850">
        <v>61393</v>
      </c>
      <c r="E1850">
        <v>65</v>
      </c>
      <c r="F1850" t="s">
        <v>16</v>
      </c>
      <c r="G1850">
        <v>7</v>
      </c>
      <c r="H1850">
        <v>5</v>
      </c>
    </row>
    <row r="1851" spans="1:8">
      <c r="A1851">
        <v>1850</v>
      </c>
      <c r="B1851" t="s">
        <v>11</v>
      </c>
      <c r="C1851">
        <v>52</v>
      </c>
      <c r="D1851">
        <v>133252</v>
      </c>
      <c r="E1851">
        <v>55</v>
      </c>
      <c r="F1851" t="s">
        <v>14</v>
      </c>
      <c r="G1851">
        <v>1</v>
      </c>
      <c r="H1851">
        <v>1</v>
      </c>
    </row>
    <row r="1852" spans="1:8">
      <c r="A1852">
        <v>1851</v>
      </c>
      <c r="B1852" t="s">
        <v>11</v>
      </c>
      <c r="C1852">
        <v>40</v>
      </c>
      <c r="D1852">
        <v>187234</v>
      </c>
      <c r="E1852">
        <v>14</v>
      </c>
      <c r="F1852" t="s">
        <v>16</v>
      </c>
      <c r="G1852">
        <v>0</v>
      </c>
      <c r="H1852">
        <v>5</v>
      </c>
    </row>
    <row r="1853" spans="1:8">
      <c r="A1853">
        <v>1852</v>
      </c>
      <c r="B1853" t="s">
        <v>8</v>
      </c>
      <c r="C1853">
        <v>5</v>
      </c>
      <c r="D1853">
        <v>145563</v>
      </c>
      <c r="E1853">
        <v>60</v>
      </c>
      <c r="F1853" t="s">
        <v>13</v>
      </c>
      <c r="G1853">
        <v>9</v>
      </c>
      <c r="H1853">
        <v>6</v>
      </c>
    </row>
    <row r="1854" spans="1:8">
      <c r="A1854">
        <v>1853</v>
      </c>
      <c r="B1854" t="s">
        <v>11</v>
      </c>
      <c r="C1854">
        <v>46</v>
      </c>
      <c r="D1854">
        <v>165810</v>
      </c>
      <c r="E1854">
        <v>38</v>
      </c>
      <c r="F1854" t="s">
        <v>9</v>
      </c>
      <c r="G1854">
        <v>3</v>
      </c>
      <c r="H1854">
        <v>5</v>
      </c>
    </row>
    <row r="1855" spans="1:8">
      <c r="A1855">
        <v>1854</v>
      </c>
      <c r="B1855" t="s">
        <v>8</v>
      </c>
      <c r="C1855">
        <v>98</v>
      </c>
      <c r="D1855">
        <v>125181</v>
      </c>
      <c r="E1855">
        <v>30</v>
      </c>
      <c r="F1855" t="s">
        <v>14</v>
      </c>
      <c r="G1855">
        <v>0</v>
      </c>
      <c r="H1855">
        <v>7</v>
      </c>
    </row>
    <row r="1856" spans="1:8">
      <c r="A1856">
        <v>1855</v>
      </c>
      <c r="B1856" t="s">
        <v>11</v>
      </c>
      <c r="C1856">
        <v>84</v>
      </c>
      <c r="D1856">
        <v>56809</v>
      </c>
      <c r="E1856">
        <v>96</v>
      </c>
      <c r="F1856" t="s">
        <v>9</v>
      </c>
      <c r="G1856">
        <v>1</v>
      </c>
      <c r="H1856">
        <v>2</v>
      </c>
    </row>
    <row r="1857" spans="1:8">
      <c r="A1857">
        <v>1856</v>
      </c>
      <c r="B1857" t="s">
        <v>8</v>
      </c>
      <c r="C1857">
        <v>35</v>
      </c>
      <c r="D1857">
        <v>69419</v>
      </c>
      <c r="E1857">
        <v>68</v>
      </c>
      <c r="F1857" t="s">
        <v>9</v>
      </c>
      <c r="G1857">
        <v>9</v>
      </c>
      <c r="H1857">
        <v>1</v>
      </c>
    </row>
    <row r="1858" spans="1:8">
      <c r="A1858">
        <v>1857</v>
      </c>
      <c r="B1858" t="s">
        <v>11</v>
      </c>
      <c r="C1858">
        <v>78</v>
      </c>
      <c r="D1858">
        <v>70689</v>
      </c>
      <c r="E1858">
        <v>54</v>
      </c>
      <c r="F1858" t="s">
        <v>14</v>
      </c>
      <c r="G1858">
        <v>1</v>
      </c>
      <c r="H1858">
        <v>4</v>
      </c>
    </row>
    <row r="1859" spans="1:8">
      <c r="A1859">
        <v>1858</v>
      </c>
      <c r="B1859" t="s">
        <v>8</v>
      </c>
      <c r="C1859">
        <v>64</v>
      </c>
      <c r="D1859">
        <v>55011</v>
      </c>
      <c r="E1859">
        <v>53</v>
      </c>
      <c r="F1859" t="s">
        <v>14</v>
      </c>
      <c r="G1859">
        <v>1</v>
      </c>
      <c r="H1859">
        <v>7</v>
      </c>
    </row>
    <row r="1860" spans="1:8">
      <c r="A1860">
        <v>1859</v>
      </c>
      <c r="B1860" t="s">
        <v>11</v>
      </c>
      <c r="C1860">
        <v>98</v>
      </c>
      <c r="D1860">
        <v>87955</v>
      </c>
      <c r="E1860">
        <v>79</v>
      </c>
      <c r="F1860" t="s">
        <v>10</v>
      </c>
      <c r="G1860">
        <v>0</v>
      </c>
      <c r="H1860">
        <v>2</v>
      </c>
    </row>
    <row r="1861" spans="1:8">
      <c r="A1861">
        <v>1860</v>
      </c>
      <c r="B1861" t="s">
        <v>8</v>
      </c>
      <c r="C1861">
        <v>66</v>
      </c>
      <c r="D1861">
        <v>153660</v>
      </c>
      <c r="E1861">
        <v>24</v>
      </c>
      <c r="F1861" t="s">
        <v>9</v>
      </c>
      <c r="G1861">
        <v>0</v>
      </c>
      <c r="H1861">
        <v>5</v>
      </c>
    </row>
    <row r="1862" spans="1:8">
      <c r="A1862">
        <v>1861</v>
      </c>
      <c r="B1862" t="s">
        <v>8</v>
      </c>
      <c r="C1862">
        <v>32</v>
      </c>
      <c r="D1862">
        <v>104494</v>
      </c>
      <c r="E1862">
        <v>28</v>
      </c>
      <c r="F1862" t="s">
        <v>9</v>
      </c>
      <c r="G1862">
        <v>6</v>
      </c>
      <c r="H1862">
        <v>4</v>
      </c>
    </row>
    <row r="1863" spans="1:8">
      <c r="A1863">
        <v>1862</v>
      </c>
      <c r="B1863" t="s">
        <v>8</v>
      </c>
      <c r="C1863">
        <v>22</v>
      </c>
      <c r="D1863">
        <v>184443</v>
      </c>
      <c r="E1863">
        <v>44</v>
      </c>
      <c r="F1863" t="s">
        <v>15</v>
      </c>
      <c r="G1863">
        <v>3</v>
      </c>
      <c r="H1863">
        <v>7</v>
      </c>
    </row>
    <row r="1864" spans="1:8">
      <c r="A1864">
        <v>1863</v>
      </c>
      <c r="B1864" t="s">
        <v>11</v>
      </c>
      <c r="C1864">
        <v>17</v>
      </c>
      <c r="D1864">
        <v>150778</v>
      </c>
      <c r="E1864">
        <v>35</v>
      </c>
      <c r="F1864" t="s">
        <v>13</v>
      </c>
      <c r="G1864">
        <v>1</v>
      </c>
      <c r="H1864">
        <v>7</v>
      </c>
    </row>
    <row r="1865" spans="1:8">
      <c r="A1865">
        <v>1864</v>
      </c>
      <c r="B1865" t="s">
        <v>11</v>
      </c>
      <c r="C1865">
        <v>22</v>
      </c>
      <c r="D1865">
        <v>88729</v>
      </c>
      <c r="E1865">
        <v>81</v>
      </c>
      <c r="F1865" t="s">
        <v>10</v>
      </c>
      <c r="G1865">
        <v>1</v>
      </c>
      <c r="H1865">
        <v>1</v>
      </c>
    </row>
    <row r="1866" spans="1:8">
      <c r="A1866">
        <v>1865</v>
      </c>
      <c r="B1866" t="s">
        <v>8</v>
      </c>
      <c r="C1866">
        <v>9</v>
      </c>
      <c r="D1866">
        <v>151902</v>
      </c>
      <c r="E1866">
        <v>18</v>
      </c>
      <c r="F1866" t="s">
        <v>14</v>
      </c>
      <c r="G1866">
        <v>0</v>
      </c>
      <c r="H1866">
        <v>2</v>
      </c>
    </row>
    <row r="1867" spans="1:8">
      <c r="A1867">
        <v>1866</v>
      </c>
      <c r="B1867" t="s">
        <v>8</v>
      </c>
      <c r="C1867">
        <v>24</v>
      </c>
      <c r="D1867">
        <v>51604</v>
      </c>
      <c r="E1867">
        <v>4</v>
      </c>
      <c r="F1867" t="s">
        <v>14</v>
      </c>
      <c r="G1867">
        <v>0</v>
      </c>
      <c r="H1867">
        <v>2</v>
      </c>
    </row>
    <row r="1868" spans="1:8">
      <c r="A1868">
        <v>1867</v>
      </c>
      <c r="B1868" t="s">
        <v>11</v>
      </c>
      <c r="C1868">
        <v>8</v>
      </c>
      <c r="D1868">
        <v>157316</v>
      </c>
      <c r="E1868">
        <v>75</v>
      </c>
      <c r="F1868" t="s">
        <v>14</v>
      </c>
      <c r="G1868">
        <v>9</v>
      </c>
      <c r="H1868">
        <v>3</v>
      </c>
    </row>
    <row r="1869" spans="1:8">
      <c r="A1869">
        <v>1868</v>
      </c>
      <c r="B1869" t="s">
        <v>11</v>
      </c>
      <c r="C1869">
        <v>52</v>
      </c>
      <c r="D1869">
        <v>125508</v>
      </c>
      <c r="E1869">
        <v>15</v>
      </c>
      <c r="F1869" t="s">
        <v>14</v>
      </c>
      <c r="G1869">
        <v>1</v>
      </c>
      <c r="H1869">
        <v>6</v>
      </c>
    </row>
    <row r="1870" spans="1:8">
      <c r="A1870">
        <v>1869</v>
      </c>
      <c r="B1870" t="s">
        <v>8</v>
      </c>
      <c r="C1870">
        <v>62</v>
      </c>
      <c r="D1870">
        <v>186157</v>
      </c>
      <c r="E1870">
        <v>54</v>
      </c>
      <c r="F1870" t="s">
        <v>9</v>
      </c>
      <c r="G1870">
        <v>1</v>
      </c>
      <c r="H1870">
        <v>1</v>
      </c>
    </row>
    <row r="1871" spans="1:8">
      <c r="A1871">
        <v>1870</v>
      </c>
      <c r="B1871" t="s">
        <v>11</v>
      </c>
      <c r="C1871">
        <v>37</v>
      </c>
      <c r="D1871">
        <v>169381</v>
      </c>
      <c r="E1871">
        <v>45</v>
      </c>
      <c r="F1871" t="s">
        <v>13</v>
      </c>
      <c r="G1871">
        <v>0</v>
      </c>
      <c r="H1871">
        <v>4</v>
      </c>
    </row>
    <row r="1872" spans="1:8">
      <c r="A1872">
        <v>1871</v>
      </c>
      <c r="B1872" t="s">
        <v>8</v>
      </c>
      <c r="C1872">
        <v>68</v>
      </c>
      <c r="D1872">
        <v>110195</v>
      </c>
      <c r="E1872">
        <v>47</v>
      </c>
      <c r="F1872" t="s">
        <v>17</v>
      </c>
      <c r="G1872">
        <v>9</v>
      </c>
      <c r="H1872">
        <v>2</v>
      </c>
    </row>
    <row r="1873" spans="1:8">
      <c r="A1873">
        <v>1872</v>
      </c>
      <c r="B1873" t="s">
        <v>11</v>
      </c>
      <c r="C1873">
        <v>63</v>
      </c>
      <c r="D1873">
        <v>81199</v>
      </c>
      <c r="E1873">
        <v>80</v>
      </c>
      <c r="F1873" t="s">
        <v>13</v>
      </c>
      <c r="G1873">
        <v>1</v>
      </c>
      <c r="H1873">
        <v>2</v>
      </c>
    </row>
    <row r="1874" spans="1:8">
      <c r="A1874">
        <v>1873</v>
      </c>
      <c r="B1874" t="s">
        <v>11</v>
      </c>
      <c r="C1874">
        <v>15</v>
      </c>
      <c r="D1874">
        <v>58459</v>
      </c>
      <c r="E1874">
        <v>67</v>
      </c>
      <c r="F1874" t="s">
        <v>15</v>
      </c>
      <c r="G1874">
        <v>0</v>
      </c>
      <c r="H1874">
        <v>6</v>
      </c>
    </row>
    <row r="1875" spans="1:8">
      <c r="A1875">
        <v>1874</v>
      </c>
      <c r="B1875" t="s">
        <v>11</v>
      </c>
      <c r="C1875">
        <v>44</v>
      </c>
      <c r="D1875">
        <v>173682</v>
      </c>
      <c r="E1875">
        <v>89</v>
      </c>
      <c r="F1875" t="s">
        <v>14</v>
      </c>
      <c r="G1875">
        <v>12</v>
      </c>
      <c r="H1875">
        <v>6</v>
      </c>
    </row>
    <row r="1876" spans="1:8">
      <c r="A1876">
        <v>1875</v>
      </c>
      <c r="B1876" t="s">
        <v>8</v>
      </c>
      <c r="C1876">
        <v>18</v>
      </c>
      <c r="D1876">
        <v>162983</v>
      </c>
      <c r="E1876">
        <v>16</v>
      </c>
      <c r="F1876" t="s">
        <v>13</v>
      </c>
      <c r="G1876">
        <v>0</v>
      </c>
      <c r="H1876">
        <v>6</v>
      </c>
    </row>
    <row r="1877" spans="1:8">
      <c r="A1877">
        <v>1876</v>
      </c>
      <c r="B1877" t="s">
        <v>8</v>
      </c>
      <c r="C1877">
        <v>30</v>
      </c>
      <c r="D1877">
        <v>94480</v>
      </c>
      <c r="E1877">
        <v>1</v>
      </c>
      <c r="F1877" t="s">
        <v>15</v>
      </c>
      <c r="G1877">
        <v>0</v>
      </c>
      <c r="H1877">
        <v>4</v>
      </c>
    </row>
    <row r="1878" spans="1:8">
      <c r="A1878">
        <v>1877</v>
      </c>
      <c r="B1878" t="s">
        <v>11</v>
      </c>
      <c r="C1878">
        <v>69</v>
      </c>
      <c r="D1878">
        <v>168710</v>
      </c>
      <c r="E1878">
        <v>80</v>
      </c>
      <c r="F1878" t="s">
        <v>16</v>
      </c>
      <c r="G1878">
        <v>1</v>
      </c>
      <c r="H1878">
        <v>4</v>
      </c>
    </row>
    <row r="1879" spans="1:8">
      <c r="A1879">
        <v>1878</v>
      </c>
      <c r="B1879" t="s">
        <v>8</v>
      </c>
      <c r="C1879">
        <v>16</v>
      </c>
      <c r="D1879">
        <v>150193</v>
      </c>
      <c r="E1879">
        <v>83</v>
      </c>
      <c r="F1879" t="s">
        <v>10</v>
      </c>
      <c r="G1879">
        <v>2</v>
      </c>
      <c r="H1879">
        <v>2</v>
      </c>
    </row>
    <row r="1880" spans="1:8">
      <c r="A1880">
        <v>1879</v>
      </c>
      <c r="B1880" t="s">
        <v>11</v>
      </c>
      <c r="C1880">
        <v>71</v>
      </c>
      <c r="D1880">
        <v>91823</v>
      </c>
      <c r="E1880">
        <v>74</v>
      </c>
      <c r="F1880" t="s">
        <v>14</v>
      </c>
      <c r="G1880">
        <v>1</v>
      </c>
      <c r="H1880">
        <v>4</v>
      </c>
    </row>
    <row r="1881" spans="1:8">
      <c r="A1881">
        <v>1880</v>
      </c>
      <c r="B1881" t="s">
        <v>11</v>
      </c>
      <c r="C1881">
        <v>24</v>
      </c>
      <c r="D1881">
        <v>173091</v>
      </c>
      <c r="E1881">
        <v>24</v>
      </c>
      <c r="F1881" t="s">
        <v>13</v>
      </c>
      <c r="G1881">
        <v>6</v>
      </c>
      <c r="H1881">
        <v>2</v>
      </c>
    </row>
    <row r="1882" spans="1:8">
      <c r="A1882">
        <v>1881</v>
      </c>
      <c r="B1882" t="s">
        <v>8</v>
      </c>
      <c r="C1882">
        <v>57</v>
      </c>
      <c r="D1882">
        <v>102692</v>
      </c>
      <c r="E1882">
        <v>94</v>
      </c>
      <c r="F1882" t="s">
        <v>9</v>
      </c>
      <c r="G1882">
        <v>0</v>
      </c>
      <c r="H1882">
        <v>2</v>
      </c>
    </row>
    <row r="1883" spans="1:8">
      <c r="A1883">
        <v>1882</v>
      </c>
      <c r="B1883" t="s">
        <v>8</v>
      </c>
      <c r="C1883">
        <v>97</v>
      </c>
      <c r="D1883">
        <v>156812</v>
      </c>
      <c r="E1883">
        <v>77</v>
      </c>
      <c r="F1883" t="s">
        <v>9</v>
      </c>
      <c r="G1883">
        <v>0</v>
      </c>
      <c r="H1883">
        <v>6</v>
      </c>
    </row>
    <row r="1884" spans="1:8">
      <c r="A1884">
        <v>1883</v>
      </c>
      <c r="B1884" t="s">
        <v>8</v>
      </c>
      <c r="C1884">
        <v>68</v>
      </c>
      <c r="D1884">
        <v>51468</v>
      </c>
      <c r="E1884">
        <v>48</v>
      </c>
      <c r="F1884" t="s">
        <v>14</v>
      </c>
      <c r="G1884">
        <v>0</v>
      </c>
      <c r="H1884">
        <v>3</v>
      </c>
    </row>
    <row r="1885" spans="1:8">
      <c r="A1885">
        <v>1884</v>
      </c>
      <c r="B1885" t="s">
        <v>11</v>
      </c>
      <c r="C1885">
        <v>11</v>
      </c>
      <c r="D1885">
        <v>114071</v>
      </c>
      <c r="E1885">
        <v>37</v>
      </c>
      <c r="F1885" t="s">
        <v>9</v>
      </c>
      <c r="G1885">
        <v>0</v>
      </c>
      <c r="H1885">
        <v>2</v>
      </c>
    </row>
    <row r="1886" spans="1:8">
      <c r="A1886">
        <v>1885</v>
      </c>
      <c r="B1886" t="s">
        <v>11</v>
      </c>
      <c r="C1886">
        <v>63</v>
      </c>
      <c r="D1886">
        <v>155638</v>
      </c>
      <c r="E1886">
        <v>81</v>
      </c>
      <c r="G1886">
        <v>1</v>
      </c>
      <c r="H1886">
        <v>4</v>
      </c>
    </row>
    <row r="1887" spans="1:8">
      <c r="A1887">
        <v>1886</v>
      </c>
      <c r="B1887" t="s">
        <v>8</v>
      </c>
      <c r="C1887">
        <v>68</v>
      </c>
      <c r="D1887">
        <v>129971</v>
      </c>
      <c r="E1887">
        <v>61</v>
      </c>
      <c r="F1887" t="s">
        <v>14</v>
      </c>
      <c r="G1887">
        <v>8</v>
      </c>
      <c r="H1887">
        <v>3</v>
      </c>
    </row>
    <row r="1888" spans="1:8">
      <c r="A1888">
        <v>1887</v>
      </c>
      <c r="B1888" t="s">
        <v>11</v>
      </c>
      <c r="C1888">
        <v>69</v>
      </c>
      <c r="D1888">
        <v>104160</v>
      </c>
      <c r="E1888">
        <v>77</v>
      </c>
      <c r="F1888" t="s">
        <v>10</v>
      </c>
      <c r="G1888">
        <v>4</v>
      </c>
      <c r="H1888">
        <v>4</v>
      </c>
    </row>
    <row r="1889" spans="1:8">
      <c r="A1889">
        <v>1888</v>
      </c>
      <c r="B1889" t="s">
        <v>11</v>
      </c>
      <c r="C1889">
        <v>77</v>
      </c>
      <c r="D1889">
        <v>124995</v>
      </c>
      <c r="E1889">
        <v>66</v>
      </c>
      <c r="F1889" t="s">
        <v>9</v>
      </c>
      <c r="G1889">
        <v>0</v>
      </c>
      <c r="H1889">
        <v>1</v>
      </c>
    </row>
    <row r="1890" spans="1:8">
      <c r="A1890">
        <v>1889</v>
      </c>
      <c r="B1890" t="s">
        <v>11</v>
      </c>
      <c r="C1890">
        <v>73</v>
      </c>
      <c r="D1890">
        <v>180437</v>
      </c>
      <c r="E1890">
        <v>50</v>
      </c>
      <c r="F1890" t="s">
        <v>13</v>
      </c>
      <c r="G1890">
        <v>1</v>
      </c>
      <c r="H1890">
        <v>5</v>
      </c>
    </row>
    <row r="1891" spans="1:8">
      <c r="A1891">
        <v>1890</v>
      </c>
      <c r="B1891" t="s">
        <v>11</v>
      </c>
      <c r="C1891">
        <v>19</v>
      </c>
      <c r="D1891">
        <v>134644</v>
      </c>
      <c r="E1891">
        <v>96</v>
      </c>
      <c r="F1891" t="s">
        <v>15</v>
      </c>
      <c r="G1891">
        <v>1</v>
      </c>
      <c r="H1891">
        <v>2</v>
      </c>
    </row>
    <row r="1892" spans="1:8">
      <c r="A1892">
        <v>1891</v>
      </c>
      <c r="B1892" t="s">
        <v>11</v>
      </c>
      <c r="C1892">
        <v>1</v>
      </c>
      <c r="D1892">
        <v>130089</v>
      </c>
      <c r="E1892">
        <v>67</v>
      </c>
      <c r="F1892" t="s">
        <v>14</v>
      </c>
      <c r="G1892">
        <v>0</v>
      </c>
      <c r="H1892">
        <v>5</v>
      </c>
    </row>
    <row r="1893" spans="1:8">
      <c r="A1893">
        <v>1892</v>
      </c>
      <c r="B1893" t="s">
        <v>8</v>
      </c>
      <c r="C1893">
        <v>71</v>
      </c>
      <c r="D1893">
        <v>149318</v>
      </c>
      <c r="E1893">
        <v>27</v>
      </c>
      <c r="F1893" t="s">
        <v>14</v>
      </c>
      <c r="G1893">
        <v>4</v>
      </c>
      <c r="H1893">
        <v>1</v>
      </c>
    </row>
    <row r="1894" spans="1:8">
      <c r="A1894">
        <v>1893</v>
      </c>
      <c r="B1894" t="s">
        <v>8</v>
      </c>
      <c r="C1894">
        <v>6</v>
      </c>
      <c r="D1894">
        <v>125591</v>
      </c>
      <c r="E1894">
        <v>79</v>
      </c>
      <c r="F1894" t="s">
        <v>9</v>
      </c>
      <c r="G1894">
        <v>8</v>
      </c>
      <c r="H1894">
        <v>6</v>
      </c>
    </row>
    <row r="1895" spans="1:8">
      <c r="A1895">
        <v>1894</v>
      </c>
      <c r="B1895" t="s">
        <v>11</v>
      </c>
      <c r="C1895">
        <v>68</v>
      </c>
      <c r="D1895">
        <v>173047</v>
      </c>
      <c r="E1895">
        <v>17</v>
      </c>
      <c r="F1895" t="s">
        <v>9</v>
      </c>
      <c r="G1895">
        <v>0</v>
      </c>
      <c r="H1895">
        <v>3</v>
      </c>
    </row>
    <row r="1896" spans="1:8">
      <c r="A1896">
        <v>1895</v>
      </c>
      <c r="B1896" t="s">
        <v>11</v>
      </c>
      <c r="C1896">
        <v>39</v>
      </c>
      <c r="D1896">
        <v>61298</v>
      </c>
      <c r="E1896">
        <v>91</v>
      </c>
      <c r="F1896" t="s">
        <v>14</v>
      </c>
      <c r="G1896">
        <v>0</v>
      </c>
      <c r="H1896">
        <v>5</v>
      </c>
    </row>
    <row r="1897" spans="1:8">
      <c r="A1897">
        <v>1896</v>
      </c>
      <c r="B1897" t="s">
        <v>8</v>
      </c>
      <c r="C1897">
        <v>75</v>
      </c>
      <c r="D1897">
        <v>132993</v>
      </c>
      <c r="E1897">
        <v>55</v>
      </c>
      <c r="F1897" t="s">
        <v>13</v>
      </c>
      <c r="G1897">
        <v>8</v>
      </c>
      <c r="H1897">
        <v>2</v>
      </c>
    </row>
    <row r="1898" spans="1:8">
      <c r="A1898">
        <v>1897</v>
      </c>
      <c r="B1898" t="s">
        <v>11</v>
      </c>
      <c r="C1898">
        <v>65</v>
      </c>
      <c r="D1898">
        <v>72313</v>
      </c>
      <c r="E1898">
        <v>36</v>
      </c>
      <c r="F1898" t="s">
        <v>12</v>
      </c>
      <c r="G1898">
        <v>1</v>
      </c>
      <c r="H1898">
        <v>5</v>
      </c>
    </row>
    <row r="1899" spans="1:8">
      <c r="A1899">
        <v>1898</v>
      </c>
      <c r="B1899" t="s">
        <v>11</v>
      </c>
      <c r="C1899">
        <v>30</v>
      </c>
      <c r="D1899">
        <v>84885</v>
      </c>
      <c r="E1899">
        <v>9</v>
      </c>
      <c r="F1899" t="s">
        <v>13</v>
      </c>
      <c r="G1899">
        <v>6</v>
      </c>
      <c r="H1899">
        <v>5</v>
      </c>
    </row>
    <row r="1900" spans="1:8">
      <c r="A1900">
        <v>1899</v>
      </c>
      <c r="B1900" t="s">
        <v>8</v>
      </c>
      <c r="C1900">
        <v>46</v>
      </c>
      <c r="D1900">
        <v>126228</v>
      </c>
      <c r="E1900">
        <v>95</v>
      </c>
      <c r="F1900" t="s">
        <v>18</v>
      </c>
      <c r="G1900">
        <v>8</v>
      </c>
      <c r="H1900">
        <v>2</v>
      </c>
    </row>
    <row r="1901" spans="1:8">
      <c r="A1901">
        <v>1900</v>
      </c>
      <c r="B1901" t="s">
        <v>8</v>
      </c>
      <c r="C1901">
        <v>40</v>
      </c>
      <c r="D1901">
        <v>51199</v>
      </c>
      <c r="E1901">
        <v>29</v>
      </c>
      <c r="F1901" t="s">
        <v>15</v>
      </c>
      <c r="G1901">
        <v>7</v>
      </c>
      <c r="H1901">
        <v>7</v>
      </c>
    </row>
    <row r="1902" spans="1:8">
      <c r="A1902">
        <v>1901</v>
      </c>
      <c r="B1902" t="s">
        <v>11</v>
      </c>
      <c r="C1902">
        <v>40</v>
      </c>
      <c r="D1902">
        <v>54631</v>
      </c>
      <c r="E1902">
        <v>70</v>
      </c>
      <c r="F1902" t="s">
        <v>14</v>
      </c>
      <c r="G1902">
        <v>0</v>
      </c>
      <c r="H1902">
        <v>6</v>
      </c>
    </row>
    <row r="1903" spans="1:8">
      <c r="A1903">
        <v>1902</v>
      </c>
      <c r="B1903" t="s">
        <v>11</v>
      </c>
      <c r="C1903">
        <v>20</v>
      </c>
      <c r="D1903">
        <v>131810</v>
      </c>
      <c r="E1903">
        <v>16</v>
      </c>
      <c r="F1903" t="s">
        <v>9</v>
      </c>
      <c r="G1903">
        <v>5</v>
      </c>
      <c r="H1903">
        <v>7</v>
      </c>
    </row>
    <row r="1904" spans="1:8">
      <c r="A1904">
        <v>1903</v>
      </c>
      <c r="B1904" t="s">
        <v>8</v>
      </c>
      <c r="C1904">
        <v>88</v>
      </c>
      <c r="D1904">
        <v>138482</v>
      </c>
      <c r="E1904">
        <v>59</v>
      </c>
      <c r="F1904" t="s">
        <v>18</v>
      </c>
      <c r="G1904">
        <v>8</v>
      </c>
      <c r="H1904">
        <v>4</v>
      </c>
    </row>
    <row r="1905" spans="1:8">
      <c r="A1905">
        <v>1904</v>
      </c>
      <c r="B1905" t="s">
        <v>8</v>
      </c>
      <c r="C1905">
        <v>85</v>
      </c>
      <c r="D1905">
        <v>74081</v>
      </c>
      <c r="E1905">
        <v>87</v>
      </c>
      <c r="F1905" t="s">
        <v>9</v>
      </c>
      <c r="G1905">
        <v>4</v>
      </c>
      <c r="H1905">
        <v>3</v>
      </c>
    </row>
    <row r="1906" spans="1:8">
      <c r="A1906">
        <v>1905</v>
      </c>
      <c r="B1906" t="s">
        <v>8</v>
      </c>
      <c r="C1906">
        <v>94</v>
      </c>
      <c r="D1906">
        <v>112426</v>
      </c>
      <c r="E1906">
        <v>54</v>
      </c>
      <c r="F1906" t="s">
        <v>10</v>
      </c>
      <c r="G1906">
        <v>9</v>
      </c>
      <c r="H1906">
        <v>6</v>
      </c>
    </row>
    <row r="1907" spans="1:8">
      <c r="A1907">
        <v>1906</v>
      </c>
      <c r="B1907" t="s">
        <v>11</v>
      </c>
      <c r="C1907">
        <v>52</v>
      </c>
      <c r="D1907">
        <v>164038</v>
      </c>
      <c r="E1907">
        <v>53</v>
      </c>
      <c r="G1907">
        <v>5</v>
      </c>
      <c r="H1907">
        <v>4</v>
      </c>
    </row>
    <row r="1908" spans="1:8">
      <c r="A1908">
        <v>1907</v>
      </c>
      <c r="B1908" t="s">
        <v>11</v>
      </c>
      <c r="C1908">
        <v>68</v>
      </c>
      <c r="D1908">
        <v>53552</v>
      </c>
      <c r="E1908">
        <v>97</v>
      </c>
      <c r="F1908" t="s">
        <v>18</v>
      </c>
      <c r="G1908">
        <v>7</v>
      </c>
      <c r="H1908">
        <v>6</v>
      </c>
    </row>
    <row r="1909" spans="1:8">
      <c r="A1909">
        <v>1908</v>
      </c>
      <c r="B1909" t="s">
        <v>8</v>
      </c>
      <c r="C1909">
        <v>15</v>
      </c>
      <c r="D1909">
        <v>142147</v>
      </c>
      <c r="E1909">
        <v>78</v>
      </c>
      <c r="F1909" t="s">
        <v>14</v>
      </c>
      <c r="G1909">
        <v>8</v>
      </c>
      <c r="H1909">
        <v>4</v>
      </c>
    </row>
    <row r="1910" spans="1:8">
      <c r="A1910">
        <v>1909</v>
      </c>
      <c r="B1910" t="s">
        <v>8</v>
      </c>
      <c r="C1910">
        <v>4</v>
      </c>
      <c r="D1910">
        <v>180324</v>
      </c>
      <c r="E1910">
        <v>41</v>
      </c>
      <c r="F1910" t="s">
        <v>14</v>
      </c>
      <c r="G1910">
        <v>9</v>
      </c>
      <c r="H1910">
        <v>2</v>
      </c>
    </row>
    <row r="1911" spans="1:8">
      <c r="A1911">
        <v>1910</v>
      </c>
      <c r="B1911" t="s">
        <v>8</v>
      </c>
      <c r="C1911">
        <v>59</v>
      </c>
      <c r="D1911">
        <v>149067</v>
      </c>
      <c r="E1911">
        <v>78</v>
      </c>
      <c r="F1911" t="s">
        <v>16</v>
      </c>
      <c r="G1911">
        <v>9</v>
      </c>
      <c r="H1911">
        <v>7</v>
      </c>
    </row>
    <row r="1912" spans="1:8">
      <c r="A1912">
        <v>1911</v>
      </c>
      <c r="B1912" t="s">
        <v>8</v>
      </c>
      <c r="C1912">
        <v>32</v>
      </c>
      <c r="D1912">
        <v>184408</v>
      </c>
      <c r="E1912">
        <v>38</v>
      </c>
      <c r="F1912" t="s">
        <v>13</v>
      </c>
      <c r="G1912">
        <v>6</v>
      </c>
      <c r="H1912">
        <v>7</v>
      </c>
    </row>
    <row r="1913" spans="1:8">
      <c r="A1913">
        <v>1912</v>
      </c>
      <c r="B1913" t="s">
        <v>11</v>
      </c>
      <c r="C1913">
        <v>8</v>
      </c>
      <c r="D1913">
        <v>59116</v>
      </c>
      <c r="E1913">
        <v>45</v>
      </c>
      <c r="F1913" t="s">
        <v>14</v>
      </c>
      <c r="G1913">
        <v>10</v>
      </c>
      <c r="H1913">
        <v>6</v>
      </c>
    </row>
    <row r="1914" spans="1:8">
      <c r="A1914">
        <v>1913</v>
      </c>
      <c r="B1914" t="s">
        <v>11</v>
      </c>
      <c r="C1914">
        <v>92</v>
      </c>
      <c r="D1914">
        <v>174786</v>
      </c>
      <c r="E1914">
        <v>94</v>
      </c>
      <c r="F1914" t="s">
        <v>15</v>
      </c>
      <c r="G1914">
        <v>4</v>
      </c>
      <c r="H1914">
        <v>3</v>
      </c>
    </row>
    <row r="1915" spans="1:8">
      <c r="A1915">
        <v>1914</v>
      </c>
      <c r="B1915" t="s">
        <v>8</v>
      </c>
      <c r="C1915">
        <v>9</v>
      </c>
      <c r="D1915">
        <v>71076</v>
      </c>
      <c r="E1915">
        <v>2</v>
      </c>
      <c r="F1915" t="s">
        <v>14</v>
      </c>
      <c r="G1915">
        <v>8</v>
      </c>
      <c r="H1915">
        <v>1</v>
      </c>
    </row>
    <row r="1916" spans="1:8">
      <c r="A1916">
        <v>1915</v>
      </c>
      <c r="B1916" t="s">
        <v>11</v>
      </c>
      <c r="C1916">
        <v>41</v>
      </c>
      <c r="D1916">
        <v>56837</v>
      </c>
      <c r="E1916">
        <v>4</v>
      </c>
      <c r="F1916" t="s">
        <v>9</v>
      </c>
      <c r="G1916">
        <v>8</v>
      </c>
      <c r="H1916">
        <v>4</v>
      </c>
    </row>
    <row r="1917" spans="1:8">
      <c r="A1917">
        <v>1916</v>
      </c>
      <c r="B1917" t="s">
        <v>11</v>
      </c>
      <c r="C1917">
        <v>18</v>
      </c>
      <c r="D1917">
        <v>134752</v>
      </c>
      <c r="E1917">
        <v>47</v>
      </c>
      <c r="F1917" t="s">
        <v>10</v>
      </c>
      <c r="G1917">
        <v>6</v>
      </c>
      <c r="H1917">
        <v>5</v>
      </c>
    </row>
    <row r="1918" spans="1:8">
      <c r="A1918">
        <v>1917</v>
      </c>
      <c r="B1918" t="s">
        <v>11</v>
      </c>
      <c r="C1918">
        <v>78</v>
      </c>
      <c r="D1918">
        <v>112887</v>
      </c>
      <c r="E1918">
        <v>80</v>
      </c>
      <c r="F1918" t="s">
        <v>13</v>
      </c>
      <c r="G1918">
        <v>9</v>
      </c>
      <c r="H1918">
        <v>6</v>
      </c>
    </row>
    <row r="1919" spans="1:8">
      <c r="A1919">
        <v>1918</v>
      </c>
      <c r="B1919" t="s">
        <v>11</v>
      </c>
      <c r="C1919">
        <v>0</v>
      </c>
      <c r="D1919">
        <v>73128</v>
      </c>
      <c r="E1919">
        <v>74</v>
      </c>
      <c r="F1919" t="s">
        <v>14</v>
      </c>
      <c r="G1919">
        <v>7</v>
      </c>
      <c r="H1919">
        <v>5</v>
      </c>
    </row>
    <row r="1920" spans="1:8">
      <c r="A1920">
        <v>1919</v>
      </c>
      <c r="B1920" t="s">
        <v>11</v>
      </c>
      <c r="C1920">
        <v>11</v>
      </c>
      <c r="D1920">
        <v>152765</v>
      </c>
      <c r="E1920">
        <v>17</v>
      </c>
      <c r="F1920" t="s">
        <v>9</v>
      </c>
      <c r="G1920">
        <v>8</v>
      </c>
      <c r="H1920">
        <v>1</v>
      </c>
    </row>
    <row r="1921" spans="1:8">
      <c r="A1921">
        <v>1920</v>
      </c>
      <c r="B1921" t="s">
        <v>11</v>
      </c>
      <c r="C1921">
        <v>36</v>
      </c>
      <c r="D1921">
        <v>140637</v>
      </c>
      <c r="E1921">
        <v>19</v>
      </c>
      <c r="F1921" t="s">
        <v>15</v>
      </c>
      <c r="G1921">
        <v>8</v>
      </c>
      <c r="H1921">
        <v>7</v>
      </c>
    </row>
    <row r="1922" spans="1:8">
      <c r="A1922">
        <v>1921</v>
      </c>
      <c r="B1922" t="s">
        <v>8</v>
      </c>
      <c r="C1922">
        <v>46</v>
      </c>
      <c r="D1922">
        <v>137973</v>
      </c>
      <c r="E1922">
        <v>50</v>
      </c>
      <c r="F1922" t="s">
        <v>9</v>
      </c>
      <c r="G1922">
        <v>7</v>
      </c>
      <c r="H1922">
        <v>7</v>
      </c>
    </row>
    <row r="1923" spans="1:8">
      <c r="A1923">
        <v>1922</v>
      </c>
      <c r="B1923" t="s">
        <v>11</v>
      </c>
      <c r="C1923">
        <v>95</v>
      </c>
      <c r="D1923">
        <v>126791</v>
      </c>
      <c r="E1923">
        <v>34</v>
      </c>
      <c r="F1923" t="s">
        <v>14</v>
      </c>
      <c r="G1923">
        <v>6</v>
      </c>
      <c r="H1923">
        <v>4</v>
      </c>
    </row>
    <row r="1924" spans="1:8">
      <c r="A1924">
        <v>1923</v>
      </c>
      <c r="B1924" t="s">
        <v>11</v>
      </c>
      <c r="C1924">
        <v>97</v>
      </c>
      <c r="D1924">
        <v>75125</v>
      </c>
      <c r="E1924">
        <v>89</v>
      </c>
      <c r="F1924" t="s">
        <v>15</v>
      </c>
      <c r="G1924">
        <v>8</v>
      </c>
      <c r="H1924">
        <v>3</v>
      </c>
    </row>
    <row r="1925" spans="1:8">
      <c r="A1925">
        <v>1924</v>
      </c>
      <c r="B1925" t="s">
        <v>8</v>
      </c>
      <c r="C1925">
        <v>2</v>
      </c>
      <c r="D1925">
        <v>101718</v>
      </c>
      <c r="E1925">
        <v>11</v>
      </c>
      <c r="F1925" t="s">
        <v>15</v>
      </c>
      <c r="G1925">
        <v>8</v>
      </c>
      <c r="H1925">
        <v>3</v>
      </c>
    </row>
    <row r="1926" spans="1:8">
      <c r="A1926">
        <v>1925</v>
      </c>
      <c r="B1926" t="s">
        <v>11</v>
      </c>
      <c r="C1926">
        <v>94</v>
      </c>
      <c r="D1926">
        <v>69654</v>
      </c>
      <c r="E1926">
        <v>30</v>
      </c>
      <c r="F1926" t="s">
        <v>17</v>
      </c>
      <c r="G1926">
        <v>4</v>
      </c>
      <c r="H1926">
        <v>4</v>
      </c>
    </row>
    <row r="1927" spans="1:8">
      <c r="A1927">
        <v>1926</v>
      </c>
      <c r="B1927" t="s">
        <v>11</v>
      </c>
      <c r="C1927">
        <v>0</v>
      </c>
      <c r="D1927">
        <v>105935</v>
      </c>
      <c r="E1927">
        <v>46</v>
      </c>
      <c r="F1927" t="s">
        <v>16</v>
      </c>
      <c r="G1927">
        <v>4</v>
      </c>
      <c r="H1927">
        <v>5</v>
      </c>
    </row>
    <row r="1928" spans="1:8">
      <c r="A1928">
        <v>1927</v>
      </c>
      <c r="B1928" t="s">
        <v>8</v>
      </c>
      <c r="C1928">
        <v>3</v>
      </c>
      <c r="D1928">
        <v>74607</v>
      </c>
      <c r="E1928">
        <v>69</v>
      </c>
      <c r="F1928" t="s">
        <v>9</v>
      </c>
      <c r="G1928">
        <v>6</v>
      </c>
      <c r="H1928">
        <v>1</v>
      </c>
    </row>
    <row r="1929" spans="1:8">
      <c r="A1929">
        <v>1928</v>
      </c>
      <c r="B1929" t="s">
        <v>8</v>
      </c>
      <c r="C1929">
        <v>77</v>
      </c>
      <c r="D1929">
        <v>151985</v>
      </c>
      <c r="E1929">
        <v>29</v>
      </c>
      <c r="F1929" t="s">
        <v>9</v>
      </c>
      <c r="G1929">
        <v>4</v>
      </c>
      <c r="H1929">
        <v>7</v>
      </c>
    </row>
    <row r="1930" spans="1:8">
      <c r="A1930">
        <v>1929</v>
      </c>
      <c r="B1930" t="s">
        <v>8</v>
      </c>
      <c r="C1930">
        <v>70</v>
      </c>
      <c r="D1930">
        <v>76892</v>
      </c>
      <c r="E1930">
        <v>64</v>
      </c>
      <c r="F1930" t="s">
        <v>15</v>
      </c>
      <c r="G1930">
        <v>5</v>
      </c>
      <c r="H1930">
        <v>2</v>
      </c>
    </row>
    <row r="1931" spans="1:8">
      <c r="A1931">
        <v>1930</v>
      </c>
      <c r="B1931" t="s">
        <v>8</v>
      </c>
      <c r="C1931">
        <v>58</v>
      </c>
      <c r="D1931">
        <v>87602</v>
      </c>
      <c r="E1931">
        <v>25</v>
      </c>
      <c r="F1931" t="s">
        <v>15</v>
      </c>
      <c r="G1931">
        <v>5</v>
      </c>
      <c r="H1931">
        <v>3</v>
      </c>
    </row>
    <row r="1932" spans="1:8">
      <c r="A1932">
        <v>1931</v>
      </c>
      <c r="B1932" t="s">
        <v>8</v>
      </c>
      <c r="C1932">
        <v>72</v>
      </c>
      <c r="D1932">
        <v>182317</v>
      </c>
      <c r="E1932">
        <v>46</v>
      </c>
      <c r="F1932" t="s">
        <v>9</v>
      </c>
      <c r="G1932">
        <v>8</v>
      </c>
      <c r="H1932">
        <v>6</v>
      </c>
    </row>
    <row r="1933" spans="1:8">
      <c r="A1933">
        <v>1932</v>
      </c>
      <c r="B1933" t="s">
        <v>8</v>
      </c>
      <c r="C1933">
        <v>90</v>
      </c>
      <c r="D1933">
        <v>158280</v>
      </c>
      <c r="E1933">
        <v>92</v>
      </c>
      <c r="F1933" t="s">
        <v>15</v>
      </c>
      <c r="G1933">
        <v>6</v>
      </c>
      <c r="H1933">
        <v>7</v>
      </c>
    </row>
    <row r="1934" spans="1:8">
      <c r="A1934">
        <v>1933</v>
      </c>
      <c r="B1934" t="s">
        <v>11</v>
      </c>
      <c r="C1934">
        <v>23</v>
      </c>
      <c r="D1934">
        <v>59905</v>
      </c>
      <c r="E1934">
        <v>79</v>
      </c>
      <c r="G1934">
        <v>7</v>
      </c>
      <c r="H1934">
        <v>5</v>
      </c>
    </row>
    <row r="1935" spans="1:8">
      <c r="A1935">
        <v>1934</v>
      </c>
      <c r="B1935" t="s">
        <v>11</v>
      </c>
      <c r="C1935">
        <v>87</v>
      </c>
      <c r="D1935">
        <v>128153</v>
      </c>
      <c r="E1935">
        <v>42</v>
      </c>
      <c r="F1935" t="s">
        <v>14</v>
      </c>
      <c r="G1935">
        <v>7</v>
      </c>
      <c r="H1935">
        <v>6</v>
      </c>
    </row>
    <row r="1936" spans="1:8">
      <c r="A1936">
        <v>1935</v>
      </c>
      <c r="B1936" t="s">
        <v>8</v>
      </c>
      <c r="C1936">
        <v>64</v>
      </c>
      <c r="D1936">
        <v>142612</v>
      </c>
      <c r="E1936">
        <v>58</v>
      </c>
      <c r="F1936" t="s">
        <v>16</v>
      </c>
      <c r="G1936">
        <v>4</v>
      </c>
      <c r="H1936">
        <v>6</v>
      </c>
    </row>
    <row r="1937" spans="1:8">
      <c r="A1937">
        <v>1936</v>
      </c>
      <c r="B1937" t="s">
        <v>11</v>
      </c>
      <c r="C1937">
        <v>15</v>
      </c>
      <c r="D1937">
        <v>180163</v>
      </c>
      <c r="E1937">
        <v>9</v>
      </c>
      <c r="F1937" t="s">
        <v>16</v>
      </c>
      <c r="G1937">
        <v>10</v>
      </c>
      <c r="H1937">
        <v>7</v>
      </c>
    </row>
    <row r="1938" spans="1:8">
      <c r="A1938">
        <v>1937</v>
      </c>
      <c r="B1938" t="s">
        <v>11</v>
      </c>
      <c r="C1938">
        <v>14</v>
      </c>
      <c r="D1938">
        <v>68009</v>
      </c>
      <c r="E1938">
        <v>17</v>
      </c>
      <c r="F1938" t="s">
        <v>14</v>
      </c>
      <c r="G1938">
        <v>9</v>
      </c>
      <c r="H1938">
        <v>3</v>
      </c>
    </row>
    <row r="1939" spans="1:8">
      <c r="A1939">
        <v>1938</v>
      </c>
      <c r="B1939" t="s">
        <v>8</v>
      </c>
      <c r="C1939">
        <v>54</v>
      </c>
      <c r="D1939">
        <v>166183</v>
      </c>
      <c r="E1939">
        <v>65</v>
      </c>
      <c r="F1939" t="s">
        <v>14</v>
      </c>
      <c r="G1939">
        <v>7</v>
      </c>
      <c r="H1939">
        <v>6</v>
      </c>
    </row>
    <row r="1940" spans="1:8">
      <c r="A1940">
        <v>1939</v>
      </c>
      <c r="B1940" t="s">
        <v>8</v>
      </c>
      <c r="C1940">
        <v>76</v>
      </c>
      <c r="D1940">
        <v>132537</v>
      </c>
      <c r="E1940">
        <v>44</v>
      </c>
      <c r="F1940" t="s">
        <v>16</v>
      </c>
      <c r="G1940">
        <v>5</v>
      </c>
      <c r="H1940">
        <v>3</v>
      </c>
    </row>
    <row r="1941" spans="1:8">
      <c r="A1941">
        <v>1940</v>
      </c>
      <c r="B1941" t="s">
        <v>11</v>
      </c>
      <c r="C1941">
        <v>76</v>
      </c>
      <c r="D1941">
        <v>146308</v>
      </c>
      <c r="E1941">
        <v>49</v>
      </c>
      <c r="F1941" t="s">
        <v>14</v>
      </c>
      <c r="G1941">
        <v>5</v>
      </c>
      <c r="H1941">
        <v>1</v>
      </c>
    </row>
    <row r="1942" spans="1:8">
      <c r="A1942">
        <v>1941</v>
      </c>
      <c r="B1942" t="s">
        <v>11</v>
      </c>
      <c r="C1942">
        <v>52</v>
      </c>
      <c r="D1942">
        <v>63454</v>
      </c>
      <c r="E1942">
        <v>38</v>
      </c>
      <c r="F1942" t="s">
        <v>14</v>
      </c>
      <c r="G1942">
        <v>5</v>
      </c>
      <c r="H1942">
        <v>5</v>
      </c>
    </row>
    <row r="1943" spans="1:8">
      <c r="A1943">
        <v>1942</v>
      </c>
      <c r="B1943" t="s">
        <v>8</v>
      </c>
      <c r="C1943">
        <v>96</v>
      </c>
      <c r="D1943">
        <v>110519</v>
      </c>
      <c r="E1943">
        <v>6</v>
      </c>
      <c r="F1943" t="s">
        <v>14</v>
      </c>
      <c r="G1943">
        <v>9</v>
      </c>
      <c r="H1943">
        <v>4</v>
      </c>
    </row>
    <row r="1944" spans="1:8">
      <c r="A1944">
        <v>1943</v>
      </c>
      <c r="B1944" t="s">
        <v>11</v>
      </c>
      <c r="C1944">
        <v>55</v>
      </c>
      <c r="D1944">
        <v>66728</v>
      </c>
      <c r="E1944">
        <v>50</v>
      </c>
      <c r="F1944" t="s">
        <v>9</v>
      </c>
      <c r="G1944">
        <v>10</v>
      </c>
      <c r="H1944">
        <v>5</v>
      </c>
    </row>
    <row r="1945" spans="1:8">
      <c r="A1945">
        <v>1944</v>
      </c>
      <c r="B1945" t="s">
        <v>11</v>
      </c>
      <c r="C1945">
        <v>54</v>
      </c>
      <c r="D1945">
        <v>170638</v>
      </c>
      <c r="E1945">
        <v>64</v>
      </c>
      <c r="F1945" t="s">
        <v>14</v>
      </c>
      <c r="G1945">
        <v>4</v>
      </c>
      <c r="H1945">
        <v>5</v>
      </c>
    </row>
    <row r="1946" spans="1:8">
      <c r="A1946">
        <v>1945</v>
      </c>
      <c r="B1946" t="s">
        <v>8</v>
      </c>
      <c r="C1946">
        <v>19</v>
      </c>
      <c r="D1946">
        <v>129635</v>
      </c>
      <c r="E1946">
        <v>100</v>
      </c>
      <c r="F1946" t="s">
        <v>14</v>
      </c>
      <c r="G1946">
        <v>6</v>
      </c>
      <c r="H1946">
        <v>4</v>
      </c>
    </row>
    <row r="1947" spans="1:8">
      <c r="A1947">
        <v>1946</v>
      </c>
      <c r="B1947" t="s">
        <v>8</v>
      </c>
      <c r="C1947">
        <v>29</v>
      </c>
      <c r="D1947">
        <v>133587</v>
      </c>
      <c r="E1947">
        <v>74</v>
      </c>
      <c r="F1947" t="s">
        <v>18</v>
      </c>
      <c r="G1947">
        <v>5</v>
      </c>
      <c r="H1947">
        <v>3</v>
      </c>
    </row>
    <row r="1948" spans="1:8">
      <c r="A1948">
        <v>1947</v>
      </c>
      <c r="B1948" t="s">
        <v>8</v>
      </c>
      <c r="C1948">
        <v>96</v>
      </c>
      <c r="D1948">
        <v>126225</v>
      </c>
      <c r="E1948">
        <v>47</v>
      </c>
      <c r="F1948" t="s">
        <v>10</v>
      </c>
      <c r="G1948">
        <v>7</v>
      </c>
      <c r="H1948">
        <v>4</v>
      </c>
    </row>
    <row r="1949" spans="1:8">
      <c r="A1949">
        <v>1948</v>
      </c>
      <c r="B1949" t="s">
        <v>11</v>
      </c>
      <c r="C1949">
        <v>20</v>
      </c>
      <c r="D1949">
        <v>148776</v>
      </c>
      <c r="E1949">
        <v>21</v>
      </c>
      <c r="F1949" t="s">
        <v>14</v>
      </c>
      <c r="G1949">
        <v>8</v>
      </c>
      <c r="H1949">
        <v>5</v>
      </c>
    </row>
    <row r="1950" spans="1:8">
      <c r="A1950">
        <v>1949</v>
      </c>
      <c r="B1950" t="s">
        <v>11</v>
      </c>
      <c r="C1950">
        <v>91</v>
      </c>
      <c r="D1950">
        <v>142602</v>
      </c>
      <c r="E1950">
        <v>64</v>
      </c>
      <c r="F1950" t="s">
        <v>12</v>
      </c>
      <c r="G1950">
        <v>7</v>
      </c>
      <c r="H1950">
        <v>6</v>
      </c>
    </row>
    <row r="1951" spans="1:8">
      <c r="A1951">
        <v>1950</v>
      </c>
      <c r="B1951" t="s">
        <v>8</v>
      </c>
      <c r="C1951">
        <v>37</v>
      </c>
      <c r="D1951">
        <v>102413</v>
      </c>
      <c r="E1951">
        <v>38</v>
      </c>
      <c r="F1951" t="s">
        <v>9</v>
      </c>
      <c r="G1951">
        <v>5</v>
      </c>
      <c r="H1951">
        <v>5</v>
      </c>
    </row>
    <row r="1952" spans="1:8">
      <c r="A1952">
        <v>1951</v>
      </c>
      <c r="B1952" t="s">
        <v>8</v>
      </c>
      <c r="C1952">
        <v>42</v>
      </c>
      <c r="D1952">
        <v>68765</v>
      </c>
      <c r="E1952">
        <v>69</v>
      </c>
      <c r="F1952" t="s">
        <v>13</v>
      </c>
      <c r="G1952">
        <v>4</v>
      </c>
      <c r="H1952">
        <v>1</v>
      </c>
    </row>
    <row r="1953" spans="1:8">
      <c r="A1953">
        <v>1952</v>
      </c>
      <c r="B1953" t="s">
        <v>8</v>
      </c>
      <c r="C1953">
        <v>1</v>
      </c>
      <c r="D1953">
        <v>57522</v>
      </c>
      <c r="E1953">
        <v>75</v>
      </c>
      <c r="F1953" t="s">
        <v>14</v>
      </c>
      <c r="G1953">
        <v>10</v>
      </c>
      <c r="H1953">
        <v>5</v>
      </c>
    </row>
    <row r="1954" spans="1:8">
      <c r="A1954">
        <v>1953</v>
      </c>
      <c r="B1954" t="s">
        <v>11</v>
      </c>
      <c r="C1954">
        <v>58</v>
      </c>
      <c r="D1954">
        <v>149237</v>
      </c>
      <c r="E1954">
        <v>80</v>
      </c>
      <c r="F1954" t="s">
        <v>13</v>
      </c>
      <c r="G1954">
        <v>8</v>
      </c>
      <c r="H1954">
        <v>6</v>
      </c>
    </row>
    <row r="1955" spans="1:8">
      <c r="A1955">
        <v>1954</v>
      </c>
      <c r="B1955" t="s">
        <v>11</v>
      </c>
      <c r="C1955">
        <v>42</v>
      </c>
      <c r="D1955">
        <v>184844</v>
      </c>
      <c r="E1955">
        <v>24</v>
      </c>
      <c r="F1955" t="s">
        <v>13</v>
      </c>
      <c r="G1955">
        <v>6</v>
      </c>
      <c r="H1955">
        <v>1</v>
      </c>
    </row>
    <row r="1956" spans="1:8">
      <c r="A1956">
        <v>1955</v>
      </c>
      <c r="B1956" t="s">
        <v>11</v>
      </c>
      <c r="C1956">
        <v>48</v>
      </c>
      <c r="D1956">
        <v>131656</v>
      </c>
      <c r="E1956">
        <v>45</v>
      </c>
      <c r="F1956" t="s">
        <v>12</v>
      </c>
      <c r="G1956">
        <v>9</v>
      </c>
      <c r="H1956">
        <v>6</v>
      </c>
    </row>
    <row r="1957" spans="1:8">
      <c r="A1957">
        <v>1956</v>
      </c>
      <c r="B1957" t="s">
        <v>11</v>
      </c>
      <c r="C1957">
        <v>11</v>
      </c>
      <c r="D1957">
        <v>181026</v>
      </c>
      <c r="E1957">
        <v>39</v>
      </c>
      <c r="F1957" t="s">
        <v>18</v>
      </c>
      <c r="G1957">
        <v>6</v>
      </c>
      <c r="H1957">
        <v>2</v>
      </c>
    </row>
    <row r="1958" spans="1:8">
      <c r="A1958">
        <v>1957</v>
      </c>
      <c r="B1958" t="s">
        <v>8</v>
      </c>
      <c r="C1958">
        <v>59</v>
      </c>
      <c r="D1958">
        <v>101698</v>
      </c>
      <c r="E1958">
        <v>87</v>
      </c>
      <c r="F1958" t="s">
        <v>14</v>
      </c>
      <c r="G1958">
        <v>9</v>
      </c>
      <c r="H1958">
        <v>3</v>
      </c>
    </row>
    <row r="1959" spans="1:8">
      <c r="A1959">
        <v>1958</v>
      </c>
      <c r="B1959" t="s">
        <v>11</v>
      </c>
      <c r="C1959">
        <v>45</v>
      </c>
      <c r="D1959">
        <v>152560</v>
      </c>
      <c r="E1959">
        <v>32</v>
      </c>
      <c r="F1959" t="s">
        <v>13</v>
      </c>
      <c r="G1959">
        <v>9</v>
      </c>
      <c r="H1959">
        <v>2</v>
      </c>
    </row>
    <row r="1960" spans="1:8">
      <c r="A1960">
        <v>1959</v>
      </c>
      <c r="B1960" t="s">
        <v>8</v>
      </c>
      <c r="C1960">
        <v>73</v>
      </c>
      <c r="D1960">
        <v>142502</v>
      </c>
      <c r="E1960">
        <v>97</v>
      </c>
      <c r="F1960" t="s">
        <v>16</v>
      </c>
      <c r="G1960">
        <v>5</v>
      </c>
      <c r="H1960">
        <v>1</v>
      </c>
    </row>
    <row r="1961" spans="1:8">
      <c r="A1961">
        <v>1960</v>
      </c>
      <c r="B1961" t="s">
        <v>11</v>
      </c>
      <c r="C1961">
        <v>85</v>
      </c>
      <c r="D1961">
        <v>155432</v>
      </c>
      <c r="E1961">
        <v>21</v>
      </c>
      <c r="F1961" t="s">
        <v>10</v>
      </c>
      <c r="G1961">
        <v>4</v>
      </c>
      <c r="H1961">
        <v>6</v>
      </c>
    </row>
    <row r="1962" spans="1:8">
      <c r="A1962">
        <v>1961</v>
      </c>
      <c r="B1962" t="s">
        <v>11</v>
      </c>
      <c r="C1962">
        <v>70</v>
      </c>
      <c r="D1962">
        <v>108544</v>
      </c>
      <c r="E1962">
        <v>49</v>
      </c>
      <c r="F1962" t="s">
        <v>13</v>
      </c>
      <c r="G1962">
        <v>4</v>
      </c>
      <c r="H1962">
        <v>5</v>
      </c>
    </row>
    <row r="1963" spans="1:8">
      <c r="A1963">
        <v>1962</v>
      </c>
      <c r="B1963" t="s">
        <v>11</v>
      </c>
      <c r="C1963">
        <v>52</v>
      </c>
      <c r="D1963">
        <v>106530</v>
      </c>
      <c r="E1963">
        <v>46</v>
      </c>
      <c r="F1963" t="s">
        <v>10</v>
      </c>
      <c r="G1963">
        <v>7</v>
      </c>
      <c r="H1963">
        <v>2</v>
      </c>
    </row>
    <row r="1964" spans="1:8">
      <c r="A1964">
        <v>1963</v>
      </c>
      <c r="B1964" t="s">
        <v>8</v>
      </c>
      <c r="C1964">
        <v>70</v>
      </c>
      <c r="D1964">
        <v>124359</v>
      </c>
      <c r="E1964">
        <v>51</v>
      </c>
      <c r="F1964" t="s">
        <v>17</v>
      </c>
      <c r="G1964">
        <v>7</v>
      </c>
      <c r="H1964">
        <v>7</v>
      </c>
    </row>
    <row r="1965" spans="1:8">
      <c r="A1965">
        <v>1964</v>
      </c>
      <c r="B1965" t="s">
        <v>11</v>
      </c>
      <c r="C1965">
        <v>88</v>
      </c>
      <c r="D1965">
        <v>146970</v>
      </c>
      <c r="E1965">
        <v>90</v>
      </c>
      <c r="F1965" t="s">
        <v>14</v>
      </c>
      <c r="G1965">
        <v>7</v>
      </c>
      <c r="H1965">
        <v>6</v>
      </c>
    </row>
    <row r="1966" spans="1:8">
      <c r="A1966">
        <v>1965</v>
      </c>
      <c r="B1966" t="s">
        <v>8</v>
      </c>
      <c r="C1966">
        <v>61</v>
      </c>
      <c r="D1966">
        <v>182176</v>
      </c>
      <c r="E1966">
        <v>96</v>
      </c>
      <c r="F1966" t="s">
        <v>14</v>
      </c>
      <c r="G1966">
        <v>9</v>
      </c>
      <c r="H1966">
        <v>5</v>
      </c>
    </row>
    <row r="1967" spans="1:8">
      <c r="A1967">
        <v>1966</v>
      </c>
      <c r="B1967" t="s">
        <v>11</v>
      </c>
      <c r="C1967">
        <v>46</v>
      </c>
      <c r="D1967">
        <v>114435</v>
      </c>
      <c r="E1967">
        <v>34</v>
      </c>
      <c r="F1967" t="s">
        <v>14</v>
      </c>
      <c r="G1967">
        <v>8</v>
      </c>
      <c r="H1967">
        <v>3</v>
      </c>
    </row>
    <row r="1968" spans="1:8">
      <c r="A1968">
        <v>1967</v>
      </c>
      <c r="B1968" t="s">
        <v>8</v>
      </c>
      <c r="C1968">
        <v>65</v>
      </c>
      <c r="D1968">
        <v>134213</v>
      </c>
      <c r="E1968">
        <v>32</v>
      </c>
      <c r="F1968" t="s">
        <v>17</v>
      </c>
      <c r="G1968">
        <v>8</v>
      </c>
      <c r="H1968">
        <v>4</v>
      </c>
    </row>
    <row r="1969" spans="1:8">
      <c r="A1969">
        <v>1968</v>
      </c>
      <c r="B1969" t="s">
        <v>11</v>
      </c>
      <c r="C1969">
        <v>84</v>
      </c>
      <c r="D1969">
        <v>115580</v>
      </c>
      <c r="E1969">
        <v>73</v>
      </c>
      <c r="F1969" t="s">
        <v>13</v>
      </c>
      <c r="G1969">
        <v>8</v>
      </c>
      <c r="H1969">
        <v>5</v>
      </c>
    </row>
    <row r="1970" spans="1:8">
      <c r="A1970">
        <v>1969</v>
      </c>
      <c r="B1970" t="s">
        <v>11</v>
      </c>
      <c r="C1970">
        <v>76</v>
      </c>
      <c r="D1970">
        <v>124034</v>
      </c>
      <c r="E1970">
        <v>88</v>
      </c>
      <c r="F1970" t="s">
        <v>15</v>
      </c>
      <c r="G1970">
        <v>10</v>
      </c>
      <c r="H1970">
        <v>2</v>
      </c>
    </row>
    <row r="1971" spans="1:8">
      <c r="A1971">
        <v>1970</v>
      </c>
      <c r="B1971" t="s">
        <v>8</v>
      </c>
      <c r="C1971">
        <v>31</v>
      </c>
      <c r="D1971">
        <v>67894</v>
      </c>
      <c r="E1971">
        <v>42</v>
      </c>
      <c r="F1971" t="s">
        <v>16</v>
      </c>
      <c r="G1971">
        <v>9</v>
      </c>
      <c r="H1971">
        <v>1</v>
      </c>
    </row>
    <row r="1972" spans="1:8">
      <c r="A1972">
        <v>1971</v>
      </c>
      <c r="B1972" t="s">
        <v>8</v>
      </c>
      <c r="C1972">
        <v>55</v>
      </c>
      <c r="D1972">
        <v>107099</v>
      </c>
      <c r="E1972">
        <v>89</v>
      </c>
      <c r="F1972" t="s">
        <v>15</v>
      </c>
      <c r="G1972">
        <v>4</v>
      </c>
      <c r="H1972">
        <v>6</v>
      </c>
    </row>
    <row r="1973" spans="1:8">
      <c r="A1973">
        <v>1972</v>
      </c>
      <c r="B1973" t="s">
        <v>8</v>
      </c>
      <c r="C1973">
        <v>45</v>
      </c>
      <c r="D1973">
        <v>140263</v>
      </c>
      <c r="E1973">
        <v>88</v>
      </c>
      <c r="F1973" t="s">
        <v>13</v>
      </c>
      <c r="G1973">
        <v>10</v>
      </c>
      <c r="H1973">
        <v>5</v>
      </c>
    </row>
    <row r="1974" spans="1:8">
      <c r="A1974">
        <v>1973</v>
      </c>
      <c r="B1974" t="s">
        <v>8</v>
      </c>
      <c r="C1974">
        <v>98</v>
      </c>
      <c r="D1974">
        <v>104249</v>
      </c>
      <c r="E1974">
        <v>12</v>
      </c>
      <c r="F1974" t="s">
        <v>10</v>
      </c>
      <c r="G1974">
        <v>5</v>
      </c>
      <c r="H1974">
        <v>2</v>
      </c>
    </row>
    <row r="1975" spans="1:8">
      <c r="A1975">
        <v>1974</v>
      </c>
      <c r="B1975" t="s">
        <v>8</v>
      </c>
      <c r="C1975">
        <v>40</v>
      </c>
      <c r="D1975">
        <v>168821</v>
      </c>
      <c r="E1975">
        <v>36</v>
      </c>
      <c r="F1975" t="s">
        <v>15</v>
      </c>
      <c r="G1975">
        <v>4</v>
      </c>
      <c r="H1975">
        <v>5</v>
      </c>
    </row>
    <row r="1976" spans="1:8">
      <c r="A1976">
        <v>1975</v>
      </c>
      <c r="B1976" t="s">
        <v>11</v>
      </c>
      <c r="C1976">
        <v>14</v>
      </c>
      <c r="D1976">
        <v>153145</v>
      </c>
      <c r="E1976">
        <v>59</v>
      </c>
      <c r="F1976" t="s">
        <v>9</v>
      </c>
      <c r="G1976">
        <v>8</v>
      </c>
      <c r="H1976">
        <v>6</v>
      </c>
    </row>
    <row r="1977" spans="1:8">
      <c r="A1977">
        <v>1976</v>
      </c>
      <c r="B1977" t="s">
        <v>11</v>
      </c>
      <c r="C1977">
        <v>41</v>
      </c>
      <c r="D1977">
        <v>128960</v>
      </c>
      <c r="E1977">
        <v>43</v>
      </c>
      <c r="F1977" t="s">
        <v>15</v>
      </c>
      <c r="G1977">
        <v>9</v>
      </c>
      <c r="H1977">
        <v>4</v>
      </c>
    </row>
    <row r="1978" spans="1:8">
      <c r="A1978">
        <v>1977</v>
      </c>
      <c r="B1978" t="s">
        <v>8</v>
      </c>
      <c r="C1978">
        <v>60</v>
      </c>
      <c r="D1978">
        <v>127438</v>
      </c>
      <c r="E1978">
        <v>82</v>
      </c>
      <c r="F1978" t="s">
        <v>10</v>
      </c>
      <c r="G1978">
        <v>7</v>
      </c>
      <c r="H1978">
        <v>2</v>
      </c>
    </row>
    <row r="1979" spans="1:8">
      <c r="A1979">
        <v>1978</v>
      </c>
      <c r="B1979" t="s">
        <v>8</v>
      </c>
      <c r="C1979">
        <v>60</v>
      </c>
      <c r="D1979">
        <v>125968</v>
      </c>
      <c r="E1979">
        <v>100</v>
      </c>
      <c r="F1979" t="s">
        <v>12</v>
      </c>
      <c r="G1979">
        <v>8</v>
      </c>
      <c r="H1979">
        <v>2</v>
      </c>
    </row>
    <row r="1980" spans="1:8">
      <c r="A1980">
        <v>1979</v>
      </c>
      <c r="B1980" t="s">
        <v>8</v>
      </c>
      <c r="C1980">
        <v>84</v>
      </c>
      <c r="D1980">
        <v>104589</v>
      </c>
      <c r="E1980">
        <v>85</v>
      </c>
      <c r="F1980" t="s">
        <v>14</v>
      </c>
      <c r="G1980">
        <v>10</v>
      </c>
      <c r="H1980">
        <v>2</v>
      </c>
    </row>
    <row r="1981" spans="1:8">
      <c r="A1981">
        <v>1980</v>
      </c>
      <c r="B1981" t="s">
        <v>8</v>
      </c>
      <c r="C1981">
        <v>0</v>
      </c>
      <c r="D1981">
        <v>165321</v>
      </c>
      <c r="E1981">
        <v>93</v>
      </c>
      <c r="F1981" t="s">
        <v>16</v>
      </c>
      <c r="G1981">
        <v>8</v>
      </c>
      <c r="H1981">
        <v>1</v>
      </c>
    </row>
    <row r="1982" spans="1:8">
      <c r="A1982">
        <v>1981</v>
      </c>
      <c r="B1982" t="s">
        <v>11</v>
      </c>
      <c r="C1982">
        <v>10</v>
      </c>
      <c r="D1982">
        <v>86925</v>
      </c>
      <c r="E1982">
        <v>76</v>
      </c>
      <c r="F1982" t="s">
        <v>14</v>
      </c>
      <c r="G1982">
        <v>7</v>
      </c>
      <c r="H1982">
        <v>2</v>
      </c>
    </row>
    <row r="1983" spans="1:8">
      <c r="A1983">
        <v>1982</v>
      </c>
      <c r="B1983" t="s">
        <v>11</v>
      </c>
      <c r="C1983">
        <v>62</v>
      </c>
      <c r="D1983">
        <v>149797</v>
      </c>
      <c r="E1983">
        <v>19</v>
      </c>
      <c r="F1983" t="s">
        <v>14</v>
      </c>
      <c r="G1983">
        <v>5</v>
      </c>
      <c r="H1983">
        <v>6</v>
      </c>
    </row>
    <row r="1984" spans="1:8">
      <c r="A1984">
        <v>1983</v>
      </c>
      <c r="B1984" t="s">
        <v>8</v>
      </c>
      <c r="C1984">
        <v>33</v>
      </c>
      <c r="D1984">
        <v>137094</v>
      </c>
      <c r="E1984">
        <v>68</v>
      </c>
      <c r="F1984" t="s">
        <v>12</v>
      </c>
      <c r="G1984">
        <v>4</v>
      </c>
      <c r="H1984">
        <v>1</v>
      </c>
    </row>
    <row r="1985" spans="1:8">
      <c r="A1985">
        <v>1984</v>
      </c>
      <c r="B1985" t="s">
        <v>11</v>
      </c>
      <c r="C1985">
        <v>52</v>
      </c>
      <c r="D1985">
        <v>55395</v>
      </c>
      <c r="E1985">
        <v>41</v>
      </c>
      <c r="F1985" t="s">
        <v>18</v>
      </c>
      <c r="G1985">
        <v>10</v>
      </c>
      <c r="H1985">
        <v>1</v>
      </c>
    </row>
    <row r="1986" spans="1:8">
      <c r="A1986">
        <v>1985</v>
      </c>
      <c r="B1986" t="s">
        <v>11</v>
      </c>
      <c r="C1986">
        <v>2</v>
      </c>
      <c r="D1986">
        <v>153622</v>
      </c>
      <c r="E1986">
        <v>51</v>
      </c>
      <c r="F1986" t="s">
        <v>12</v>
      </c>
      <c r="G1986">
        <v>6</v>
      </c>
      <c r="H1986">
        <v>6</v>
      </c>
    </row>
    <row r="1987" spans="1:8">
      <c r="A1987">
        <v>1986</v>
      </c>
      <c r="B1987" t="s">
        <v>8</v>
      </c>
      <c r="C1987">
        <v>27</v>
      </c>
      <c r="D1987">
        <v>74050</v>
      </c>
      <c r="E1987">
        <v>44</v>
      </c>
      <c r="F1987" t="s">
        <v>13</v>
      </c>
      <c r="G1987">
        <v>8</v>
      </c>
      <c r="H1987">
        <v>1</v>
      </c>
    </row>
    <row r="1988" spans="1:8">
      <c r="A1988">
        <v>1987</v>
      </c>
      <c r="B1988" t="s">
        <v>11</v>
      </c>
      <c r="C1988">
        <v>4</v>
      </c>
      <c r="D1988">
        <v>68094</v>
      </c>
      <c r="E1988">
        <v>61</v>
      </c>
      <c r="F1988" t="s">
        <v>16</v>
      </c>
      <c r="G1988">
        <v>4</v>
      </c>
      <c r="H1988">
        <v>7</v>
      </c>
    </row>
    <row r="1989" spans="1:8">
      <c r="A1989">
        <v>1988</v>
      </c>
      <c r="B1989" t="s">
        <v>8</v>
      </c>
      <c r="C1989">
        <v>63</v>
      </c>
      <c r="D1989">
        <v>59244</v>
      </c>
      <c r="E1989">
        <v>80</v>
      </c>
      <c r="F1989" t="s">
        <v>14</v>
      </c>
      <c r="G1989">
        <v>7</v>
      </c>
      <c r="H1989">
        <v>1</v>
      </c>
    </row>
    <row r="1990" spans="1:8">
      <c r="A1990">
        <v>1989</v>
      </c>
      <c r="B1990" t="s">
        <v>11</v>
      </c>
      <c r="C1990">
        <v>54</v>
      </c>
      <c r="D1990">
        <v>118944</v>
      </c>
      <c r="E1990">
        <v>77</v>
      </c>
      <c r="F1990" t="s">
        <v>14</v>
      </c>
      <c r="G1990">
        <v>4</v>
      </c>
      <c r="H1990">
        <v>4</v>
      </c>
    </row>
    <row r="1991" spans="1:8">
      <c r="A1991">
        <v>1990</v>
      </c>
      <c r="B1991" t="s">
        <v>11</v>
      </c>
      <c r="C1991">
        <v>47</v>
      </c>
      <c r="D1991">
        <v>75293</v>
      </c>
      <c r="E1991">
        <v>55</v>
      </c>
      <c r="F1991" t="s">
        <v>16</v>
      </c>
      <c r="G1991">
        <v>6</v>
      </c>
      <c r="H1991">
        <v>7</v>
      </c>
    </row>
    <row r="1992" spans="1:8">
      <c r="A1992">
        <v>1991</v>
      </c>
      <c r="B1992" t="s">
        <v>11</v>
      </c>
      <c r="C1992">
        <v>30</v>
      </c>
      <c r="D1992">
        <v>166983</v>
      </c>
      <c r="E1992">
        <v>69</v>
      </c>
      <c r="F1992" t="s">
        <v>14</v>
      </c>
      <c r="G1992">
        <v>7</v>
      </c>
      <c r="H1992">
        <v>3</v>
      </c>
    </row>
    <row r="1993" spans="1:8">
      <c r="A1993">
        <v>1992</v>
      </c>
      <c r="B1993" t="s">
        <v>11</v>
      </c>
      <c r="C1993">
        <v>97</v>
      </c>
      <c r="D1993">
        <v>129444</v>
      </c>
      <c r="E1993">
        <v>96</v>
      </c>
      <c r="F1993" t="s">
        <v>13</v>
      </c>
      <c r="G1993">
        <v>5</v>
      </c>
      <c r="H1993">
        <v>6</v>
      </c>
    </row>
    <row r="1994" spans="1:8">
      <c r="A1994">
        <v>1993</v>
      </c>
      <c r="B1994" t="s">
        <v>8</v>
      </c>
      <c r="C1994">
        <v>94</v>
      </c>
      <c r="D1994">
        <v>181183</v>
      </c>
      <c r="E1994">
        <v>24</v>
      </c>
      <c r="F1994" t="s">
        <v>18</v>
      </c>
      <c r="G1994">
        <v>9</v>
      </c>
      <c r="H1994">
        <v>3</v>
      </c>
    </row>
    <row r="1995" spans="1:8">
      <c r="A1995">
        <v>1994</v>
      </c>
      <c r="B1995" t="s">
        <v>11</v>
      </c>
      <c r="C1995">
        <v>64</v>
      </c>
      <c r="D1995">
        <v>175254</v>
      </c>
      <c r="E1995">
        <v>100</v>
      </c>
      <c r="F1995" t="s">
        <v>14</v>
      </c>
      <c r="G1995">
        <v>9</v>
      </c>
      <c r="H1995">
        <v>5</v>
      </c>
    </row>
    <row r="1996" spans="1:8">
      <c r="A1996">
        <v>1995</v>
      </c>
      <c r="B1996" t="s">
        <v>11</v>
      </c>
      <c r="C1996">
        <v>19</v>
      </c>
      <c r="D1996">
        <v>54121</v>
      </c>
      <c r="E1996">
        <v>89</v>
      </c>
      <c r="F1996" t="s">
        <v>10</v>
      </c>
      <c r="G1996">
        <v>6</v>
      </c>
      <c r="H1996">
        <v>3</v>
      </c>
    </row>
    <row r="1997" spans="1:8">
      <c r="A1997">
        <v>1996</v>
      </c>
      <c r="B1997" t="s">
        <v>11</v>
      </c>
      <c r="C1997">
        <v>71</v>
      </c>
      <c r="D1997">
        <v>184387</v>
      </c>
      <c r="E1997">
        <v>40</v>
      </c>
      <c r="F1997" t="s">
        <v>14</v>
      </c>
      <c r="G1997">
        <v>8</v>
      </c>
      <c r="H1997">
        <v>7</v>
      </c>
    </row>
    <row r="1998" spans="1:8">
      <c r="A1998">
        <v>1997</v>
      </c>
      <c r="B1998" t="s">
        <v>11</v>
      </c>
      <c r="C1998">
        <v>91</v>
      </c>
      <c r="D1998">
        <v>73158</v>
      </c>
      <c r="E1998">
        <v>32</v>
      </c>
      <c r="F1998" t="s">
        <v>16</v>
      </c>
      <c r="G1998">
        <v>7</v>
      </c>
      <c r="H1998">
        <v>7</v>
      </c>
    </row>
    <row r="1999" spans="1:8">
      <c r="A1999">
        <v>1998</v>
      </c>
      <c r="B1999" t="s">
        <v>8</v>
      </c>
      <c r="C1999">
        <v>87</v>
      </c>
      <c r="D1999">
        <v>90961</v>
      </c>
      <c r="E1999">
        <v>14</v>
      </c>
      <c r="F1999" t="s">
        <v>9</v>
      </c>
      <c r="G1999">
        <v>9</v>
      </c>
      <c r="H1999">
        <v>2</v>
      </c>
    </row>
    <row r="2000" spans="1:8">
      <c r="A2000">
        <v>1999</v>
      </c>
      <c r="B2000" t="s">
        <v>8</v>
      </c>
      <c r="C2000">
        <v>77</v>
      </c>
      <c r="D2000">
        <v>182109</v>
      </c>
      <c r="E2000">
        <v>4</v>
      </c>
      <c r="F2000" t="s">
        <v>15</v>
      </c>
      <c r="G2000">
        <v>7</v>
      </c>
      <c r="H2000">
        <v>2</v>
      </c>
    </row>
    <row r="2001" spans="1:8">
      <c r="A2001">
        <v>2000</v>
      </c>
      <c r="B2001" t="s">
        <v>8</v>
      </c>
      <c r="C2001">
        <v>90</v>
      </c>
      <c r="D2001">
        <v>110610</v>
      </c>
      <c r="E2001">
        <v>52</v>
      </c>
      <c r="F2001" t="s">
        <v>13</v>
      </c>
      <c r="G2001">
        <v>5</v>
      </c>
      <c r="H200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89F94-B217-4E59-88C1-FAF84087E005}">
  <dimension ref="A1:P2001"/>
  <sheetViews>
    <sheetView topLeftCell="A1974" zoomScaleNormal="100" workbookViewId="0">
      <selection sqref="A1:A2001"/>
    </sheetView>
  </sheetViews>
  <sheetFormatPr defaultRowHeight="14.25"/>
  <cols>
    <col min="1" max="1" width="14.125" customWidth="1"/>
    <col min="2" max="2" width="9.875" customWidth="1"/>
    <col min="4" max="4" width="14" customWidth="1"/>
    <col min="5" max="5" width="19.25" style="1" customWidth="1"/>
    <col min="6" max="7" width="25.25" customWidth="1"/>
    <col min="8" max="8" width="12.875" customWidth="1"/>
    <col min="9" max="10" width="18.375" customWidth="1"/>
    <col min="11" max="11" width="18.375" hidden="1" customWidth="1"/>
    <col min="12" max="12" width="18.375" customWidth="1"/>
    <col min="13" max="13" width="13.125" customWidth="1"/>
    <col min="14" max="14" width="25.25" customWidth="1"/>
    <col min="15" max="15" width="15.875" hidden="1" customWidth="1"/>
    <col min="16" max="16" width="12.125" hidden="1" customWidth="1"/>
  </cols>
  <sheetData>
    <row r="1" spans="1:16">
      <c r="A1" t="s">
        <v>0</v>
      </c>
      <c r="B1" t="s">
        <v>1</v>
      </c>
      <c r="C1" t="s">
        <v>2</v>
      </c>
      <c r="D1" t="s">
        <v>20</v>
      </c>
      <c r="E1" s="1" t="s">
        <v>3</v>
      </c>
      <c r="F1" t="s">
        <v>4</v>
      </c>
      <c r="G1" t="s">
        <v>21</v>
      </c>
      <c r="H1" t="s">
        <v>5</v>
      </c>
      <c r="I1" t="s">
        <v>6</v>
      </c>
      <c r="J1" t="s">
        <v>41</v>
      </c>
      <c r="K1" t="s">
        <v>42</v>
      </c>
      <c r="L1" t="s">
        <v>63</v>
      </c>
      <c r="M1" t="s">
        <v>40</v>
      </c>
    </row>
    <row r="2" spans="1:16">
      <c r="A2">
        <v>1</v>
      </c>
      <c r="B2" t="s">
        <v>8</v>
      </c>
      <c r="C2">
        <v>19</v>
      </c>
      <c r="D2" t="str" cm="1">
        <f t="array" ref="D2">_xlfn.IFS(Table2[[#This Row],[Age]]&lt;=11,"Gen A",Table2[[#This Row],[Age]]&lt;=27,"Gen Z",Table2[[#This Row],[Age]]&lt;=43,"Millenials",Table2[[#This Row],[Age]]&lt;=59,"Gen X",Table2[[#This Row],[Age]]&lt;=78,"Baby Boomers",Table2[[#This Row],[Age]]&lt;=96,"Silent",Table2[[#This Row],[Age]]&gt;=97,"Greatest")</f>
        <v>Gen Z</v>
      </c>
      <c r="E2" s="1">
        <v>15000</v>
      </c>
      <c r="F2">
        <v>39</v>
      </c>
      <c r="G2" t="str" cm="1">
        <f t="array" ref="G2">_xlfn.IFS(Table2[[#This Row],[Spending Score (1-100)]]&lt;=25,"Low",Table2[[#This Row],[Spending Score (1-100)]]&lt;=50,"Medium",Table2[[#This Row],[Spending Score (1-100)]]&lt;=75,"High",Table2[[#This Row],[Spending Score (1-100)]]&lt;=100,"Very High")</f>
        <v>Medium</v>
      </c>
      <c r="H2" t="s">
        <v>9</v>
      </c>
      <c r="I2">
        <v>1</v>
      </c>
      <c r="J2" t="str">
        <f>CONCATENATE(Table2[[#This Row],[Work Experience]],"years")</f>
        <v>1years</v>
      </c>
      <c r="K2" t="str">
        <f>CONCATENATE(Table2[[#This Row],[Family Size2]],"members")</f>
        <v>4members</v>
      </c>
      <c r="L2" t="str">
        <f>CONCATENATE(Table2[[#This Row],[Family Size2]],"members")</f>
        <v>4members</v>
      </c>
      <c r="M2">
        <v>4</v>
      </c>
      <c r="O2" s="9" t="s">
        <v>58</v>
      </c>
      <c r="P2" s="9"/>
    </row>
    <row r="3" spans="1:16">
      <c r="A3">
        <v>2</v>
      </c>
      <c r="B3" t="s">
        <v>8</v>
      </c>
      <c r="C3">
        <v>21</v>
      </c>
      <c r="D3" t="str" cm="1">
        <f t="array" ref="D3">_xlfn.IFS(Table2[[#This Row],[Age]]&lt;=11,"Gen A",Table2[[#This Row],[Age]]&lt;=27,"Gen Z",Table2[[#This Row],[Age]]&lt;=43,"Millenials",Table2[[#This Row],[Age]]&lt;=59,"Gen X",Table2[[#This Row],[Age]]&lt;=78,"Baby Boomers",Table2[[#This Row],[Age]]&lt;=96,"Silent",Table2[[#This Row],[Age]]&gt;=97,"Greatest")</f>
        <v>Gen Z</v>
      </c>
      <c r="E3" s="1">
        <v>35000</v>
      </c>
      <c r="F3">
        <v>81</v>
      </c>
      <c r="G3" t="str" cm="1">
        <f t="array" ref="G3">_xlfn.IFS(Table2[[#This Row],[Spending Score (1-100)]]&lt;=25,"Low",Table2[[#This Row],[Spending Score (1-100)]]&lt;=50,"Medium",Table2[[#This Row],[Spending Score (1-100)]]&lt;=75,"High",Table2[[#This Row],[Spending Score (1-100)]]&lt;=100,"Very High")</f>
        <v>Very High</v>
      </c>
      <c r="H3" t="s">
        <v>10</v>
      </c>
      <c r="I3">
        <v>3</v>
      </c>
      <c r="J3" t="str">
        <f>CONCATENATE(Table2[[#This Row],[Work Experience]],"years")</f>
        <v>3years</v>
      </c>
      <c r="K3" t="str">
        <f>CONCATENATE(Table2[[#This Row],[Family Size2]],"members")</f>
        <v>3members</v>
      </c>
      <c r="L3" t="str">
        <f>CONCATENATE(Table2[[#This Row],[Family Size2]],"members")</f>
        <v>3members</v>
      </c>
      <c r="M3">
        <v>3</v>
      </c>
      <c r="O3" s="6" t="s">
        <v>22</v>
      </c>
      <c r="P3" s="6">
        <f>AVERAGE(Table2[Age])</f>
        <v>48.96</v>
      </c>
    </row>
    <row r="4" spans="1:16">
      <c r="A4">
        <v>3</v>
      </c>
      <c r="B4" t="s">
        <v>11</v>
      </c>
      <c r="C4">
        <v>20</v>
      </c>
      <c r="D4" t="str" cm="1">
        <f t="array" ref="D4">_xlfn.IFS(Table2[[#This Row],[Age]]&lt;=11,"Gen A",Table2[[#This Row],[Age]]&lt;=27,"Gen Z",Table2[[#This Row],[Age]]&lt;=43,"Millenials",Table2[[#This Row],[Age]]&lt;=59,"Gen X",Table2[[#This Row],[Age]]&lt;=78,"Baby Boomers",Table2[[#This Row],[Age]]&lt;=96,"Silent",Table2[[#This Row],[Age]]&gt;=97,"Greatest")</f>
        <v>Gen Z</v>
      </c>
      <c r="E4" s="1">
        <v>86000</v>
      </c>
      <c r="F4">
        <v>6</v>
      </c>
      <c r="G4" t="str" cm="1">
        <f t="array" ref="G4">_xlfn.IFS(Table2[[#This Row],[Spending Score (1-100)]]&lt;=25,"Low",Table2[[#This Row],[Spending Score (1-100)]]&lt;=50,"Medium",Table2[[#This Row],[Spending Score (1-100)]]&lt;=75,"High",Table2[[#This Row],[Spending Score (1-100)]]&lt;=100,"Very High")</f>
        <v>Low</v>
      </c>
      <c r="H4" t="s">
        <v>10</v>
      </c>
      <c r="I4">
        <v>1</v>
      </c>
      <c r="J4" t="str">
        <f>CONCATENATE(Table2[[#This Row],[Work Experience]],"years")</f>
        <v>1years</v>
      </c>
      <c r="K4" t="str">
        <f>CONCATENATE(Table2[[#This Row],[Family Size2]],"members")</f>
        <v>1members</v>
      </c>
      <c r="L4" t="str">
        <f>CONCATENATE(Table2[[#This Row],[Family Size2]],"members")</f>
        <v>1members</v>
      </c>
      <c r="M4">
        <v>1</v>
      </c>
      <c r="O4" s="6" t="s">
        <v>59</v>
      </c>
      <c r="P4" s="6">
        <f>COUNT(Table2[CustomerID])</f>
        <v>2000</v>
      </c>
    </row>
    <row r="5" spans="1:16">
      <c r="A5">
        <v>4</v>
      </c>
      <c r="B5" t="s">
        <v>11</v>
      </c>
      <c r="C5">
        <v>23</v>
      </c>
      <c r="D5" t="str" cm="1">
        <f t="array" ref="D5">_xlfn.IFS(Table2[[#This Row],[Age]]&lt;=11,"Gen A",Table2[[#This Row],[Age]]&lt;=27,"Gen Z",Table2[[#This Row],[Age]]&lt;=43,"Millenials",Table2[[#This Row],[Age]]&lt;=59,"Gen X",Table2[[#This Row],[Age]]&lt;=78,"Baby Boomers",Table2[[#This Row],[Age]]&lt;=96,"Silent",Table2[[#This Row],[Age]]&gt;=97,"Greatest")</f>
        <v>Gen Z</v>
      </c>
      <c r="E5" s="1">
        <v>59000</v>
      </c>
      <c r="F5">
        <v>77</v>
      </c>
      <c r="G5" t="str" cm="1">
        <f t="array" ref="G5">_xlfn.IFS(Table2[[#This Row],[Spending Score (1-100)]]&lt;=25,"Low",Table2[[#This Row],[Spending Score (1-100)]]&lt;=50,"Medium",Table2[[#This Row],[Spending Score (1-100)]]&lt;=75,"High",Table2[[#This Row],[Spending Score (1-100)]]&lt;=100,"Very High")</f>
        <v>Very High</v>
      </c>
      <c r="H5" t="s">
        <v>12</v>
      </c>
      <c r="I5">
        <v>0</v>
      </c>
      <c r="J5" t="str">
        <f>CONCATENATE(Table2[[#This Row],[Work Experience]],"years")</f>
        <v>0years</v>
      </c>
      <c r="K5" t="str">
        <f>CONCATENATE(Table2[[#This Row],[Family Size2]],"members")</f>
        <v>2members</v>
      </c>
      <c r="L5" t="str">
        <f>CONCATENATE(Table2[[#This Row],[Family Size2]],"members")</f>
        <v>2members</v>
      </c>
      <c r="M5">
        <v>2</v>
      </c>
      <c r="O5" s="6" t="s">
        <v>60</v>
      </c>
      <c r="P5" s="7">
        <f>AVERAGE(Table2[Spending Score (1-100)])</f>
        <v>50.962499999999999</v>
      </c>
    </row>
    <row r="6" spans="1:16">
      <c r="A6">
        <v>5</v>
      </c>
      <c r="B6" t="s">
        <v>11</v>
      </c>
      <c r="C6">
        <v>31</v>
      </c>
      <c r="D6" t="str" cm="1">
        <f t="array" ref="D6">_xlfn.IFS(Table2[[#This Row],[Age]]&lt;=11,"Gen A",Table2[[#This Row],[Age]]&lt;=27,"Gen Z",Table2[[#This Row],[Age]]&lt;=43,"Millenials",Table2[[#This Row],[Age]]&lt;=59,"Gen X",Table2[[#This Row],[Age]]&lt;=78,"Baby Boomers",Table2[[#This Row],[Age]]&lt;=96,"Silent",Table2[[#This Row],[Age]]&gt;=97,"Greatest")</f>
        <v>Millenials</v>
      </c>
      <c r="E6" s="1">
        <v>38000</v>
      </c>
      <c r="F6">
        <v>40</v>
      </c>
      <c r="G6" t="str" cm="1">
        <f t="array" ref="G6">_xlfn.IFS(Table2[[#This Row],[Spending Score (1-100)]]&lt;=25,"Low",Table2[[#This Row],[Spending Score (1-100)]]&lt;=50,"Medium",Table2[[#This Row],[Spending Score (1-100)]]&lt;=75,"High",Table2[[#This Row],[Spending Score (1-100)]]&lt;=100,"Very High")</f>
        <v>Medium</v>
      </c>
      <c r="H6" t="s">
        <v>13</v>
      </c>
      <c r="I6">
        <v>2</v>
      </c>
      <c r="J6" t="str">
        <f>CONCATENATE(Table2[[#This Row],[Work Experience]],"years")</f>
        <v>2years</v>
      </c>
      <c r="K6" t="str">
        <f>CONCATENATE(Table2[[#This Row],[Family Size2]],"members")</f>
        <v>6members</v>
      </c>
      <c r="L6" t="str">
        <f>CONCATENATE(Table2[[#This Row],[Family Size2]],"members")</f>
        <v>6members</v>
      </c>
      <c r="M6">
        <v>6</v>
      </c>
      <c r="O6" s="6" t="s">
        <v>61</v>
      </c>
      <c r="P6" s="8">
        <f>SUM(Table2[Annual Income ($)])</f>
        <v>221463643</v>
      </c>
    </row>
    <row r="7" spans="1:16">
      <c r="A7">
        <v>6</v>
      </c>
      <c r="B7" t="s">
        <v>11</v>
      </c>
      <c r="C7">
        <v>22</v>
      </c>
      <c r="D7" t="str" cm="1">
        <f t="array" ref="D7">_xlfn.IFS(Table2[[#This Row],[Age]]&lt;=11,"Gen A",Table2[[#This Row],[Age]]&lt;=27,"Gen Z",Table2[[#This Row],[Age]]&lt;=43,"Millenials",Table2[[#This Row],[Age]]&lt;=59,"Gen X",Table2[[#This Row],[Age]]&lt;=78,"Baby Boomers",Table2[[#This Row],[Age]]&lt;=96,"Silent",Table2[[#This Row],[Age]]&gt;=97,"Greatest")</f>
        <v>Gen Z</v>
      </c>
      <c r="E7" s="1">
        <v>58000</v>
      </c>
      <c r="F7">
        <v>76</v>
      </c>
      <c r="G7" t="str" cm="1">
        <f t="array" ref="G7">_xlfn.IFS(Table2[[#This Row],[Spending Score (1-100)]]&lt;=25,"Low",Table2[[#This Row],[Spending Score (1-100)]]&lt;=50,"Medium",Table2[[#This Row],[Spending Score (1-100)]]&lt;=75,"High",Table2[[#This Row],[Spending Score (1-100)]]&lt;=100,"Very High")</f>
        <v>Very High</v>
      </c>
      <c r="H7" t="s">
        <v>14</v>
      </c>
      <c r="I7">
        <v>0</v>
      </c>
      <c r="J7" t="str">
        <f>CONCATENATE(Table2[[#This Row],[Work Experience]],"years")</f>
        <v>0years</v>
      </c>
      <c r="K7" t="str">
        <f>CONCATENATE(Table2[[#This Row],[Family Size2]],"members")</f>
        <v>2members</v>
      </c>
      <c r="L7" t="str">
        <f>CONCATENATE(Table2[[#This Row],[Family Size2]],"members")</f>
        <v>2members</v>
      </c>
      <c r="M7">
        <v>2</v>
      </c>
      <c r="O7" s="6" t="s">
        <v>62</v>
      </c>
      <c r="P7" s="8">
        <f>AVERAGE(Table2[Annual Income ($)])</f>
        <v>110731.82150000001</v>
      </c>
    </row>
    <row r="8" spans="1:16">
      <c r="A8">
        <v>7</v>
      </c>
      <c r="B8" t="s">
        <v>11</v>
      </c>
      <c r="C8">
        <v>35</v>
      </c>
      <c r="D8" t="str" cm="1">
        <f t="array" ref="D8">_xlfn.IFS(Table2[[#This Row],[Age]]&lt;=11,"Gen A",Table2[[#This Row],[Age]]&lt;=27,"Gen Z",Table2[[#This Row],[Age]]&lt;=43,"Millenials",Table2[[#This Row],[Age]]&lt;=59,"Gen X",Table2[[#This Row],[Age]]&lt;=78,"Baby Boomers",Table2[[#This Row],[Age]]&lt;=96,"Silent",Table2[[#This Row],[Age]]&gt;=97,"Greatest")</f>
        <v>Millenials</v>
      </c>
      <c r="E8" s="1">
        <v>31000</v>
      </c>
      <c r="F8">
        <v>6</v>
      </c>
      <c r="G8" t="str" cm="1">
        <f t="array" ref="G8">_xlfn.IFS(Table2[[#This Row],[Spending Score (1-100)]]&lt;=25,"Low",Table2[[#This Row],[Spending Score (1-100)]]&lt;=50,"Medium",Table2[[#This Row],[Spending Score (1-100)]]&lt;=75,"High",Table2[[#This Row],[Spending Score (1-100)]]&lt;=100,"Very High")</f>
        <v>Low</v>
      </c>
      <c r="H8" t="s">
        <v>9</v>
      </c>
      <c r="I8">
        <v>1</v>
      </c>
      <c r="J8" t="str">
        <f>CONCATENATE(Table2[[#This Row],[Work Experience]],"years")</f>
        <v>1years</v>
      </c>
      <c r="K8" t="str">
        <f>CONCATENATE(Table2[[#This Row],[Family Size2]],"members")</f>
        <v>3members</v>
      </c>
      <c r="L8" t="str">
        <f>CONCATENATE(Table2[[#This Row],[Family Size2]],"members")</f>
        <v>3members</v>
      </c>
      <c r="M8">
        <v>3</v>
      </c>
    </row>
    <row r="9" spans="1:16">
      <c r="A9">
        <v>8</v>
      </c>
      <c r="B9" t="s">
        <v>11</v>
      </c>
      <c r="C9">
        <v>23</v>
      </c>
      <c r="D9" t="str" cm="1">
        <f t="array" ref="D9">_xlfn.IFS(Table2[[#This Row],[Age]]&lt;=11,"Gen A",Table2[[#This Row],[Age]]&lt;=27,"Gen Z",Table2[[#This Row],[Age]]&lt;=43,"Millenials",Table2[[#This Row],[Age]]&lt;=59,"Gen X",Table2[[#This Row],[Age]]&lt;=78,"Baby Boomers",Table2[[#This Row],[Age]]&lt;=96,"Silent",Table2[[#This Row],[Age]]&gt;=97,"Greatest")</f>
        <v>Gen Z</v>
      </c>
      <c r="E9" s="1">
        <v>84000</v>
      </c>
      <c r="F9">
        <v>94</v>
      </c>
      <c r="G9" t="str" cm="1">
        <f t="array" ref="G9">_xlfn.IFS(Table2[[#This Row],[Spending Score (1-100)]]&lt;=25,"Low",Table2[[#This Row],[Spending Score (1-100)]]&lt;=50,"Medium",Table2[[#This Row],[Spending Score (1-100)]]&lt;=75,"High",Table2[[#This Row],[Spending Score (1-100)]]&lt;=100,"Very High")</f>
        <v>Very High</v>
      </c>
      <c r="H9" t="s">
        <v>9</v>
      </c>
      <c r="I9">
        <v>1</v>
      </c>
      <c r="J9" t="str">
        <f>CONCATENATE(Table2[[#This Row],[Work Experience]],"years")</f>
        <v>1years</v>
      </c>
      <c r="K9" t="str">
        <f>CONCATENATE(Table2[[#This Row],[Family Size2]],"members")</f>
        <v>3members</v>
      </c>
      <c r="L9" t="str">
        <f>CONCATENATE(Table2[[#This Row],[Family Size2]],"members")</f>
        <v>3members</v>
      </c>
      <c r="M9">
        <v>3</v>
      </c>
    </row>
    <row r="10" spans="1:16">
      <c r="A10">
        <v>9</v>
      </c>
      <c r="B10" t="s">
        <v>8</v>
      </c>
      <c r="C10">
        <v>64</v>
      </c>
      <c r="D10" t="str" cm="1">
        <f t="array" ref="D10">_xlfn.IFS(Table2[[#This Row],[Age]]&lt;=11,"Gen A",Table2[[#This Row],[Age]]&lt;=27,"Gen Z",Table2[[#This Row],[Age]]&lt;=43,"Millenials",Table2[[#This Row],[Age]]&lt;=59,"Gen X",Table2[[#This Row],[Age]]&lt;=78,"Baby Boomers",Table2[[#This Row],[Age]]&lt;=96,"Silent",Table2[[#This Row],[Age]]&gt;=97,"Greatest")</f>
        <v>Baby Boomers</v>
      </c>
      <c r="E10" s="1">
        <v>97000</v>
      </c>
      <c r="F10">
        <v>3</v>
      </c>
      <c r="G10" t="str" cm="1">
        <f t="array" ref="G10">_xlfn.IFS(Table2[[#This Row],[Spending Score (1-100)]]&lt;=25,"Low",Table2[[#This Row],[Spending Score (1-100)]]&lt;=50,"Medium",Table2[[#This Row],[Spending Score (1-100)]]&lt;=75,"High",Table2[[#This Row],[Spending Score (1-100)]]&lt;=100,"Very High")</f>
        <v>Low</v>
      </c>
      <c r="H10" t="s">
        <v>10</v>
      </c>
      <c r="I10">
        <v>0</v>
      </c>
      <c r="J10" t="str">
        <f>CONCATENATE(Table2[[#This Row],[Work Experience]],"years")</f>
        <v>0years</v>
      </c>
      <c r="K10" t="str">
        <f>CONCATENATE(Table2[[#This Row],[Family Size2]],"members")</f>
        <v>3members</v>
      </c>
      <c r="L10" t="str">
        <f>CONCATENATE(Table2[[#This Row],[Family Size2]],"members")</f>
        <v>3members</v>
      </c>
      <c r="M10">
        <v>3</v>
      </c>
    </row>
    <row r="11" spans="1:16">
      <c r="A11">
        <v>10</v>
      </c>
      <c r="B11" t="s">
        <v>11</v>
      </c>
      <c r="C11">
        <v>30</v>
      </c>
      <c r="D11" t="str" cm="1">
        <f t="array" ref="D11">_xlfn.IFS(Table2[[#This Row],[Age]]&lt;=11,"Gen A",Table2[[#This Row],[Age]]&lt;=27,"Gen Z",Table2[[#This Row],[Age]]&lt;=43,"Millenials",Table2[[#This Row],[Age]]&lt;=59,"Gen X",Table2[[#This Row],[Age]]&lt;=78,"Baby Boomers",Table2[[#This Row],[Age]]&lt;=96,"Silent",Table2[[#This Row],[Age]]&gt;=97,"Greatest")</f>
        <v>Millenials</v>
      </c>
      <c r="E11" s="1">
        <v>98000</v>
      </c>
      <c r="F11">
        <v>72</v>
      </c>
      <c r="G11" t="str" cm="1">
        <f t="array" ref="G11">_xlfn.IFS(Table2[[#This Row],[Spending Score (1-100)]]&lt;=25,"Low",Table2[[#This Row],[Spending Score (1-100)]]&lt;=50,"Medium",Table2[[#This Row],[Spending Score (1-100)]]&lt;=75,"High",Table2[[#This Row],[Spending Score (1-100)]]&lt;=100,"Very High")</f>
        <v>High</v>
      </c>
      <c r="H11" t="s">
        <v>14</v>
      </c>
      <c r="I11">
        <v>1</v>
      </c>
      <c r="J11" t="str">
        <f>CONCATENATE(Table2[[#This Row],[Work Experience]],"years")</f>
        <v>1years</v>
      </c>
      <c r="K11" t="str">
        <f>CONCATENATE(Table2[[#This Row],[Family Size2]],"members")</f>
        <v>4members</v>
      </c>
      <c r="L11" t="str">
        <f>CONCATENATE(Table2[[#This Row],[Family Size2]],"members")</f>
        <v>4members</v>
      </c>
      <c r="M11">
        <v>4</v>
      </c>
    </row>
    <row r="12" spans="1:16">
      <c r="A12">
        <v>11</v>
      </c>
      <c r="B12" t="s">
        <v>8</v>
      </c>
      <c r="C12">
        <v>67</v>
      </c>
      <c r="D12" t="str" cm="1">
        <f t="array" ref="D12">_xlfn.IFS(Table2[[#This Row],[Age]]&lt;=11,"Gen A",Table2[[#This Row],[Age]]&lt;=27,"Gen Z",Table2[[#This Row],[Age]]&lt;=43,"Millenials",Table2[[#This Row],[Age]]&lt;=59,"Gen X",Table2[[#This Row],[Age]]&lt;=78,"Baby Boomers",Table2[[#This Row],[Age]]&lt;=96,"Silent",Table2[[#This Row],[Age]]&gt;=97,"Greatest")</f>
        <v>Baby Boomers</v>
      </c>
      <c r="E12" s="1">
        <v>7000</v>
      </c>
      <c r="F12">
        <v>14</v>
      </c>
      <c r="G12" t="str" cm="1">
        <f t="array" ref="G12">_xlfn.IFS(Table2[[#This Row],[Spending Score (1-100)]]&lt;=25,"Low",Table2[[#This Row],[Spending Score (1-100)]]&lt;=50,"Medium",Table2[[#This Row],[Spending Score (1-100)]]&lt;=75,"High",Table2[[#This Row],[Spending Score (1-100)]]&lt;=100,"Very High")</f>
        <v>Low</v>
      </c>
      <c r="H12" t="s">
        <v>10</v>
      </c>
      <c r="I12">
        <v>1</v>
      </c>
      <c r="J12" t="str">
        <f>CONCATENATE(Table2[[#This Row],[Work Experience]],"years")</f>
        <v>1years</v>
      </c>
      <c r="K12" t="str">
        <f>CONCATENATE(Table2[[#This Row],[Family Size2]],"members")</f>
        <v>3members</v>
      </c>
      <c r="L12" t="str">
        <f>CONCATENATE(Table2[[#This Row],[Family Size2]],"members")</f>
        <v>3members</v>
      </c>
      <c r="M12">
        <v>3</v>
      </c>
    </row>
    <row r="13" spans="1:16">
      <c r="A13">
        <v>12</v>
      </c>
      <c r="B13" t="s">
        <v>11</v>
      </c>
      <c r="C13">
        <v>35</v>
      </c>
      <c r="D13" t="str" cm="1">
        <f t="array" ref="D13">_xlfn.IFS(Table2[[#This Row],[Age]]&lt;=11,"Gen A",Table2[[#This Row],[Age]]&lt;=27,"Gen Z",Table2[[#This Row],[Age]]&lt;=43,"Millenials",Table2[[#This Row],[Age]]&lt;=59,"Gen X",Table2[[#This Row],[Age]]&lt;=78,"Baby Boomers",Table2[[#This Row],[Age]]&lt;=96,"Silent",Table2[[#This Row],[Age]]&gt;=97,"Greatest")</f>
        <v>Millenials</v>
      </c>
      <c r="E13" s="1">
        <v>93000</v>
      </c>
      <c r="F13">
        <v>99</v>
      </c>
      <c r="G13" t="str" cm="1">
        <f t="array" ref="G13">_xlfn.IFS(Table2[[#This Row],[Spending Score (1-100)]]&lt;=25,"Low",Table2[[#This Row],[Spending Score (1-100)]]&lt;=50,"Medium",Table2[[#This Row],[Spending Score (1-100)]]&lt;=75,"High",Table2[[#This Row],[Spending Score (1-100)]]&lt;=100,"Very High")</f>
        <v>Very High</v>
      </c>
      <c r="H13" t="s">
        <v>9</v>
      </c>
      <c r="I13">
        <v>4</v>
      </c>
      <c r="J13" t="str">
        <f>CONCATENATE(Table2[[#This Row],[Work Experience]],"years")</f>
        <v>4years</v>
      </c>
      <c r="K13" t="str">
        <f>CONCATENATE(Table2[[#This Row],[Family Size2]],"members")</f>
        <v>4members</v>
      </c>
      <c r="L13" t="str">
        <f>CONCATENATE(Table2[[#This Row],[Family Size2]],"members")</f>
        <v>4members</v>
      </c>
      <c r="M13">
        <v>4</v>
      </c>
    </row>
    <row r="14" spans="1:16">
      <c r="A14">
        <v>13</v>
      </c>
      <c r="B14" t="s">
        <v>11</v>
      </c>
      <c r="C14">
        <v>58</v>
      </c>
      <c r="D14" t="str" cm="1">
        <f t="array" ref="D14">_xlfn.IFS(Table2[[#This Row],[Age]]&lt;=11,"Gen A",Table2[[#This Row],[Age]]&lt;=27,"Gen Z",Table2[[#This Row],[Age]]&lt;=43,"Millenials",Table2[[#This Row],[Age]]&lt;=59,"Gen X",Table2[[#This Row],[Age]]&lt;=78,"Baby Boomers",Table2[[#This Row],[Age]]&lt;=96,"Silent",Table2[[#This Row],[Age]]&gt;=97,"Greatest")</f>
        <v>Gen X</v>
      </c>
      <c r="E14" s="1">
        <v>80000</v>
      </c>
      <c r="F14">
        <v>15</v>
      </c>
      <c r="G14" t="str" cm="1">
        <f t="array" ref="G14">_xlfn.IFS(Table2[[#This Row],[Spending Score (1-100)]]&lt;=25,"Low",Table2[[#This Row],[Spending Score (1-100)]]&lt;=50,"Medium",Table2[[#This Row],[Spending Score (1-100)]]&lt;=75,"High",Table2[[#This Row],[Spending Score (1-100)]]&lt;=100,"Very High")</f>
        <v>Low</v>
      </c>
      <c r="H14" t="s">
        <v>15</v>
      </c>
      <c r="I14">
        <v>0</v>
      </c>
      <c r="J14" t="str">
        <f>CONCATENATE(Table2[[#This Row],[Work Experience]],"years")</f>
        <v>0years</v>
      </c>
      <c r="K14" t="str">
        <f>CONCATENATE(Table2[[#This Row],[Family Size2]],"members")</f>
        <v>5members</v>
      </c>
      <c r="L14" t="str">
        <f>CONCATENATE(Table2[[#This Row],[Family Size2]],"members")</f>
        <v>5members</v>
      </c>
      <c r="M14">
        <v>5</v>
      </c>
    </row>
    <row r="15" spans="1:16">
      <c r="A15">
        <v>14</v>
      </c>
      <c r="B15" t="s">
        <v>11</v>
      </c>
      <c r="C15">
        <v>24</v>
      </c>
      <c r="D15" t="str" cm="1">
        <f t="array" ref="D15">_xlfn.IFS(Table2[[#This Row],[Age]]&lt;=11,"Gen A",Table2[[#This Row],[Age]]&lt;=27,"Gen Z",Table2[[#This Row],[Age]]&lt;=43,"Millenials",Table2[[#This Row],[Age]]&lt;=59,"Gen X",Table2[[#This Row],[Age]]&lt;=78,"Baby Boomers",Table2[[#This Row],[Age]]&lt;=96,"Silent",Table2[[#This Row],[Age]]&gt;=97,"Greatest")</f>
        <v>Gen Z</v>
      </c>
      <c r="E15" s="1">
        <v>91000</v>
      </c>
      <c r="F15">
        <v>77</v>
      </c>
      <c r="G15" t="str" cm="1">
        <f t="array" ref="G15">_xlfn.IFS(Table2[[#This Row],[Spending Score (1-100)]]&lt;=25,"Low",Table2[[#This Row],[Spending Score (1-100)]]&lt;=50,"Medium",Table2[[#This Row],[Spending Score (1-100)]]&lt;=75,"High",Table2[[#This Row],[Spending Score (1-100)]]&lt;=100,"Very High")</f>
        <v>Very High</v>
      </c>
      <c r="H15" t="s">
        <v>12</v>
      </c>
      <c r="I15">
        <v>1</v>
      </c>
      <c r="J15" t="str">
        <f>CONCATENATE(Table2[[#This Row],[Work Experience]],"years")</f>
        <v>1years</v>
      </c>
      <c r="K15" t="str">
        <f>CONCATENATE(Table2[[#This Row],[Family Size2]],"members")</f>
        <v>1members</v>
      </c>
      <c r="L15" t="str">
        <f>CONCATENATE(Table2[[#This Row],[Family Size2]],"members")</f>
        <v>1members</v>
      </c>
      <c r="M15">
        <v>1</v>
      </c>
    </row>
    <row r="16" spans="1:16">
      <c r="A16">
        <v>15</v>
      </c>
      <c r="B16" t="s">
        <v>8</v>
      </c>
      <c r="C16">
        <v>37</v>
      </c>
      <c r="D16" t="str" cm="1">
        <f t="array" ref="D16">_xlfn.IFS(Table2[[#This Row],[Age]]&lt;=11,"Gen A",Table2[[#This Row],[Age]]&lt;=27,"Gen Z",Table2[[#This Row],[Age]]&lt;=43,"Millenials",Table2[[#This Row],[Age]]&lt;=59,"Gen X",Table2[[#This Row],[Age]]&lt;=78,"Baby Boomers",Table2[[#This Row],[Age]]&lt;=96,"Silent",Table2[[#This Row],[Age]]&gt;=97,"Greatest")</f>
        <v>Millenials</v>
      </c>
      <c r="E16" s="1">
        <v>19000</v>
      </c>
      <c r="F16">
        <v>13</v>
      </c>
      <c r="G16" t="str" cm="1">
        <f t="array" ref="G16">_xlfn.IFS(Table2[[#This Row],[Spending Score (1-100)]]&lt;=25,"Low",Table2[[#This Row],[Spending Score (1-100)]]&lt;=50,"Medium",Table2[[#This Row],[Spending Score (1-100)]]&lt;=75,"High",Table2[[#This Row],[Spending Score (1-100)]]&lt;=100,"Very High")</f>
        <v>Low</v>
      </c>
      <c r="H16" t="s">
        <v>16</v>
      </c>
      <c r="I16">
        <v>0</v>
      </c>
      <c r="J16" t="str">
        <f>CONCATENATE(Table2[[#This Row],[Work Experience]],"years")</f>
        <v>0years</v>
      </c>
      <c r="K16" t="str">
        <f>CONCATENATE(Table2[[#This Row],[Family Size2]],"members")</f>
        <v>1members</v>
      </c>
      <c r="L16" t="str">
        <f>CONCATENATE(Table2[[#This Row],[Family Size2]],"members")</f>
        <v>1members</v>
      </c>
      <c r="M16">
        <v>1</v>
      </c>
    </row>
    <row r="17" spans="1:13">
      <c r="A17">
        <v>16</v>
      </c>
      <c r="B17" t="s">
        <v>8</v>
      </c>
      <c r="C17">
        <v>22</v>
      </c>
      <c r="D17" t="str" cm="1">
        <f t="array" ref="D17">_xlfn.IFS(Table2[[#This Row],[Age]]&lt;=11,"Gen A",Table2[[#This Row],[Age]]&lt;=27,"Gen Z",Table2[[#This Row],[Age]]&lt;=43,"Millenials",Table2[[#This Row],[Age]]&lt;=59,"Gen X",Table2[[#This Row],[Age]]&lt;=78,"Baby Boomers",Table2[[#This Row],[Age]]&lt;=96,"Silent",Table2[[#This Row],[Age]]&gt;=97,"Greatest")</f>
        <v>Gen Z</v>
      </c>
      <c r="E17" s="1">
        <v>51000</v>
      </c>
      <c r="F17">
        <v>79</v>
      </c>
      <c r="G17" t="str" cm="1">
        <f t="array" ref="G17">_xlfn.IFS(Table2[[#This Row],[Spending Score (1-100)]]&lt;=25,"Low",Table2[[#This Row],[Spending Score (1-100)]]&lt;=50,"Medium",Table2[[#This Row],[Spending Score (1-100)]]&lt;=75,"High",Table2[[#This Row],[Spending Score (1-100)]]&lt;=100,"Very High")</f>
        <v>Very High</v>
      </c>
      <c r="H17" t="s">
        <v>9</v>
      </c>
      <c r="I17">
        <v>1</v>
      </c>
      <c r="J17" t="str">
        <f>CONCATENATE(Table2[[#This Row],[Work Experience]],"years")</f>
        <v>1years</v>
      </c>
      <c r="K17" t="str">
        <f>CONCATENATE(Table2[[#This Row],[Family Size2]],"members")</f>
        <v>2members</v>
      </c>
      <c r="L17" t="str">
        <f>CONCATENATE(Table2[[#This Row],[Family Size2]],"members")</f>
        <v>2members</v>
      </c>
      <c r="M17">
        <v>2</v>
      </c>
    </row>
    <row r="18" spans="1:13">
      <c r="A18">
        <v>17</v>
      </c>
      <c r="B18" t="s">
        <v>11</v>
      </c>
      <c r="C18">
        <v>35</v>
      </c>
      <c r="D18" t="str" cm="1">
        <f t="array" ref="D18">_xlfn.IFS(Table2[[#This Row],[Age]]&lt;=11,"Gen A",Table2[[#This Row],[Age]]&lt;=27,"Gen Z",Table2[[#This Row],[Age]]&lt;=43,"Millenials",Table2[[#This Row],[Age]]&lt;=59,"Gen X",Table2[[#This Row],[Age]]&lt;=78,"Baby Boomers",Table2[[#This Row],[Age]]&lt;=96,"Silent",Table2[[#This Row],[Age]]&gt;=97,"Greatest")</f>
        <v>Millenials</v>
      </c>
      <c r="E18" s="1">
        <v>29000</v>
      </c>
      <c r="F18">
        <v>35</v>
      </c>
      <c r="G18" t="str" cm="1">
        <f t="array" ref="G18">_xlfn.IFS(Table2[[#This Row],[Spending Score (1-100)]]&lt;=25,"Low",Table2[[#This Row],[Spending Score (1-100)]]&lt;=50,"Medium",Table2[[#This Row],[Spending Score (1-100)]]&lt;=75,"High",Table2[[#This Row],[Spending Score (1-100)]]&lt;=100,"Very High")</f>
        <v>Medium</v>
      </c>
      <c r="H18" t="s">
        <v>17</v>
      </c>
      <c r="I18">
        <v>9</v>
      </c>
      <c r="J18" t="str">
        <f>CONCATENATE(Table2[[#This Row],[Work Experience]],"years")</f>
        <v>9years</v>
      </c>
      <c r="K18" t="str">
        <f>CONCATENATE(Table2[[#This Row],[Family Size2]],"members")</f>
        <v>5members</v>
      </c>
      <c r="L18" t="str">
        <f>CONCATENATE(Table2[[#This Row],[Family Size2]],"members")</f>
        <v>5members</v>
      </c>
      <c r="M18">
        <v>5</v>
      </c>
    </row>
    <row r="19" spans="1:13">
      <c r="A19">
        <v>18</v>
      </c>
      <c r="B19" t="s">
        <v>8</v>
      </c>
      <c r="C19">
        <v>20</v>
      </c>
      <c r="D19" t="str" cm="1">
        <f t="array" ref="D19">_xlfn.IFS(Table2[[#This Row],[Age]]&lt;=11,"Gen A",Table2[[#This Row],[Age]]&lt;=27,"Gen Z",Table2[[#This Row],[Age]]&lt;=43,"Millenials",Table2[[#This Row],[Age]]&lt;=59,"Gen X",Table2[[#This Row],[Age]]&lt;=78,"Baby Boomers",Table2[[#This Row],[Age]]&lt;=96,"Silent",Table2[[#This Row],[Age]]&gt;=97,"Greatest")</f>
        <v>Gen Z</v>
      </c>
      <c r="E19" s="1">
        <v>89000</v>
      </c>
      <c r="F19">
        <v>66</v>
      </c>
      <c r="G19" t="str" cm="1">
        <f t="array" ref="G19">_xlfn.IFS(Table2[[#This Row],[Spending Score (1-100)]]&lt;=25,"Low",Table2[[#This Row],[Spending Score (1-100)]]&lt;=50,"Medium",Table2[[#This Row],[Spending Score (1-100)]]&lt;=75,"High",Table2[[#This Row],[Spending Score (1-100)]]&lt;=100,"Very High")</f>
        <v>High</v>
      </c>
      <c r="H19" t="s">
        <v>9</v>
      </c>
      <c r="I19">
        <v>1</v>
      </c>
      <c r="J19" t="str">
        <f>CONCATENATE(Table2[[#This Row],[Work Experience]],"years")</f>
        <v>1years</v>
      </c>
      <c r="K19" t="str">
        <f>CONCATENATE(Table2[[#This Row],[Family Size2]],"members")</f>
        <v>6members</v>
      </c>
      <c r="L19" t="str">
        <f>CONCATENATE(Table2[[#This Row],[Family Size2]],"members")</f>
        <v>6members</v>
      </c>
      <c r="M19">
        <v>6</v>
      </c>
    </row>
    <row r="20" spans="1:13">
      <c r="A20">
        <v>19</v>
      </c>
      <c r="B20" t="s">
        <v>8</v>
      </c>
      <c r="C20">
        <v>52</v>
      </c>
      <c r="D20" t="str" cm="1">
        <f t="array" ref="D20">_xlfn.IFS(Table2[[#This Row],[Age]]&lt;=11,"Gen A",Table2[[#This Row],[Age]]&lt;=27,"Gen Z",Table2[[#This Row],[Age]]&lt;=43,"Millenials",Table2[[#This Row],[Age]]&lt;=59,"Gen X",Table2[[#This Row],[Age]]&lt;=78,"Baby Boomers",Table2[[#This Row],[Age]]&lt;=96,"Silent",Table2[[#This Row],[Age]]&gt;=97,"Greatest")</f>
        <v>Gen X</v>
      </c>
      <c r="E20" s="1">
        <v>20000</v>
      </c>
      <c r="F20">
        <v>29</v>
      </c>
      <c r="G20" t="str" cm="1">
        <f t="array" ref="G20">_xlfn.IFS(Table2[[#This Row],[Spending Score (1-100)]]&lt;=25,"Low",Table2[[#This Row],[Spending Score (1-100)]]&lt;=50,"Medium",Table2[[#This Row],[Spending Score (1-100)]]&lt;=75,"High",Table2[[#This Row],[Spending Score (1-100)]]&lt;=100,"Very High")</f>
        <v>Medium</v>
      </c>
      <c r="H20" t="s">
        <v>13</v>
      </c>
      <c r="I20">
        <v>1</v>
      </c>
      <c r="J20" t="str">
        <f>CONCATENATE(Table2[[#This Row],[Work Experience]],"years")</f>
        <v>1years</v>
      </c>
      <c r="K20" t="str">
        <f>CONCATENATE(Table2[[#This Row],[Family Size2]],"members")</f>
        <v>4members</v>
      </c>
      <c r="L20" t="str">
        <f>CONCATENATE(Table2[[#This Row],[Family Size2]],"members")</f>
        <v>4members</v>
      </c>
      <c r="M20">
        <v>4</v>
      </c>
    </row>
    <row r="21" spans="1:13">
      <c r="A21">
        <v>20</v>
      </c>
      <c r="B21" t="s">
        <v>11</v>
      </c>
      <c r="C21">
        <v>35</v>
      </c>
      <c r="D21" t="str" cm="1">
        <f t="array" ref="D21">_xlfn.IFS(Table2[[#This Row],[Age]]&lt;=11,"Gen A",Table2[[#This Row],[Age]]&lt;=27,"Gen Z",Table2[[#This Row],[Age]]&lt;=43,"Millenials",Table2[[#This Row],[Age]]&lt;=59,"Gen X",Table2[[#This Row],[Age]]&lt;=78,"Baby Boomers",Table2[[#This Row],[Age]]&lt;=96,"Silent",Table2[[#This Row],[Age]]&gt;=97,"Greatest")</f>
        <v>Millenials</v>
      </c>
      <c r="E21" s="1">
        <v>62000</v>
      </c>
      <c r="F21">
        <v>98</v>
      </c>
      <c r="G21" t="str" cm="1">
        <f t="array" ref="G21">_xlfn.IFS(Table2[[#This Row],[Spending Score (1-100)]]&lt;=25,"Low",Table2[[#This Row],[Spending Score (1-100)]]&lt;=50,"Medium",Table2[[#This Row],[Spending Score (1-100)]]&lt;=75,"High",Table2[[#This Row],[Spending Score (1-100)]]&lt;=100,"Very High")</f>
        <v>Very High</v>
      </c>
      <c r="H21" t="s">
        <v>14</v>
      </c>
      <c r="I21">
        <v>0</v>
      </c>
      <c r="J21" t="str">
        <f>CONCATENATE(Table2[[#This Row],[Work Experience]],"years")</f>
        <v>0years</v>
      </c>
      <c r="K21" t="str">
        <f>CONCATENATE(Table2[[#This Row],[Family Size2]],"members")</f>
        <v>1members</v>
      </c>
      <c r="L21" t="str">
        <f>CONCATENATE(Table2[[#This Row],[Family Size2]],"members")</f>
        <v>1members</v>
      </c>
      <c r="M21">
        <v>1</v>
      </c>
    </row>
    <row r="22" spans="1:13">
      <c r="A22">
        <v>21</v>
      </c>
      <c r="B22" t="s">
        <v>8</v>
      </c>
      <c r="C22">
        <v>35</v>
      </c>
      <c r="D22" t="str" cm="1">
        <f t="array" ref="D22">_xlfn.IFS(Table2[[#This Row],[Age]]&lt;=11,"Gen A",Table2[[#This Row],[Age]]&lt;=27,"Gen Z",Table2[[#This Row],[Age]]&lt;=43,"Millenials",Table2[[#This Row],[Age]]&lt;=59,"Gen X",Table2[[#This Row],[Age]]&lt;=78,"Baby Boomers",Table2[[#This Row],[Age]]&lt;=96,"Silent",Table2[[#This Row],[Age]]&gt;=97,"Greatest")</f>
        <v>Millenials</v>
      </c>
      <c r="E22" s="1">
        <v>96000</v>
      </c>
      <c r="F22">
        <v>35</v>
      </c>
      <c r="G22" t="str" cm="1">
        <f t="array" ref="G22">_xlfn.IFS(Table2[[#This Row],[Spending Score (1-100)]]&lt;=25,"Low",Table2[[#This Row],[Spending Score (1-100)]]&lt;=50,"Medium",Table2[[#This Row],[Spending Score (1-100)]]&lt;=75,"High",Table2[[#This Row],[Spending Score (1-100)]]&lt;=100,"Very High")</f>
        <v>Medium</v>
      </c>
      <c r="H22" t="s">
        <v>17</v>
      </c>
      <c r="I22">
        <v>12</v>
      </c>
      <c r="J22" t="str">
        <f>CONCATENATE(Table2[[#This Row],[Work Experience]],"years")</f>
        <v>12years</v>
      </c>
      <c r="K22" t="str">
        <f>CONCATENATE(Table2[[#This Row],[Family Size2]],"members")</f>
        <v>1members</v>
      </c>
      <c r="L22" t="str">
        <f>CONCATENATE(Table2[[#This Row],[Family Size2]],"members")</f>
        <v>1members</v>
      </c>
      <c r="M22">
        <v>1</v>
      </c>
    </row>
    <row r="23" spans="1:13">
      <c r="A23">
        <v>22</v>
      </c>
      <c r="B23" t="s">
        <v>8</v>
      </c>
      <c r="C23">
        <v>25</v>
      </c>
      <c r="D23" t="str" cm="1">
        <f t="array" ref="D23">_xlfn.IFS(Table2[[#This Row],[Age]]&lt;=11,"Gen A",Table2[[#This Row],[Age]]&lt;=27,"Gen Z",Table2[[#This Row],[Age]]&lt;=43,"Millenials",Table2[[#This Row],[Age]]&lt;=59,"Gen X",Table2[[#This Row],[Age]]&lt;=78,"Baby Boomers",Table2[[#This Row],[Age]]&lt;=96,"Silent",Table2[[#This Row],[Age]]&gt;=97,"Greatest")</f>
        <v>Gen Z</v>
      </c>
      <c r="E23" s="1">
        <v>4000</v>
      </c>
      <c r="F23">
        <v>73</v>
      </c>
      <c r="G23" t="str" cm="1">
        <f t="array" ref="G23">_xlfn.IFS(Table2[[#This Row],[Spending Score (1-100)]]&lt;=25,"Low",Table2[[#This Row],[Spending Score (1-100)]]&lt;=50,"Medium",Table2[[#This Row],[Spending Score (1-100)]]&lt;=75,"High",Table2[[#This Row],[Spending Score (1-100)]]&lt;=100,"Very High")</f>
        <v>High</v>
      </c>
      <c r="H23" t="s">
        <v>9</v>
      </c>
      <c r="I23">
        <v>3</v>
      </c>
      <c r="J23" t="str">
        <f>CONCATENATE(Table2[[#This Row],[Work Experience]],"years")</f>
        <v>3years</v>
      </c>
      <c r="K23" t="str">
        <f>CONCATENATE(Table2[[#This Row],[Family Size2]],"members")</f>
        <v>4members</v>
      </c>
      <c r="L23" t="str">
        <f>CONCATENATE(Table2[[#This Row],[Family Size2]],"members")</f>
        <v>4members</v>
      </c>
      <c r="M23">
        <v>4</v>
      </c>
    </row>
    <row r="24" spans="1:13">
      <c r="A24">
        <v>23</v>
      </c>
      <c r="B24" t="s">
        <v>11</v>
      </c>
      <c r="C24">
        <v>46</v>
      </c>
      <c r="D24" t="str" cm="1">
        <f t="array" ref="D24">_xlfn.IFS(Table2[[#This Row],[Age]]&lt;=11,"Gen A",Table2[[#This Row],[Age]]&lt;=27,"Gen Z",Table2[[#This Row],[Age]]&lt;=43,"Millenials",Table2[[#This Row],[Age]]&lt;=59,"Gen X",Table2[[#This Row],[Age]]&lt;=78,"Baby Boomers",Table2[[#This Row],[Age]]&lt;=96,"Silent",Table2[[#This Row],[Age]]&gt;=97,"Greatest")</f>
        <v>Gen X</v>
      </c>
      <c r="E24" s="1">
        <v>42000</v>
      </c>
      <c r="F24">
        <v>5</v>
      </c>
      <c r="G24" t="str" cm="1">
        <f t="array" ref="G24">_xlfn.IFS(Table2[[#This Row],[Spending Score (1-100)]]&lt;=25,"Low",Table2[[#This Row],[Spending Score (1-100)]]&lt;=50,"Medium",Table2[[#This Row],[Spending Score (1-100)]]&lt;=75,"High",Table2[[#This Row],[Spending Score (1-100)]]&lt;=100,"Very High")</f>
        <v>Low</v>
      </c>
      <c r="H24" t="s">
        <v>14</v>
      </c>
      <c r="I24">
        <v>13</v>
      </c>
      <c r="J24" t="str">
        <f>CONCATENATE(Table2[[#This Row],[Work Experience]],"years")</f>
        <v>13years</v>
      </c>
      <c r="K24" t="str">
        <f>CONCATENATE(Table2[[#This Row],[Family Size2]],"members")</f>
        <v>2members</v>
      </c>
      <c r="L24" t="str">
        <f>CONCATENATE(Table2[[#This Row],[Family Size2]],"members")</f>
        <v>2members</v>
      </c>
      <c r="M24">
        <v>2</v>
      </c>
    </row>
    <row r="25" spans="1:13">
      <c r="A25">
        <v>24</v>
      </c>
      <c r="B25" t="s">
        <v>8</v>
      </c>
      <c r="C25">
        <v>31</v>
      </c>
      <c r="D25" t="str" cm="1">
        <f t="array" ref="D25">_xlfn.IFS(Table2[[#This Row],[Age]]&lt;=11,"Gen A",Table2[[#This Row],[Age]]&lt;=27,"Gen Z",Table2[[#This Row],[Age]]&lt;=43,"Millenials",Table2[[#This Row],[Age]]&lt;=59,"Gen X",Table2[[#This Row],[Age]]&lt;=78,"Baby Boomers",Table2[[#This Row],[Age]]&lt;=96,"Silent",Table2[[#This Row],[Age]]&gt;=97,"Greatest")</f>
        <v>Millenials</v>
      </c>
      <c r="E25" s="1">
        <v>71000</v>
      </c>
      <c r="F25">
        <v>73</v>
      </c>
      <c r="G25" t="str" cm="1">
        <f t="array" ref="G25">_xlfn.IFS(Table2[[#This Row],[Spending Score (1-100)]]&lt;=25,"Low",Table2[[#This Row],[Spending Score (1-100)]]&lt;=50,"Medium",Table2[[#This Row],[Spending Score (1-100)]]&lt;=75,"High",Table2[[#This Row],[Spending Score (1-100)]]&lt;=100,"Very High")</f>
        <v>High</v>
      </c>
      <c r="H25" t="s">
        <v>14</v>
      </c>
      <c r="I25">
        <v>5</v>
      </c>
      <c r="J25" t="str">
        <f>CONCATENATE(Table2[[#This Row],[Work Experience]],"years")</f>
        <v>5years</v>
      </c>
      <c r="K25" t="str">
        <f>CONCATENATE(Table2[[#This Row],[Family Size2]],"members")</f>
        <v>2members</v>
      </c>
      <c r="L25" t="str">
        <f>CONCATENATE(Table2[[#This Row],[Family Size2]],"members")</f>
        <v>2members</v>
      </c>
      <c r="M25">
        <v>2</v>
      </c>
    </row>
    <row r="26" spans="1:13">
      <c r="A26">
        <v>25</v>
      </c>
      <c r="B26" t="s">
        <v>11</v>
      </c>
      <c r="C26">
        <v>54</v>
      </c>
      <c r="D26" t="str" cm="1">
        <f t="array" ref="D26">_xlfn.IFS(Table2[[#This Row],[Age]]&lt;=11,"Gen A",Table2[[#This Row],[Age]]&lt;=27,"Gen Z",Table2[[#This Row],[Age]]&lt;=43,"Millenials",Table2[[#This Row],[Age]]&lt;=59,"Gen X",Table2[[#This Row],[Age]]&lt;=78,"Baby Boomers",Table2[[#This Row],[Age]]&lt;=96,"Silent",Table2[[#This Row],[Age]]&gt;=97,"Greatest")</f>
        <v>Gen X</v>
      </c>
      <c r="E26" s="1">
        <v>67000</v>
      </c>
      <c r="F26">
        <v>14</v>
      </c>
      <c r="G26" t="str" cm="1">
        <f t="array" ref="G26">_xlfn.IFS(Table2[[#This Row],[Spending Score (1-100)]]&lt;=25,"Low",Table2[[#This Row],[Spending Score (1-100)]]&lt;=50,"Medium",Table2[[#This Row],[Spending Score (1-100)]]&lt;=75,"High",Table2[[#This Row],[Spending Score (1-100)]]&lt;=100,"Very High")</f>
        <v>Low</v>
      </c>
      <c r="H26" t="s">
        <v>15</v>
      </c>
      <c r="I26">
        <v>1</v>
      </c>
      <c r="J26" t="str">
        <f>CONCATENATE(Table2[[#This Row],[Work Experience]],"years")</f>
        <v>1years</v>
      </c>
      <c r="K26" t="str">
        <f>CONCATENATE(Table2[[#This Row],[Family Size2]],"members")</f>
        <v>3members</v>
      </c>
      <c r="L26" t="str">
        <f>CONCATENATE(Table2[[#This Row],[Family Size2]],"members")</f>
        <v>3members</v>
      </c>
      <c r="M26">
        <v>3</v>
      </c>
    </row>
    <row r="27" spans="1:13">
      <c r="A27">
        <v>26</v>
      </c>
      <c r="B27" t="s">
        <v>8</v>
      </c>
      <c r="C27">
        <v>29</v>
      </c>
      <c r="D27" t="str" cm="1">
        <f t="array" ref="D27">_xlfn.IFS(Table2[[#This Row],[Age]]&lt;=11,"Gen A",Table2[[#This Row],[Age]]&lt;=27,"Gen Z",Table2[[#This Row],[Age]]&lt;=43,"Millenials",Table2[[#This Row],[Age]]&lt;=59,"Gen X",Table2[[#This Row],[Age]]&lt;=78,"Baby Boomers",Table2[[#This Row],[Age]]&lt;=96,"Silent",Table2[[#This Row],[Age]]&gt;=97,"Greatest")</f>
        <v>Millenials</v>
      </c>
      <c r="E27" s="1">
        <v>52000</v>
      </c>
      <c r="F27">
        <v>82</v>
      </c>
      <c r="G27" t="str" cm="1">
        <f t="array" ref="G27">_xlfn.IFS(Table2[[#This Row],[Spending Score (1-100)]]&lt;=25,"Low",Table2[[#This Row],[Spending Score (1-100)]]&lt;=50,"Medium",Table2[[#This Row],[Spending Score (1-100)]]&lt;=75,"High",Table2[[#This Row],[Spending Score (1-100)]]&lt;=100,"Very High")</f>
        <v>Very High</v>
      </c>
      <c r="H27" t="s">
        <v>14</v>
      </c>
      <c r="I27">
        <v>1</v>
      </c>
      <c r="J27" t="str">
        <f>CONCATENATE(Table2[[#This Row],[Work Experience]],"years")</f>
        <v>1years</v>
      </c>
      <c r="K27" t="str">
        <f>CONCATENATE(Table2[[#This Row],[Family Size2]],"members")</f>
        <v>3members</v>
      </c>
      <c r="L27" t="str">
        <f>CONCATENATE(Table2[[#This Row],[Family Size2]],"members")</f>
        <v>3members</v>
      </c>
      <c r="M27">
        <v>3</v>
      </c>
    </row>
    <row r="28" spans="1:13">
      <c r="A28">
        <v>27</v>
      </c>
      <c r="B28" t="s">
        <v>11</v>
      </c>
      <c r="C28">
        <v>45</v>
      </c>
      <c r="D28" t="str" cm="1">
        <f t="array" ref="D28">_xlfn.IFS(Table2[[#This Row],[Age]]&lt;=11,"Gen A",Table2[[#This Row],[Age]]&lt;=27,"Gen Z",Table2[[#This Row],[Age]]&lt;=43,"Millenials",Table2[[#This Row],[Age]]&lt;=59,"Gen X",Table2[[#This Row],[Age]]&lt;=78,"Baby Boomers",Table2[[#This Row],[Age]]&lt;=96,"Silent",Table2[[#This Row],[Age]]&gt;=97,"Greatest")</f>
        <v>Gen X</v>
      </c>
      <c r="E28" s="1">
        <v>68000</v>
      </c>
      <c r="F28">
        <v>32</v>
      </c>
      <c r="G28" t="str" cm="1">
        <f t="array" ref="G28">_xlfn.IFS(Table2[[#This Row],[Spending Score (1-100)]]&lt;=25,"Low",Table2[[#This Row],[Spending Score (1-100)]]&lt;=50,"Medium",Table2[[#This Row],[Spending Score (1-100)]]&lt;=75,"High",Table2[[#This Row],[Spending Score (1-100)]]&lt;=100,"Very High")</f>
        <v>Medium</v>
      </c>
      <c r="H28" t="s">
        <v>9</v>
      </c>
      <c r="I28">
        <v>9</v>
      </c>
      <c r="J28" t="str">
        <f>CONCATENATE(Table2[[#This Row],[Work Experience]],"years")</f>
        <v>9years</v>
      </c>
      <c r="K28" t="str">
        <f>CONCATENATE(Table2[[#This Row],[Family Size2]],"members")</f>
        <v>8members</v>
      </c>
      <c r="L28" t="str">
        <f>CONCATENATE(Table2[[#This Row],[Family Size2]],"members")</f>
        <v>8members</v>
      </c>
      <c r="M28">
        <v>8</v>
      </c>
    </row>
    <row r="29" spans="1:13">
      <c r="A29">
        <v>28</v>
      </c>
      <c r="B29" t="s">
        <v>8</v>
      </c>
      <c r="C29">
        <v>35</v>
      </c>
      <c r="D29" t="str" cm="1">
        <f t="array" ref="D29">_xlfn.IFS(Table2[[#This Row],[Age]]&lt;=11,"Gen A",Table2[[#This Row],[Age]]&lt;=27,"Gen Z",Table2[[#This Row],[Age]]&lt;=43,"Millenials",Table2[[#This Row],[Age]]&lt;=59,"Gen X",Table2[[#This Row],[Age]]&lt;=78,"Baby Boomers",Table2[[#This Row],[Age]]&lt;=96,"Silent",Table2[[#This Row],[Age]]&gt;=97,"Greatest")</f>
        <v>Millenials</v>
      </c>
      <c r="E29" s="1">
        <v>78000</v>
      </c>
      <c r="F29">
        <v>61</v>
      </c>
      <c r="G29" t="str" cm="1">
        <f t="array" ref="G29">_xlfn.IFS(Table2[[#This Row],[Spending Score (1-100)]]&lt;=25,"Low",Table2[[#This Row],[Spending Score (1-100)]]&lt;=50,"Medium",Table2[[#This Row],[Spending Score (1-100)]]&lt;=75,"High",Table2[[#This Row],[Spending Score (1-100)]]&lt;=100,"Very High")</f>
        <v>High</v>
      </c>
      <c r="H29" t="s">
        <v>14</v>
      </c>
      <c r="I29">
        <v>1</v>
      </c>
      <c r="J29" t="str">
        <f>CONCATENATE(Table2[[#This Row],[Work Experience]],"years")</f>
        <v>1years</v>
      </c>
      <c r="K29" t="str">
        <f>CONCATENATE(Table2[[#This Row],[Family Size2]],"members")</f>
        <v>3members</v>
      </c>
      <c r="L29" t="str">
        <f>CONCATENATE(Table2[[#This Row],[Family Size2]],"members")</f>
        <v>3members</v>
      </c>
      <c r="M29">
        <v>3</v>
      </c>
    </row>
    <row r="30" spans="1:13">
      <c r="A30">
        <v>29</v>
      </c>
      <c r="B30" t="s">
        <v>11</v>
      </c>
      <c r="C30">
        <v>40</v>
      </c>
      <c r="D30" t="str" cm="1">
        <f t="array" ref="D30">_xlfn.IFS(Table2[[#This Row],[Age]]&lt;=11,"Gen A",Table2[[#This Row],[Age]]&lt;=27,"Gen Z",Table2[[#This Row],[Age]]&lt;=43,"Millenials",Table2[[#This Row],[Age]]&lt;=59,"Gen X",Table2[[#This Row],[Age]]&lt;=78,"Baby Boomers",Table2[[#This Row],[Age]]&lt;=96,"Silent",Table2[[#This Row],[Age]]&gt;=97,"Greatest")</f>
        <v>Millenials</v>
      </c>
      <c r="E30" s="1">
        <v>18000</v>
      </c>
      <c r="F30">
        <v>31</v>
      </c>
      <c r="G30" t="str" cm="1">
        <f t="array" ref="G30">_xlfn.IFS(Table2[[#This Row],[Spending Score (1-100)]]&lt;=25,"Low",Table2[[#This Row],[Spending Score (1-100)]]&lt;=50,"Medium",Table2[[#This Row],[Spending Score (1-100)]]&lt;=75,"High",Table2[[#This Row],[Spending Score (1-100)]]&lt;=100,"Very High")</f>
        <v>Medium</v>
      </c>
      <c r="H30" t="s">
        <v>14</v>
      </c>
      <c r="I30">
        <v>0</v>
      </c>
      <c r="J30" t="str">
        <f>CONCATENATE(Table2[[#This Row],[Work Experience]],"years")</f>
        <v>0years</v>
      </c>
      <c r="K30" t="str">
        <f>CONCATENATE(Table2[[#This Row],[Family Size2]],"members")</f>
        <v>1members</v>
      </c>
      <c r="L30" t="str">
        <f>CONCATENATE(Table2[[#This Row],[Family Size2]],"members")</f>
        <v>1members</v>
      </c>
      <c r="M30">
        <v>1</v>
      </c>
    </row>
    <row r="31" spans="1:13">
      <c r="A31">
        <v>30</v>
      </c>
      <c r="B31" t="s">
        <v>11</v>
      </c>
      <c r="C31">
        <v>23</v>
      </c>
      <c r="D31" t="str" cm="1">
        <f t="array" ref="D31">_xlfn.IFS(Table2[[#This Row],[Age]]&lt;=11,"Gen A",Table2[[#This Row],[Age]]&lt;=27,"Gen Z",Table2[[#This Row],[Age]]&lt;=43,"Millenials",Table2[[#This Row],[Age]]&lt;=59,"Gen X",Table2[[#This Row],[Age]]&lt;=78,"Baby Boomers",Table2[[#This Row],[Age]]&lt;=96,"Silent",Table2[[#This Row],[Age]]&gt;=97,"Greatest")</f>
        <v>Gen Z</v>
      </c>
      <c r="E31" s="1">
        <v>20000</v>
      </c>
      <c r="F31">
        <v>87</v>
      </c>
      <c r="G31" t="str" cm="1">
        <f t="array" ref="G31">_xlfn.IFS(Table2[[#This Row],[Spending Score (1-100)]]&lt;=25,"Low",Table2[[#This Row],[Spending Score (1-100)]]&lt;=50,"Medium",Table2[[#This Row],[Spending Score (1-100)]]&lt;=75,"High",Table2[[#This Row],[Spending Score (1-100)]]&lt;=100,"Very High")</f>
        <v>Very High</v>
      </c>
      <c r="H31" t="s">
        <v>14</v>
      </c>
      <c r="I31">
        <v>5</v>
      </c>
      <c r="J31" t="str">
        <f>CONCATENATE(Table2[[#This Row],[Work Experience]],"years")</f>
        <v>5years</v>
      </c>
      <c r="K31" t="str">
        <f>CONCATENATE(Table2[[#This Row],[Family Size2]],"members")</f>
        <v>4members</v>
      </c>
      <c r="L31" t="str">
        <f>CONCATENATE(Table2[[#This Row],[Family Size2]],"members")</f>
        <v>4members</v>
      </c>
      <c r="M31">
        <v>4</v>
      </c>
    </row>
    <row r="32" spans="1:13">
      <c r="A32">
        <v>31</v>
      </c>
      <c r="B32" t="s">
        <v>8</v>
      </c>
      <c r="C32">
        <v>60</v>
      </c>
      <c r="D32" t="str" cm="1">
        <f t="array" ref="D32">_xlfn.IFS(Table2[[#This Row],[Age]]&lt;=11,"Gen A",Table2[[#This Row],[Age]]&lt;=27,"Gen Z",Table2[[#This Row],[Age]]&lt;=43,"Millenials",Table2[[#This Row],[Age]]&lt;=59,"Gen X",Table2[[#This Row],[Age]]&lt;=78,"Baby Boomers",Table2[[#This Row],[Age]]&lt;=96,"Silent",Table2[[#This Row],[Age]]&gt;=97,"Greatest")</f>
        <v>Baby Boomers</v>
      </c>
      <c r="E32" s="1">
        <v>39000</v>
      </c>
      <c r="F32">
        <v>4</v>
      </c>
      <c r="G32" t="str" cm="1">
        <f t="array" ref="G32">_xlfn.IFS(Table2[[#This Row],[Spending Score (1-100)]]&lt;=25,"Low",Table2[[#This Row],[Spending Score (1-100)]]&lt;=50,"Medium",Table2[[#This Row],[Spending Score (1-100)]]&lt;=75,"High",Table2[[#This Row],[Spending Score (1-100)]]&lt;=100,"Very High")</f>
        <v>Low</v>
      </c>
      <c r="H32" t="s">
        <v>14</v>
      </c>
      <c r="I32">
        <v>0</v>
      </c>
      <c r="J32" t="str">
        <f>CONCATENATE(Table2[[#This Row],[Work Experience]],"years")</f>
        <v>0years</v>
      </c>
      <c r="K32" t="str">
        <f>CONCATENATE(Table2[[#This Row],[Family Size2]],"members")</f>
        <v>3members</v>
      </c>
      <c r="L32" t="str">
        <f>CONCATENATE(Table2[[#This Row],[Family Size2]],"members")</f>
        <v>3members</v>
      </c>
      <c r="M32">
        <v>3</v>
      </c>
    </row>
    <row r="33" spans="1:13">
      <c r="A33">
        <v>32</v>
      </c>
      <c r="B33" t="s">
        <v>11</v>
      </c>
      <c r="C33">
        <v>21</v>
      </c>
      <c r="D33" t="str" cm="1">
        <f t="array" ref="D33">_xlfn.IFS(Table2[[#This Row],[Age]]&lt;=11,"Gen A",Table2[[#This Row],[Age]]&lt;=27,"Gen Z",Table2[[#This Row],[Age]]&lt;=43,"Millenials",Table2[[#This Row],[Age]]&lt;=59,"Gen X",Table2[[#This Row],[Age]]&lt;=78,"Baby Boomers",Table2[[#This Row],[Age]]&lt;=96,"Silent",Table2[[#This Row],[Age]]&gt;=97,"Greatest")</f>
        <v>Gen Z</v>
      </c>
      <c r="E33" s="1">
        <v>34000</v>
      </c>
      <c r="F33">
        <v>73</v>
      </c>
      <c r="G33" t="str" cm="1">
        <f t="array" ref="G33">_xlfn.IFS(Table2[[#This Row],[Spending Score (1-100)]]&lt;=25,"Low",Table2[[#This Row],[Spending Score (1-100)]]&lt;=50,"Medium",Table2[[#This Row],[Spending Score (1-100)]]&lt;=75,"High",Table2[[#This Row],[Spending Score (1-100)]]&lt;=100,"Very High")</f>
        <v>High</v>
      </c>
      <c r="H33" t="s">
        <v>16</v>
      </c>
      <c r="I33">
        <v>1</v>
      </c>
      <c r="J33" t="str">
        <f>CONCATENATE(Table2[[#This Row],[Work Experience]],"years")</f>
        <v>1years</v>
      </c>
      <c r="K33" t="str">
        <f>CONCATENATE(Table2[[#This Row],[Family Size2]],"members")</f>
        <v>2members</v>
      </c>
      <c r="L33" t="str">
        <f>CONCATENATE(Table2[[#This Row],[Family Size2]],"members")</f>
        <v>2members</v>
      </c>
      <c r="M33">
        <v>2</v>
      </c>
    </row>
    <row r="34" spans="1:13">
      <c r="A34">
        <v>33</v>
      </c>
      <c r="B34" t="s">
        <v>8</v>
      </c>
      <c r="C34">
        <v>53</v>
      </c>
      <c r="D34" t="str" cm="1">
        <f t="array" ref="D34">_xlfn.IFS(Table2[[#This Row],[Age]]&lt;=11,"Gen A",Table2[[#This Row],[Age]]&lt;=27,"Gen Z",Table2[[#This Row],[Age]]&lt;=43,"Millenials",Table2[[#This Row],[Age]]&lt;=59,"Gen X",Table2[[#This Row],[Age]]&lt;=78,"Baby Boomers",Table2[[#This Row],[Age]]&lt;=96,"Silent",Table2[[#This Row],[Age]]&gt;=97,"Greatest")</f>
        <v>Gen X</v>
      </c>
      <c r="E34" s="1">
        <v>59000</v>
      </c>
      <c r="F34">
        <v>4</v>
      </c>
      <c r="G34" t="str" cm="1">
        <f t="array" ref="G34">_xlfn.IFS(Table2[[#This Row],[Spending Score (1-100)]]&lt;=25,"Low",Table2[[#This Row],[Spending Score (1-100)]]&lt;=50,"Medium",Table2[[#This Row],[Spending Score (1-100)]]&lt;=75,"High",Table2[[#This Row],[Spending Score (1-100)]]&lt;=100,"Very High")</f>
        <v>Low</v>
      </c>
      <c r="H34" t="s">
        <v>9</v>
      </c>
      <c r="I34">
        <v>1</v>
      </c>
      <c r="J34" t="str">
        <f>CONCATENATE(Table2[[#This Row],[Work Experience]],"years")</f>
        <v>1years</v>
      </c>
      <c r="K34" t="str">
        <f>CONCATENATE(Table2[[#This Row],[Family Size2]],"members")</f>
        <v>3members</v>
      </c>
      <c r="L34" t="str">
        <f>CONCATENATE(Table2[[#This Row],[Family Size2]],"members")</f>
        <v>3members</v>
      </c>
      <c r="M34">
        <v>3</v>
      </c>
    </row>
    <row r="35" spans="1:13">
      <c r="A35">
        <v>34</v>
      </c>
      <c r="B35" t="s">
        <v>8</v>
      </c>
      <c r="C35">
        <v>18</v>
      </c>
      <c r="D35" t="str" cm="1">
        <f t="array" ref="D35">_xlfn.IFS(Table2[[#This Row],[Age]]&lt;=11,"Gen A",Table2[[#This Row],[Age]]&lt;=27,"Gen Z",Table2[[#This Row],[Age]]&lt;=43,"Millenials",Table2[[#This Row],[Age]]&lt;=59,"Gen X",Table2[[#This Row],[Age]]&lt;=78,"Baby Boomers",Table2[[#This Row],[Age]]&lt;=96,"Silent",Table2[[#This Row],[Age]]&gt;=97,"Greatest")</f>
        <v>Gen Z</v>
      </c>
      <c r="E35" s="1">
        <v>62000</v>
      </c>
      <c r="F35">
        <v>92</v>
      </c>
      <c r="G35" t="str" cm="1">
        <f t="array" ref="G35">_xlfn.IFS(Table2[[#This Row],[Spending Score (1-100)]]&lt;=25,"Low",Table2[[#This Row],[Spending Score (1-100)]]&lt;=50,"Medium",Table2[[#This Row],[Spending Score (1-100)]]&lt;=75,"High",Table2[[#This Row],[Spending Score (1-100)]]&lt;=100,"Very High")</f>
        <v>Very High</v>
      </c>
      <c r="H35" t="s">
        <v>17</v>
      </c>
      <c r="I35">
        <v>9</v>
      </c>
      <c r="J35" t="str">
        <f>CONCATENATE(Table2[[#This Row],[Work Experience]],"years")</f>
        <v>9years</v>
      </c>
      <c r="K35" t="str">
        <f>CONCATENATE(Table2[[#This Row],[Family Size2]],"members")</f>
        <v>7members</v>
      </c>
      <c r="L35" t="str">
        <f>CONCATENATE(Table2[[#This Row],[Family Size2]],"members")</f>
        <v>7members</v>
      </c>
      <c r="M35">
        <v>7</v>
      </c>
    </row>
    <row r="36" spans="1:13">
      <c r="A36">
        <v>35</v>
      </c>
      <c r="B36" t="s">
        <v>11</v>
      </c>
      <c r="C36">
        <v>49</v>
      </c>
      <c r="D36" t="str" cm="1">
        <f t="array" ref="D36">_xlfn.IFS(Table2[[#This Row],[Age]]&lt;=11,"Gen A",Table2[[#This Row],[Age]]&lt;=27,"Gen Z",Table2[[#This Row],[Age]]&lt;=43,"Millenials",Table2[[#This Row],[Age]]&lt;=59,"Gen X",Table2[[#This Row],[Age]]&lt;=78,"Baby Boomers",Table2[[#This Row],[Age]]&lt;=96,"Silent",Table2[[#This Row],[Age]]&gt;=97,"Greatest")</f>
        <v>Gen X</v>
      </c>
      <c r="E36" s="1">
        <v>91000</v>
      </c>
      <c r="F36">
        <v>14</v>
      </c>
      <c r="G36" t="str" cm="1">
        <f t="array" ref="G36">_xlfn.IFS(Table2[[#This Row],[Spending Score (1-100)]]&lt;=25,"Low",Table2[[#This Row],[Spending Score (1-100)]]&lt;=50,"Medium",Table2[[#This Row],[Spending Score (1-100)]]&lt;=75,"High",Table2[[#This Row],[Spending Score (1-100)]]&lt;=100,"Very High")</f>
        <v>Low</v>
      </c>
      <c r="H36" t="s">
        <v>12</v>
      </c>
      <c r="I36">
        <v>1</v>
      </c>
      <c r="J36" t="str">
        <f>CONCATENATE(Table2[[#This Row],[Work Experience]],"years")</f>
        <v>1years</v>
      </c>
      <c r="K36" t="str">
        <f>CONCATENATE(Table2[[#This Row],[Family Size2]],"members")</f>
        <v>2members</v>
      </c>
      <c r="L36" t="str">
        <f>CONCATENATE(Table2[[#This Row],[Family Size2]],"members")</f>
        <v>2members</v>
      </c>
      <c r="M36">
        <v>2</v>
      </c>
    </row>
    <row r="37" spans="1:13">
      <c r="A37">
        <v>36</v>
      </c>
      <c r="B37" t="s">
        <v>11</v>
      </c>
      <c r="C37">
        <v>21</v>
      </c>
      <c r="D37" t="str" cm="1">
        <f t="array" ref="D37">_xlfn.IFS(Table2[[#This Row],[Age]]&lt;=11,"Gen A",Table2[[#This Row],[Age]]&lt;=27,"Gen Z",Table2[[#This Row],[Age]]&lt;=43,"Millenials",Table2[[#This Row],[Age]]&lt;=59,"Gen X",Table2[[#This Row],[Age]]&lt;=78,"Baby Boomers",Table2[[#This Row],[Age]]&lt;=96,"Silent",Table2[[#This Row],[Age]]&gt;=97,"Greatest")</f>
        <v>Gen Z</v>
      </c>
      <c r="E37" s="1">
        <v>95000</v>
      </c>
      <c r="F37">
        <v>81</v>
      </c>
      <c r="G37" t="str" cm="1">
        <f t="array" ref="G37">_xlfn.IFS(Table2[[#This Row],[Spending Score (1-100)]]&lt;=25,"Low",Table2[[#This Row],[Spending Score (1-100)]]&lt;=50,"Medium",Table2[[#This Row],[Spending Score (1-100)]]&lt;=75,"High",Table2[[#This Row],[Spending Score (1-100)]]&lt;=100,"Very High")</f>
        <v>Very High</v>
      </c>
      <c r="H37" t="s">
        <v>9</v>
      </c>
      <c r="I37">
        <v>3</v>
      </c>
      <c r="J37" t="str">
        <f>CONCATENATE(Table2[[#This Row],[Work Experience]],"years")</f>
        <v>3years</v>
      </c>
      <c r="K37" t="str">
        <f>CONCATENATE(Table2[[#This Row],[Family Size2]],"members")</f>
        <v>4members</v>
      </c>
      <c r="L37" t="str">
        <f>CONCATENATE(Table2[[#This Row],[Family Size2]],"members")</f>
        <v>4members</v>
      </c>
      <c r="M37">
        <v>4</v>
      </c>
    </row>
    <row r="38" spans="1:13">
      <c r="A38">
        <v>37</v>
      </c>
      <c r="B38" t="s">
        <v>11</v>
      </c>
      <c r="C38">
        <v>42</v>
      </c>
      <c r="D38" t="str" cm="1">
        <f t="array" ref="D38">_xlfn.IFS(Table2[[#This Row],[Age]]&lt;=11,"Gen A",Table2[[#This Row],[Age]]&lt;=27,"Gen Z",Table2[[#This Row],[Age]]&lt;=43,"Millenials",Table2[[#This Row],[Age]]&lt;=59,"Gen X",Table2[[#This Row],[Age]]&lt;=78,"Baby Boomers",Table2[[#This Row],[Age]]&lt;=96,"Silent",Table2[[#This Row],[Age]]&gt;=97,"Greatest")</f>
        <v>Millenials</v>
      </c>
      <c r="E38" s="1">
        <v>14000</v>
      </c>
      <c r="F38">
        <v>17</v>
      </c>
      <c r="G38" t="str" cm="1">
        <f t="array" ref="G38">_xlfn.IFS(Table2[[#This Row],[Spending Score (1-100)]]&lt;=25,"Low",Table2[[#This Row],[Spending Score (1-100)]]&lt;=50,"Medium",Table2[[#This Row],[Spending Score (1-100)]]&lt;=75,"High",Table2[[#This Row],[Spending Score (1-100)]]&lt;=100,"Very High")</f>
        <v>Low</v>
      </c>
      <c r="H38" t="s">
        <v>16</v>
      </c>
      <c r="I38">
        <v>5</v>
      </c>
      <c r="J38" t="str">
        <f>CONCATENATE(Table2[[#This Row],[Work Experience]],"years")</f>
        <v>5years</v>
      </c>
      <c r="K38" t="str">
        <f>CONCATENATE(Table2[[#This Row],[Family Size2]],"members")</f>
        <v>1members</v>
      </c>
      <c r="L38" t="str">
        <f>CONCATENATE(Table2[[#This Row],[Family Size2]],"members")</f>
        <v>1members</v>
      </c>
      <c r="M38">
        <v>1</v>
      </c>
    </row>
    <row r="39" spans="1:13">
      <c r="A39">
        <v>38</v>
      </c>
      <c r="B39" t="s">
        <v>11</v>
      </c>
      <c r="C39">
        <v>30</v>
      </c>
      <c r="D39" t="str" cm="1">
        <f t="array" ref="D39">_xlfn.IFS(Table2[[#This Row],[Age]]&lt;=11,"Gen A",Table2[[#This Row],[Age]]&lt;=27,"Gen Z",Table2[[#This Row],[Age]]&lt;=43,"Millenials",Table2[[#This Row],[Age]]&lt;=59,"Gen X",Table2[[#This Row],[Age]]&lt;=78,"Baby Boomers",Table2[[#This Row],[Age]]&lt;=96,"Silent",Table2[[#This Row],[Age]]&gt;=97,"Greatest")</f>
        <v>Millenials</v>
      </c>
      <c r="E39" s="1">
        <v>62000</v>
      </c>
      <c r="F39">
        <v>73</v>
      </c>
      <c r="G39" t="str" cm="1">
        <f t="array" ref="G39">_xlfn.IFS(Table2[[#This Row],[Spending Score (1-100)]]&lt;=25,"Low",Table2[[#This Row],[Spending Score (1-100)]]&lt;=50,"Medium",Table2[[#This Row],[Spending Score (1-100)]]&lt;=75,"High",Table2[[#This Row],[Spending Score (1-100)]]&lt;=100,"Very High")</f>
        <v>High</v>
      </c>
      <c r="H39" t="s">
        <v>9</v>
      </c>
      <c r="I39">
        <v>1</v>
      </c>
      <c r="J39" t="str">
        <f>CONCATENATE(Table2[[#This Row],[Work Experience]],"years")</f>
        <v>1years</v>
      </c>
      <c r="K39" t="str">
        <f>CONCATENATE(Table2[[#This Row],[Family Size2]],"members")</f>
        <v>5members</v>
      </c>
      <c r="L39" t="str">
        <f>CONCATENATE(Table2[[#This Row],[Family Size2]],"members")</f>
        <v>5members</v>
      </c>
      <c r="M39">
        <v>5</v>
      </c>
    </row>
    <row r="40" spans="1:13">
      <c r="A40">
        <v>39</v>
      </c>
      <c r="B40" t="s">
        <v>11</v>
      </c>
      <c r="C40">
        <v>36</v>
      </c>
      <c r="D40" t="str" cm="1">
        <f t="array" ref="D40">_xlfn.IFS(Table2[[#This Row],[Age]]&lt;=11,"Gen A",Table2[[#This Row],[Age]]&lt;=27,"Gen Z",Table2[[#This Row],[Age]]&lt;=43,"Millenials",Table2[[#This Row],[Age]]&lt;=59,"Gen X",Table2[[#This Row],[Age]]&lt;=78,"Baby Boomers",Table2[[#This Row],[Age]]&lt;=96,"Silent",Table2[[#This Row],[Age]]&gt;=97,"Greatest")</f>
        <v>Millenials</v>
      </c>
      <c r="E40" s="1">
        <v>9000</v>
      </c>
      <c r="F40">
        <v>26</v>
      </c>
      <c r="G40" t="str" cm="1">
        <f t="array" ref="G40">_xlfn.IFS(Table2[[#This Row],[Spending Score (1-100)]]&lt;=25,"Low",Table2[[#This Row],[Spending Score (1-100)]]&lt;=50,"Medium",Table2[[#This Row],[Spending Score (1-100)]]&lt;=75,"High",Table2[[#This Row],[Spending Score (1-100)]]&lt;=100,"Very High")</f>
        <v>Medium</v>
      </c>
      <c r="H40" t="s">
        <v>14</v>
      </c>
      <c r="I40">
        <v>8</v>
      </c>
      <c r="J40" t="str">
        <f>CONCATENATE(Table2[[#This Row],[Work Experience]],"years")</f>
        <v>8years</v>
      </c>
      <c r="K40" t="str">
        <f>CONCATENATE(Table2[[#This Row],[Family Size2]],"members")</f>
        <v>2members</v>
      </c>
      <c r="L40" t="str">
        <f>CONCATENATE(Table2[[#This Row],[Family Size2]],"members")</f>
        <v>2members</v>
      </c>
      <c r="M40">
        <v>2</v>
      </c>
    </row>
    <row r="41" spans="1:13">
      <c r="A41">
        <v>40</v>
      </c>
      <c r="B41" t="s">
        <v>11</v>
      </c>
      <c r="C41">
        <v>20</v>
      </c>
      <c r="D41" t="str" cm="1">
        <f t="array" ref="D41">_xlfn.IFS(Table2[[#This Row],[Age]]&lt;=11,"Gen A",Table2[[#This Row],[Age]]&lt;=27,"Gen Z",Table2[[#This Row],[Age]]&lt;=43,"Millenials",Table2[[#This Row],[Age]]&lt;=59,"Gen X",Table2[[#This Row],[Age]]&lt;=78,"Baby Boomers",Table2[[#This Row],[Age]]&lt;=96,"Silent",Table2[[#This Row],[Age]]&gt;=97,"Greatest")</f>
        <v>Gen Z</v>
      </c>
      <c r="E41" s="1">
        <v>69000</v>
      </c>
      <c r="F41">
        <v>75</v>
      </c>
      <c r="G41" t="str" cm="1">
        <f t="array" ref="G41">_xlfn.IFS(Table2[[#This Row],[Spending Score (1-100)]]&lt;=25,"Low",Table2[[#This Row],[Spending Score (1-100)]]&lt;=50,"Medium",Table2[[#This Row],[Spending Score (1-100)]]&lt;=75,"High",Table2[[#This Row],[Spending Score (1-100)]]&lt;=100,"Very High")</f>
        <v>High</v>
      </c>
      <c r="H41" t="s">
        <v>14</v>
      </c>
      <c r="I41">
        <v>8</v>
      </c>
      <c r="J41" t="str">
        <f>CONCATENATE(Table2[[#This Row],[Work Experience]],"years")</f>
        <v>8years</v>
      </c>
      <c r="K41" t="str">
        <f>CONCATENATE(Table2[[#This Row],[Family Size2]],"members")</f>
        <v>2members</v>
      </c>
      <c r="L41" t="str">
        <f>CONCATENATE(Table2[[#This Row],[Family Size2]],"members")</f>
        <v>2members</v>
      </c>
      <c r="M41">
        <v>2</v>
      </c>
    </row>
    <row r="42" spans="1:13">
      <c r="A42">
        <v>41</v>
      </c>
      <c r="B42" t="s">
        <v>11</v>
      </c>
      <c r="C42">
        <v>65</v>
      </c>
      <c r="D42" t="str" cm="1">
        <f t="array" ref="D42">_xlfn.IFS(Table2[[#This Row],[Age]]&lt;=11,"Gen A",Table2[[#This Row],[Age]]&lt;=27,"Gen Z",Table2[[#This Row],[Age]]&lt;=43,"Millenials",Table2[[#This Row],[Age]]&lt;=59,"Gen X",Table2[[#This Row],[Age]]&lt;=78,"Baby Boomers",Table2[[#This Row],[Age]]&lt;=96,"Silent",Table2[[#This Row],[Age]]&gt;=97,"Greatest")</f>
        <v>Baby Boomers</v>
      </c>
      <c r="E42" s="1">
        <v>25000</v>
      </c>
      <c r="F42">
        <v>35</v>
      </c>
      <c r="G42" t="str" cm="1">
        <f t="array" ref="G42">_xlfn.IFS(Table2[[#This Row],[Spending Score (1-100)]]&lt;=25,"Low",Table2[[#This Row],[Spending Score (1-100)]]&lt;=50,"Medium",Table2[[#This Row],[Spending Score (1-100)]]&lt;=75,"High",Table2[[#This Row],[Spending Score (1-100)]]&lt;=100,"Very High")</f>
        <v>Medium</v>
      </c>
      <c r="H42" t="s">
        <v>14</v>
      </c>
      <c r="I42">
        <v>4</v>
      </c>
      <c r="J42" t="str">
        <f>CONCATENATE(Table2[[#This Row],[Work Experience]],"years")</f>
        <v>4years</v>
      </c>
      <c r="K42" t="str">
        <f>CONCATENATE(Table2[[#This Row],[Family Size2]],"members")</f>
        <v>1members</v>
      </c>
      <c r="L42" t="str">
        <f>CONCATENATE(Table2[[#This Row],[Family Size2]],"members")</f>
        <v>1members</v>
      </c>
      <c r="M42">
        <v>1</v>
      </c>
    </row>
    <row r="43" spans="1:13">
      <c r="A43">
        <v>42</v>
      </c>
      <c r="B43" t="s">
        <v>8</v>
      </c>
      <c r="C43">
        <v>24</v>
      </c>
      <c r="D43" t="str" cm="1">
        <f t="array" ref="D43">_xlfn.IFS(Table2[[#This Row],[Age]]&lt;=11,"Gen A",Table2[[#This Row],[Age]]&lt;=27,"Gen Z",Table2[[#This Row],[Age]]&lt;=43,"Millenials",Table2[[#This Row],[Age]]&lt;=59,"Gen X",Table2[[#This Row],[Age]]&lt;=78,"Baby Boomers",Table2[[#This Row],[Age]]&lt;=96,"Silent",Table2[[#This Row],[Age]]&gt;=97,"Greatest")</f>
        <v>Gen Z</v>
      </c>
      <c r="E43" s="1">
        <v>85000</v>
      </c>
      <c r="F43">
        <v>92</v>
      </c>
      <c r="G43" t="str" cm="1">
        <f t="array" ref="G43">_xlfn.IFS(Table2[[#This Row],[Spending Score (1-100)]]&lt;=25,"Low",Table2[[#This Row],[Spending Score (1-100)]]&lt;=50,"Medium",Table2[[#This Row],[Spending Score (1-100)]]&lt;=75,"High",Table2[[#This Row],[Spending Score (1-100)]]&lt;=100,"Very High")</f>
        <v>Very High</v>
      </c>
      <c r="H43" t="s">
        <v>9</v>
      </c>
      <c r="I43">
        <v>0</v>
      </c>
      <c r="J43" t="str">
        <f>CONCATENATE(Table2[[#This Row],[Work Experience]],"years")</f>
        <v>0years</v>
      </c>
      <c r="K43" t="str">
        <f>CONCATENATE(Table2[[#This Row],[Family Size2]],"members")</f>
        <v>2members</v>
      </c>
      <c r="L43" t="str">
        <f>CONCATENATE(Table2[[#This Row],[Family Size2]],"members")</f>
        <v>2members</v>
      </c>
      <c r="M43">
        <v>2</v>
      </c>
    </row>
    <row r="44" spans="1:13">
      <c r="A44">
        <v>43</v>
      </c>
      <c r="B44" t="s">
        <v>8</v>
      </c>
      <c r="C44">
        <v>48</v>
      </c>
      <c r="D44" t="str" cm="1">
        <f t="array" ref="D44">_xlfn.IFS(Table2[[#This Row],[Age]]&lt;=11,"Gen A",Table2[[#This Row],[Age]]&lt;=27,"Gen Z",Table2[[#This Row],[Age]]&lt;=43,"Millenials",Table2[[#This Row],[Age]]&lt;=59,"Gen X",Table2[[#This Row],[Age]]&lt;=78,"Baby Boomers",Table2[[#This Row],[Age]]&lt;=96,"Silent",Table2[[#This Row],[Age]]&gt;=97,"Greatest")</f>
        <v>Gen X</v>
      </c>
      <c r="E44" s="1">
        <v>22000</v>
      </c>
      <c r="F44">
        <v>36</v>
      </c>
      <c r="G44" t="str" cm="1">
        <f t="array" ref="G44">_xlfn.IFS(Table2[[#This Row],[Spending Score (1-100)]]&lt;=25,"Low",Table2[[#This Row],[Spending Score (1-100)]]&lt;=50,"Medium",Table2[[#This Row],[Spending Score (1-100)]]&lt;=75,"High",Table2[[#This Row],[Spending Score (1-100)]]&lt;=100,"Very High")</f>
        <v>Medium</v>
      </c>
      <c r="H44" t="s">
        <v>14</v>
      </c>
      <c r="I44">
        <v>14</v>
      </c>
      <c r="J44" t="str">
        <f>CONCATENATE(Table2[[#This Row],[Work Experience]],"years")</f>
        <v>14years</v>
      </c>
      <c r="K44" t="str">
        <f>CONCATENATE(Table2[[#This Row],[Family Size2]],"members")</f>
        <v>3members</v>
      </c>
      <c r="L44" t="str">
        <f>CONCATENATE(Table2[[#This Row],[Family Size2]],"members")</f>
        <v>3members</v>
      </c>
      <c r="M44">
        <v>3</v>
      </c>
    </row>
    <row r="45" spans="1:13">
      <c r="A45">
        <v>44</v>
      </c>
      <c r="B45" t="s">
        <v>11</v>
      </c>
      <c r="C45">
        <v>31</v>
      </c>
      <c r="D45" t="str" cm="1">
        <f t="array" ref="D45">_xlfn.IFS(Table2[[#This Row],[Age]]&lt;=11,"Gen A",Table2[[#This Row],[Age]]&lt;=27,"Gen Z",Table2[[#This Row],[Age]]&lt;=43,"Millenials",Table2[[#This Row],[Age]]&lt;=59,"Gen X",Table2[[#This Row],[Age]]&lt;=78,"Baby Boomers",Table2[[#This Row],[Age]]&lt;=96,"Silent",Table2[[#This Row],[Age]]&gt;=97,"Greatest")</f>
        <v>Millenials</v>
      </c>
      <c r="E45" s="1">
        <v>33000</v>
      </c>
      <c r="F45">
        <v>61</v>
      </c>
      <c r="G45" t="str" cm="1">
        <f t="array" ref="G45">_xlfn.IFS(Table2[[#This Row],[Spending Score (1-100)]]&lt;=25,"Low",Table2[[#This Row],[Spending Score (1-100)]]&lt;=50,"Medium",Table2[[#This Row],[Spending Score (1-100)]]&lt;=75,"High",Table2[[#This Row],[Spending Score (1-100)]]&lt;=100,"Very High")</f>
        <v>High</v>
      </c>
      <c r="H45" t="s">
        <v>14</v>
      </c>
      <c r="I45">
        <v>1</v>
      </c>
      <c r="J45" t="str">
        <f>CONCATENATE(Table2[[#This Row],[Work Experience]],"years")</f>
        <v>1years</v>
      </c>
      <c r="K45" t="str">
        <f>CONCATENATE(Table2[[#This Row],[Family Size2]],"members")</f>
        <v>2members</v>
      </c>
      <c r="L45" t="str">
        <f>CONCATENATE(Table2[[#This Row],[Family Size2]],"members")</f>
        <v>2members</v>
      </c>
      <c r="M45">
        <v>2</v>
      </c>
    </row>
    <row r="46" spans="1:13">
      <c r="A46">
        <v>45</v>
      </c>
      <c r="B46" t="s">
        <v>11</v>
      </c>
      <c r="C46">
        <v>49</v>
      </c>
      <c r="D46" t="str" cm="1">
        <f t="array" ref="D46">_xlfn.IFS(Table2[[#This Row],[Age]]&lt;=11,"Gen A",Table2[[#This Row],[Age]]&lt;=27,"Gen Z",Table2[[#This Row],[Age]]&lt;=43,"Millenials",Table2[[#This Row],[Age]]&lt;=59,"Gen X",Table2[[#This Row],[Age]]&lt;=78,"Baby Boomers",Table2[[#This Row],[Age]]&lt;=96,"Silent",Table2[[#This Row],[Age]]&gt;=97,"Greatest")</f>
        <v>Gen X</v>
      </c>
      <c r="E46" s="1">
        <v>72000</v>
      </c>
      <c r="F46">
        <v>28</v>
      </c>
      <c r="G46" t="str" cm="1">
        <f t="array" ref="G46">_xlfn.IFS(Table2[[#This Row],[Spending Score (1-100)]]&lt;=25,"Low",Table2[[#This Row],[Spending Score (1-100)]]&lt;=50,"Medium",Table2[[#This Row],[Spending Score (1-100)]]&lt;=75,"High",Table2[[#This Row],[Spending Score (1-100)]]&lt;=100,"Very High")</f>
        <v>Medium</v>
      </c>
      <c r="H46" t="s">
        <v>10</v>
      </c>
      <c r="I46">
        <v>8</v>
      </c>
      <c r="J46" t="str">
        <f>CONCATENATE(Table2[[#This Row],[Work Experience]],"years")</f>
        <v>8years</v>
      </c>
      <c r="K46" t="str">
        <f>CONCATENATE(Table2[[#This Row],[Family Size2]],"members")</f>
        <v>1members</v>
      </c>
      <c r="L46" t="str">
        <f>CONCATENATE(Table2[[#This Row],[Family Size2]],"members")</f>
        <v>1members</v>
      </c>
      <c r="M46">
        <v>1</v>
      </c>
    </row>
    <row r="47" spans="1:13">
      <c r="A47">
        <v>46</v>
      </c>
      <c r="B47" t="s">
        <v>11</v>
      </c>
      <c r="C47">
        <v>24</v>
      </c>
      <c r="D47" t="str" cm="1">
        <f t="array" ref="D47">_xlfn.IFS(Table2[[#This Row],[Age]]&lt;=11,"Gen A",Table2[[#This Row],[Age]]&lt;=27,"Gen Z",Table2[[#This Row],[Age]]&lt;=43,"Millenials",Table2[[#This Row],[Age]]&lt;=59,"Gen X",Table2[[#This Row],[Age]]&lt;=78,"Baby Boomers",Table2[[#This Row],[Age]]&lt;=96,"Silent",Table2[[#This Row],[Age]]&gt;=97,"Greatest")</f>
        <v>Gen Z</v>
      </c>
      <c r="E47" s="1">
        <v>3000</v>
      </c>
      <c r="F47">
        <v>65</v>
      </c>
      <c r="G47" t="str" cm="1">
        <f t="array" ref="G47">_xlfn.IFS(Table2[[#This Row],[Spending Score (1-100)]]&lt;=25,"Low",Table2[[#This Row],[Spending Score (1-100)]]&lt;=50,"Medium",Table2[[#This Row],[Spending Score (1-100)]]&lt;=75,"High",Table2[[#This Row],[Spending Score (1-100)]]&lt;=100,"Very High")</f>
        <v>High</v>
      </c>
      <c r="H47" t="s">
        <v>12</v>
      </c>
      <c r="I47">
        <v>4</v>
      </c>
      <c r="J47" t="str">
        <f>CONCATENATE(Table2[[#This Row],[Work Experience]],"years")</f>
        <v>4years</v>
      </c>
      <c r="K47" t="str">
        <f>CONCATENATE(Table2[[#This Row],[Family Size2]],"members")</f>
        <v>2members</v>
      </c>
      <c r="L47" t="str">
        <f>CONCATENATE(Table2[[#This Row],[Family Size2]],"members")</f>
        <v>2members</v>
      </c>
      <c r="M47">
        <v>2</v>
      </c>
    </row>
    <row r="48" spans="1:13">
      <c r="A48">
        <v>47</v>
      </c>
      <c r="B48" t="s">
        <v>11</v>
      </c>
      <c r="C48">
        <v>50</v>
      </c>
      <c r="D48" t="str" cm="1">
        <f t="array" ref="D48">_xlfn.IFS(Table2[[#This Row],[Age]]&lt;=11,"Gen A",Table2[[#This Row],[Age]]&lt;=27,"Gen Z",Table2[[#This Row],[Age]]&lt;=43,"Millenials",Table2[[#This Row],[Age]]&lt;=59,"Gen X",Table2[[#This Row],[Age]]&lt;=78,"Baby Boomers",Table2[[#This Row],[Age]]&lt;=96,"Silent",Table2[[#This Row],[Age]]&gt;=97,"Greatest")</f>
        <v>Gen X</v>
      </c>
      <c r="E48" s="1">
        <v>52000</v>
      </c>
      <c r="F48">
        <v>55</v>
      </c>
      <c r="G48" t="str" cm="1">
        <f t="array" ref="G48">_xlfn.IFS(Table2[[#This Row],[Spending Score (1-100)]]&lt;=25,"Low",Table2[[#This Row],[Spending Score (1-100)]]&lt;=50,"Medium",Table2[[#This Row],[Spending Score (1-100)]]&lt;=75,"High",Table2[[#This Row],[Spending Score (1-100)]]&lt;=100,"Very High")</f>
        <v>High</v>
      </c>
      <c r="H48" t="s">
        <v>14</v>
      </c>
      <c r="I48">
        <v>0</v>
      </c>
      <c r="J48" t="str">
        <f>CONCATENATE(Table2[[#This Row],[Work Experience]],"years")</f>
        <v>0years</v>
      </c>
      <c r="K48" t="str">
        <f>CONCATENATE(Table2[[#This Row],[Family Size2]],"members")</f>
        <v>4members</v>
      </c>
      <c r="L48" t="str">
        <f>CONCATENATE(Table2[[#This Row],[Family Size2]],"members")</f>
        <v>4members</v>
      </c>
      <c r="M48">
        <v>4</v>
      </c>
    </row>
    <row r="49" spans="1:13">
      <c r="A49">
        <v>48</v>
      </c>
      <c r="B49" t="s">
        <v>11</v>
      </c>
      <c r="C49">
        <v>27</v>
      </c>
      <c r="D49" t="str" cm="1">
        <f t="array" ref="D49">_xlfn.IFS(Table2[[#This Row],[Age]]&lt;=11,"Gen A",Table2[[#This Row],[Age]]&lt;=27,"Gen Z",Table2[[#This Row],[Age]]&lt;=43,"Millenials",Table2[[#This Row],[Age]]&lt;=59,"Gen X",Table2[[#This Row],[Age]]&lt;=78,"Baby Boomers",Table2[[#This Row],[Age]]&lt;=96,"Silent",Table2[[#This Row],[Age]]&gt;=97,"Greatest")</f>
        <v>Gen Z</v>
      </c>
      <c r="E49" s="1">
        <v>71000</v>
      </c>
      <c r="F49">
        <v>47</v>
      </c>
      <c r="G49" t="str" cm="1">
        <f t="array" ref="G49">_xlfn.IFS(Table2[[#This Row],[Spending Score (1-100)]]&lt;=25,"Low",Table2[[#This Row],[Spending Score (1-100)]]&lt;=50,"Medium",Table2[[#This Row],[Spending Score (1-100)]]&lt;=75,"High",Table2[[#This Row],[Spending Score (1-100)]]&lt;=100,"Very High")</f>
        <v>Medium</v>
      </c>
      <c r="H49" t="s">
        <v>9</v>
      </c>
      <c r="I49">
        <v>12</v>
      </c>
      <c r="J49" t="str">
        <f>CONCATENATE(Table2[[#This Row],[Work Experience]],"years")</f>
        <v>12years</v>
      </c>
      <c r="K49" t="str">
        <f>CONCATENATE(Table2[[#This Row],[Family Size2]],"members")</f>
        <v>1members</v>
      </c>
      <c r="L49" t="str">
        <f>CONCATENATE(Table2[[#This Row],[Family Size2]],"members")</f>
        <v>1members</v>
      </c>
      <c r="M49">
        <v>1</v>
      </c>
    </row>
    <row r="50" spans="1:13">
      <c r="A50">
        <v>49</v>
      </c>
      <c r="B50" t="s">
        <v>11</v>
      </c>
      <c r="C50">
        <v>29</v>
      </c>
      <c r="D50" t="str" cm="1">
        <f t="array" ref="D50">_xlfn.IFS(Table2[[#This Row],[Age]]&lt;=11,"Gen A",Table2[[#This Row],[Age]]&lt;=27,"Gen Z",Table2[[#This Row],[Age]]&lt;=43,"Millenials",Table2[[#This Row],[Age]]&lt;=59,"Gen X",Table2[[#This Row],[Age]]&lt;=78,"Baby Boomers",Table2[[#This Row],[Age]]&lt;=96,"Silent",Table2[[#This Row],[Age]]&gt;=97,"Greatest")</f>
        <v>Millenials</v>
      </c>
      <c r="E50" s="1">
        <v>78000</v>
      </c>
      <c r="F50">
        <v>42</v>
      </c>
      <c r="G50" t="str" cm="1">
        <f t="array" ref="G50">_xlfn.IFS(Table2[[#This Row],[Spending Score (1-100)]]&lt;=25,"Low",Table2[[#This Row],[Spending Score (1-100)]]&lt;=50,"Medium",Table2[[#This Row],[Spending Score (1-100)]]&lt;=75,"High",Table2[[#This Row],[Spending Score (1-100)]]&lt;=100,"Very High")</f>
        <v>Medium</v>
      </c>
      <c r="H50" t="s">
        <v>9</v>
      </c>
      <c r="I50">
        <v>0</v>
      </c>
      <c r="J50" t="str">
        <f>CONCATENATE(Table2[[#This Row],[Work Experience]],"years")</f>
        <v>0years</v>
      </c>
      <c r="K50" t="str">
        <f>CONCATENATE(Table2[[#This Row],[Family Size2]],"members")</f>
        <v>4members</v>
      </c>
      <c r="L50" t="str">
        <f>CONCATENATE(Table2[[#This Row],[Family Size2]],"members")</f>
        <v>4members</v>
      </c>
      <c r="M50">
        <v>4</v>
      </c>
    </row>
    <row r="51" spans="1:13">
      <c r="A51">
        <v>50</v>
      </c>
      <c r="B51" t="s">
        <v>11</v>
      </c>
      <c r="C51">
        <v>31</v>
      </c>
      <c r="D51" t="str" cm="1">
        <f t="array" ref="D51">_xlfn.IFS(Table2[[#This Row],[Age]]&lt;=11,"Gen A",Table2[[#This Row],[Age]]&lt;=27,"Gen Z",Table2[[#This Row],[Age]]&lt;=43,"Millenials",Table2[[#This Row],[Age]]&lt;=59,"Gen X",Table2[[#This Row],[Age]]&lt;=78,"Baby Boomers",Table2[[#This Row],[Age]]&lt;=96,"Silent",Table2[[#This Row],[Age]]&gt;=97,"Greatest")</f>
        <v>Millenials</v>
      </c>
      <c r="E51" s="1">
        <v>25000</v>
      </c>
      <c r="F51">
        <v>42</v>
      </c>
      <c r="G51" t="str" cm="1">
        <f t="array" ref="G51">_xlfn.IFS(Table2[[#This Row],[Spending Score (1-100)]]&lt;=25,"Low",Table2[[#This Row],[Spending Score (1-100)]]&lt;=50,"Medium",Table2[[#This Row],[Spending Score (1-100)]]&lt;=75,"High",Table2[[#This Row],[Spending Score (1-100)]]&lt;=100,"Very High")</f>
        <v>Medium</v>
      </c>
      <c r="H51" t="s">
        <v>10</v>
      </c>
      <c r="I51">
        <v>1</v>
      </c>
      <c r="J51" t="str">
        <f>CONCATENATE(Table2[[#This Row],[Work Experience]],"years")</f>
        <v>1years</v>
      </c>
      <c r="K51" t="str">
        <f>CONCATENATE(Table2[[#This Row],[Family Size2]],"members")</f>
        <v>1members</v>
      </c>
      <c r="L51" t="str">
        <f>CONCATENATE(Table2[[#This Row],[Family Size2]],"members")</f>
        <v>1members</v>
      </c>
      <c r="M51">
        <v>1</v>
      </c>
    </row>
    <row r="52" spans="1:13">
      <c r="A52">
        <v>51</v>
      </c>
      <c r="B52" t="s">
        <v>11</v>
      </c>
      <c r="C52">
        <v>49</v>
      </c>
      <c r="D52" t="str" cm="1">
        <f t="array" ref="D52">_xlfn.IFS(Table2[[#This Row],[Age]]&lt;=11,"Gen A",Table2[[#This Row],[Age]]&lt;=27,"Gen Z",Table2[[#This Row],[Age]]&lt;=43,"Millenials",Table2[[#This Row],[Age]]&lt;=59,"Gen X",Table2[[#This Row],[Age]]&lt;=78,"Baby Boomers",Table2[[#This Row],[Age]]&lt;=96,"Silent",Table2[[#This Row],[Age]]&gt;=97,"Greatest")</f>
        <v>Gen X</v>
      </c>
      <c r="E52" s="1">
        <v>88000</v>
      </c>
      <c r="F52">
        <v>52</v>
      </c>
      <c r="G52" t="str" cm="1">
        <f t="array" ref="G52">_xlfn.IFS(Table2[[#This Row],[Spending Score (1-100)]]&lt;=25,"Low",Table2[[#This Row],[Spending Score (1-100)]]&lt;=50,"Medium",Table2[[#This Row],[Spending Score (1-100)]]&lt;=75,"High",Table2[[#This Row],[Spending Score (1-100)]]&lt;=100,"Very High")</f>
        <v>High</v>
      </c>
      <c r="H52" t="s">
        <v>14</v>
      </c>
      <c r="I52">
        <v>1</v>
      </c>
      <c r="J52" t="str">
        <f>CONCATENATE(Table2[[#This Row],[Work Experience]],"years")</f>
        <v>1years</v>
      </c>
      <c r="K52" t="str">
        <f>CONCATENATE(Table2[[#This Row],[Family Size2]],"members")</f>
        <v>2members</v>
      </c>
      <c r="L52" t="str">
        <f>CONCATENATE(Table2[[#This Row],[Family Size2]],"members")</f>
        <v>2members</v>
      </c>
      <c r="M52">
        <v>2</v>
      </c>
    </row>
    <row r="53" spans="1:13">
      <c r="A53">
        <v>52</v>
      </c>
      <c r="B53" t="s">
        <v>8</v>
      </c>
      <c r="C53">
        <v>33</v>
      </c>
      <c r="D53" t="str" cm="1">
        <f t="array" ref="D53">_xlfn.IFS(Table2[[#This Row],[Age]]&lt;=11,"Gen A",Table2[[#This Row],[Age]]&lt;=27,"Gen Z",Table2[[#This Row],[Age]]&lt;=43,"Millenials",Table2[[#This Row],[Age]]&lt;=59,"Gen X",Table2[[#This Row],[Age]]&lt;=78,"Baby Boomers",Table2[[#This Row],[Age]]&lt;=96,"Silent",Table2[[#This Row],[Age]]&gt;=97,"Greatest")</f>
        <v>Millenials</v>
      </c>
      <c r="E53" s="1">
        <v>97000</v>
      </c>
      <c r="F53">
        <v>60</v>
      </c>
      <c r="G53" t="str" cm="1">
        <f t="array" ref="G53">_xlfn.IFS(Table2[[#This Row],[Spending Score (1-100)]]&lt;=25,"Low",Table2[[#This Row],[Spending Score (1-100)]]&lt;=50,"Medium",Table2[[#This Row],[Spending Score (1-100)]]&lt;=75,"High",Table2[[#This Row],[Spending Score (1-100)]]&lt;=100,"Very High")</f>
        <v>High</v>
      </c>
      <c r="H53" t="s">
        <v>14</v>
      </c>
      <c r="I53">
        <v>1</v>
      </c>
      <c r="J53" t="str">
        <f>CONCATENATE(Table2[[#This Row],[Work Experience]],"years")</f>
        <v>1years</v>
      </c>
      <c r="K53" t="str">
        <f>CONCATENATE(Table2[[#This Row],[Family Size2]],"members")</f>
        <v>2members</v>
      </c>
      <c r="L53" t="str">
        <f>CONCATENATE(Table2[[#This Row],[Family Size2]],"members")</f>
        <v>2members</v>
      </c>
      <c r="M53">
        <v>2</v>
      </c>
    </row>
    <row r="54" spans="1:13">
      <c r="A54">
        <v>53</v>
      </c>
      <c r="B54" t="s">
        <v>11</v>
      </c>
      <c r="C54">
        <v>31</v>
      </c>
      <c r="D54" t="str" cm="1">
        <f t="array" ref="D54">_xlfn.IFS(Table2[[#This Row],[Age]]&lt;=11,"Gen A",Table2[[#This Row],[Age]]&lt;=27,"Gen Z",Table2[[#This Row],[Age]]&lt;=43,"Millenials",Table2[[#This Row],[Age]]&lt;=59,"Gen X",Table2[[#This Row],[Age]]&lt;=78,"Baby Boomers",Table2[[#This Row],[Age]]&lt;=96,"Silent",Table2[[#This Row],[Age]]&gt;=97,"Greatest")</f>
        <v>Millenials</v>
      </c>
      <c r="E54" s="1">
        <v>74000</v>
      </c>
      <c r="F54">
        <v>54</v>
      </c>
      <c r="G54" t="str" cm="1">
        <f t="array" ref="G54">_xlfn.IFS(Table2[[#This Row],[Spending Score (1-100)]]&lt;=25,"Low",Table2[[#This Row],[Spending Score (1-100)]]&lt;=50,"Medium",Table2[[#This Row],[Spending Score (1-100)]]&lt;=75,"High",Table2[[#This Row],[Spending Score (1-100)]]&lt;=100,"Very High")</f>
        <v>High</v>
      </c>
      <c r="H54" t="s">
        <v>14</v>
      </c>
      <c r="I54">
        <v>1</v>
      </c>
      <c r="J54" t="str">
        <f>CONCATENATE(Table2[[#This Row],[Work Experience]],"years")</f>
        <v>1years</v>
      </c>
      <c r="K54" t="str">
        <f>CONCATENATE(Table2[[#This Row],[Family Size2]],"members")</f>
        <v>1members</v>
      </c>
      <c r="L54" t="str">
        <f>CONCATENATE(Table2[[#This Row],[Family Size2]],"members")</f>
        <v>1members</v>
      </c>
      <c r="M54">
        <v>1</v>
      </c>
    </row>
    <row r="55" spans="1:13">
      <c r="A55">
        <v>54</v>
      </c>
      <c r="B55" t="s">
        <v>8</v>
      </c>
      <c r="C55">
        <v>59</v>
      </c>
      <c r="D55" t="str" cm="1">
        <f t="array" ref="D55">_xlfn.IFS(Table2[[#This Row],[Age]]&lt;=11,"Gen A",Table2[[#This Row],[Age]]&lt;=27,"Gen Z",Table2[[#This Row],[Age]]&lt;=43,"Millenials",Table2[[#This Row],[Age]]&lt;=59,"Gen X",Table2[[#This Row],[Age]]&lt;=78,"Baby Boomers",Table2[[#This Row],[Age]]&lt;=96,"Silent",Table2[[#This Row],[Age]]&gt;=97,"Greatest")</f>
        <v>Gen X</v>
      </c>
      <c r="E55" s="1">
        <v>68000</v>
      </c>
      <c r="F55">
        <v>60</v>
      </c>
      <c r="G55" t="str" cm="1">
        <f t="array" ref="G55">_xlfn.IFS(Table2[[#This Row],[Spending Score (1-100)]]&lt;=25,"Low",Table2[[#This Row],[Spending Score (1-100)]]&lt;=50,"Medium",Table2[[#This Row],[Spending Score (1-100)]]&lt;=75,"High",Table2[[#This Row],[Spending Score (1-100)]]&lt;=100,"Very High")</f>
        <v>High</v>
      </c>
      <c r="H55" t="s">
        <v>13</v>
      </c>
      <c r="I55">
        <v>0</v>
      </c>
      <c r="J55" t="str">
        <f>CONCATENATE(Table2[[#This Row],[Work Experience]],"years")</f>
        <v>0years</v>
      </c>
      <c r="K55" t="str">
        <f>CONCATENATE(Table2[[#This Row],[Family Size2]],"members")</f>
        <v>2members</v>
      </c>
      <c r="L55" t="str">
        <f>CONCATENATE(Table2[[#This Row],[Family Size2]],"members")</f>
        <v>2members</v>
      </c>
      <c r="M55">
        <v>2</v>
      </c>
    </row>
    <row r="56" spans="1:13">
      <c r="A56">
        <v>55</v>
      </c>
      <c r="B56" t="s">
        <v>11</v>
      </c>
      <c r="C56">
        <v>50</v>
      </c>
      <c r="D56" t="str" cm="1">
        <f t="array" ref="D56">_xlfn.IFS(Table2[[#This Row],[Age]]&lt;=11,"Gen A",Table2[[#This Row],[Age]]&lt;=27,"Gen Z",Table2[[#This Row],[Age]]&lt;=43,"Millenials",Table2[[#This Row],[Age]]&lt;=59,"Gen X",Table2[[#This Row],[Age]]&lt;=78,"Baby Boomers",Table2[[#This Row],[Age]]&lt;=96,"Silent",Table2[[#This Row],[Age]]&gt;=97,"Greatest")</f>
        <v>Gen X</v>
      </c>
      <c r="E56" s="1">
        <v>18000</v>
      </c>
      <c r="F56">
        <v>45</v>
      </c>
      <c r="G56" t="str" cm="1">
        <f t="array" ref="G56">_xlfn.IFS(Table2[[#This Row],[Spending Score (1-100)]]&lt;=25,"Low",Table2[[#This Row],[Spending Score (1-100)]]&lt;=50,"Medium",Table2[[#This Row],[Spending Score (1-100)]]&lt;=75,"High",Table2[[#This Row],[Spending Score (1-100)]]&lt;=100,"Very High")</f>
        <v>Medium</v>
      </c>
      <c r="H56" t="s">
        <v>18</v>
      </c>
      <c r="I56">
        <v>1</v>
      </c>
      <c r="J56" t="str">
        <f>CONCATENATE(Table2[[#This Row],[Work Experience]],"years")</f>
        <v>1years</v>
      </c>
      <c r="K56" t="str">
        <f>CONCATENATE(Table2[[#This Row],[Family Size2]],"members")</f>
        <v>1members</v>
      </c>
      <c r="L56" t="str">
        <f>CONCATENATE(Table2[[#This Row],[Family Size2]],"members")</f>
        <v>1members</v>
      </c>
      <c r="M56">
        <v>1</v>
      </c>
    </row>
    <row r="57" spans="1:13">
      <c r="A57">
        <v>56</v>
      </c>
      <c r="B57" t="s">
        <v>8</v>
      </c>
      <c r="C57">
        <v>47</v>
      </c>
      <c r="D57" t="str" cm="1">
        <f t="array" ref="D57">_xlfn.IFS(Table2[[#This Row],[Age]]&lt;=11,"Gen A",Table2[[#This Row],[Age]]&lt;=27,"Gen Z",Table2[[#This Row],[Age]]&lt;=43,"Millenials",Table2[[#This Row],[Age]]&lt;=59,"Gen X",Table2[[#This Row],[Age]]&lt;=78,"Baby Boomers",Table2[[#This Row],[Age]]&lt;=96,"Silent",Table2[[#This Row],[Age]]&gt;=97,"Greatest")</f>
        <v>Gen X</v>
      </c>
      <c r="E57" s="1">
        <v>95000</v>
      </c>
      <c r="F57">
        <v>41</v>
      </c>
      <c r="G57" t="str" cm="1">
        <f t="array" ref="G57">_xlfn.IFS(Table2[[#This Row],[Spending Score (1-100)]]&lt;=25,"Low",Table2[[#This Row],[Spending Score (1-100)]]&lt;=50,"Medium",Table2[[#This Row],[Spending Score (1-100)]]&lt;=75,"High",Table2[[#This Row],[Spending Score (1-100)]]&lt;=100,"Very High")</f>
        <v>Medium</v>
      </c>
      <c r="H57" t="s">
        <v>14</v>
      </c>
      <c r="I57">
        <v>14</v>
      </c>
      <c r="J57" t="str">
        <f>CONCATENATE(Table2[[#This Row],[Work Experience]],"years")</f>
        <v>14years</v>
      </c>
      <c r="K57" t="str">
        <f>CONCATENATE(Table2[[#This Row],[Family Size2]],"members")</f>
        <v>2members</v>
      </c>
      <c r="L57" t="str">
        <f>CONCATENATE(Table2[[#This Row],[Family Size2]],"members")</f>
        <v>2members</v>
      </c>
      <c r="M57">
        <v>2</v>
      </c>
    </row>
    <row r="58" spans="1:13">
      <c r="A58">
        <v>57</v>
      </c>
      <c r="B58" t="s">
        <v>11</v>
      </c>
      <c r="C58">
        <v>51</v>
      </c>
      <c r="D58" t="str" cm="1">
        <f t="array" ref="D58">_xlfn.IFS(Table2[[#This Row],[Age]]&lt;=11,"Gen A",Table2[[#This Row],[Age]]&lt;=27,"Gen Z",Table2[[#This Row],[Age]]&lt;=43,"Millenials",Table2[[#This Row],[Age]]&lt;=59,"Gen X",Table2[[#This Row],[Age]]&lt;=78,"Baby Boomers",Table2[[#This Row],[Age]]&lt;=96,"Silent",Table2[[#This Row],[Age]]&gt;=97,"Greatest")</f>
        <v>Gen X</v>
      </c>
      <c r="E58" s="1">
        <v>71000</v>
      </c>
      <c r="F58">
        <v>50</v>
      </c>
      <c r="G58" t="str" cm="1">
        <f t="array" ref="G58">_xlfn.IFS(Table2[[#This Row],[Spending Score (1-100)]]&lt;=25,"Low",Table2[[#This Row],[Spending Score (1-100)]]&lt;=50,"Medium",Table2[[#This Row],[Spending Score (1-100)]]&lt;=75,"High",Table2[[#This Row],[Spending Score (1-100)]]&lt;=100,"Very High")</f>
        <v>Medium</v>
      </c>
      <c r="H58" t="s">
        <v>9</v>
      </c>
      <c r="I58">
        <v>9</v>
      </c>
      <c r="J58" t="str">
        <f>CONCATENATE(Table2[[#This Row],[Work Experience]],"years")</f>
        <v>9years</v>
      </c>
      <c r="K58" t="str">
        <f>CONCATENATE(Table2[[#This Row],[Family Size2]],"members")</f>
        <v>4members</v>
      </c>
      <c r="L58" t="str">
        <f>CONCATENATE(Table2[[#This Row],[Family Size2]],"members")</f>
        <v>4members</v>
      </c>
      <c r="M58">
        <v>4</v>
      </c>
    </row>
    <row r="59" spans="1:13">
      <c r="A59">
        <v>58</v>
      </c>
      <c r="B59" t="s">
        <v>8</v>
      </c>
      <c r="C59">
        <v>69</v>
      </c>
      <c r="D59" t="str" cm="1">
        <f t="array" ref="D59">_xlfn.IFS(Table2[[#This Row],[Age]]&lt;=11,"Gen A",Table2[[#This Row],[Age]]&lt;=27,"Gen Z",Table2[[#This Row],[Age]]&lt;=43,"Millenials",Table2[[#This Row],[Age]]&lt;=59,"Gen X",Table2[[#This Row],[Age]]&lt;=78,"Baby Boomers",Table2[[#This Row],[Age]]&lt;=96,"Silent",Table2[[#This Row],[Age]]&gt;=97,"Greatest")</f>
        <v>Baby Boomers</v>
      </c>
      <c r="E59" s="1">
        <v>8000</v>
      </c>
      <c r="F59">
        <v>46</v>
      </c>
      <c r="G59" t="str" cm="1">
        <f t="array" ref="G59">_xlfn.IFS(Table2[[#This Row],[Spending Score (1-100)]]&lt;=25,"Low",Table2[[#This Row],[Spending Score (1-100)]]&lt;=50,"Medium",Table2[[#This Row],[Spending Score (1-100)]]&lt;=75,"High",Table2[[#This Row],[Spending Score (1-100)]]&lt;=100,"Very High")</f>
        <v>Medium</v>
      </c>
      <c r="H59" t="s">
        <v>16</v>
      </c>
      <c r="I59">
        <v>8</v>
      </c>
      <c r="J59" t="str">
        <f>CONCATENATE(Table2[[#This Row],[Work Experience]],"years")</f>
        <v>8years</v>
      </c>
      <c r="K59" t="str">
        <f>CONCATENATE(Table2[[#This Row],[Family Size2]],"members")</f>
        <v>2members</v>
      </c>
      <c r="L59" t="str">
        <f>CONCATENATE(Table2[[#This Row],[Family Size2]],"members")</f>
        <v>2members</v>
      </c>
      <c r="M59">
        <v>2</v>
      </c>
    </row>
    <row r="60" spans="1:13">
      <c r="A60">
        <v>59</v>
      </c>
      <c r="B60" t="s">
        <v>11</v>
      </c>
      <c r="C60">
        <v>27</v>
      </c>
      <c r="D60" t="str" cm="1">
        <f t="array" ref="D60">_xlfn.IFS(Table2[[#This Row],[Age]]&lt;=11,"Gen A",Table2[[#This Row],[Age]]&lt;=27,"Gen Z",Table2[[#This Row],[Age]]&lt;=43,"Millenials",Table2[[#This Row],[Age]]&lt;=59,"Gen X",Table2[[#This Row],[Age]]&lt;=78,"Baby Boomers",Table2[[#This Row],[Age]]&lt;=96,"Silent",Table2[[#This Row],[Age]]&gt;=97,"Greatest")</f>
        <v>Gen Z</v>
      </c>
      <c r="E60" s="1">
        <v>57000</v>
      </c>
      <c r="F60">
        <v>51</v>
      </c>
      <c r="G60" t="str" cm="1">
        <f t="array" ref="G60">_xlfn.IFS(Table2[[#This Row],[Spending Score (1-100)]]&lt;=25,"Low",Table2[[#This Row],[Spending Score (1-100)]]&lt;=50,"Medium",Table2[[#This Row],[Spending Score (1-100)]]&lt;=75,"High",Table2[[#This Row],[Spending Score (1-100)]]&lt;=100,"Very High")</f>
        <v>High</v>
      </c>
      <c r="H60" t="s">
        <v>14</v>
      </c>
      <c r="I60">
        <v>1</v>
      </c>
      <c r="J60" t="str">
        <f>CONCATENATE(Table2[[#This Row],[Work Experience]],"years")</f>
        <v>1years</v>
      </c>
      <c r="K60" t="str">
        <f>CONCATENATE(Table2[[#This Row],[Family Size2]],"members")</f>
        <v>3members</v>
      </c>
      <c r="L60" t="str">
        <f>CONCATENATE(Table2[[#This Row],[Family Size2]],"members")</f>
        <v>3members</v>
      </c>
      <c r="M60">
        <v>3</v>
      </c>
    </row>
    <row r="61" spans="1:13">
      <c r="A61">
        <v>60</v>
      </c>
      <c r="B61" t="s">
        <v>8</v>
      </c>
      <c r="C61">
        <v>53</v>
      </c>
      <c r="D61" t="str" cm="1">
        <f t="array" ref="D61">_xlfn.IFS(Table2[[#This Row],[Age]]&lt;=11,"Gen A",Table2[[#This Row],[Age]]&lt;=27,"Gen Z",Table2[[#This Row],[Age]]&lt;=43,"Millenials",Table2[[#This Row],[Age]]&lt;=59,"Gen X",Table2[[#This Row],[Age]]&lt;=78,"Baby Boomers",Table2[[#This Row],[Age]]&lt;=96,"Silent",Table2[[#This Row],[Age]]&gt;=97,"Greatest")</f>
        <v>Gen X</v>
      </c>
      <c r="E61" s="1">
        <v>89000</v>
      </c>
      <c r="F61">
        <v>46</v>
      </c>
      <c r="G61" t="str" cm="1">
        <f t="array" ref="G61">_xlfn.IFS(Table2[[#This Row],[Spending Score (1-100)]]&lt;=25,"Low",Table2[[#This Row],[Spending Score (1-100)]]&lt;=50,"Medium",Table2[[#This Row],[Spending Score (1-100)]]&lt;=75,"High",Table2[[#This Row],[Spending Score (1-100)]]&lt;=100,"Very High")</f>
        <v>Medium</v>
      </c>
      <c r="H61" t="s">
        <v>12</v>
      </c>
      <c r="I61">
        <v>1</v>
      </c>
      <c r="J61" t="str">
        <f>CONCATENATE(Table2[[#This Row],[Work Experience]],"years")</f>
        <v>1years</v>
      </c>
      <c r="K61" t="str">
        <f>CONCATENATE(Table2[[#This Row],[Family Size2]],"members")</f>
        <v>6members</v>
      </c>
      <c r="L61" t="str">
        <f>CONCATENATE(Table2[[#This Row],[Family Size2]],"members")</f>
        <v>6members</v>
      </c>
      <c r="M61">
        <v>6</v>
      </c>
    </row>
    <row r="62" spans="1:13">
      <c r="A62">
        <v>61</v>
      </c>
      <c r="B62" t="s">
        <v>8</v>
      </c>
      <c r="C62">
        <v>70</v>
      </c>
      <c r="D62" t="str" cm="1">
        <f t="array" ref="D62">_xlfn.IFS(Table2[[#This Row],[Age]]&lt;=11,"Gen A",Table2[[#This Row],[Age]]&lt;=27,"Gen Z",Table2[[#This Row],[Age]]&lt;=43,"Millenials",Table2[[#This Row],[Age]]&lt;=59,"Gen X",Table2[[#This Row],[Age]]&lt;=78,"Baby Boomers",Table2[[#This Row],[Age]]&lt;=96,"Silent",Table2[[#This Row],[Age]]&gt;=97,"Greatest")</f>
        <v>Baby Boomers</v>
      </c>
      <c r="E62" s="1">
        <v>84000</v>
      </c>
      <c r="F62">
        <v>56</v>
      </c>
      <c r="G62" t="str" cm="1">
        <f t="array" ref="G62">_xlfn.IFS(Table2[[#This Row],[Spending Score (1-100)]]&lt;=25,"Low",Table2[[#This Row],[Spending Score (1-100)]]&lt;=50,"Medium",Table2[[#This Row],[Spending Score (1-100)]]&lt;=75,"High",Table2[[#This Row],[Spending Score (1-100)]]&lt;=100,"Very High")</f>
        <v>High</v>
      </c>
      <c r="H62" t="s">
        <v>14</v>
      </c>
      <c r="I62">
        <v>0</v>
      </c>
      <c r="J62" t="str">
        <f>CONCATENATE(Table2[[#This Row],[Work Experience]],"years")</f>
        <v>0years</v>
      </c>
      <c r="K62" t="str">
        <f>CONCATENATE(Table2[[#This Row],[Family Size2]],"members")</f>
        <v>2members</v>
      </c>
      <c r="L62" t="str">
        <f>CONCATENATE(Table2[[#This Row],[Family Size2]],"members")</f>
        <v>2members</v>
      </c>
      <c r="M62">
        <v>2</v>
      </c>
    </row>
    <row r="63" spans="1:13">
      <c r="A63">
        <v>62</v>
      </c>
      <c r="B63" t="s">
        <v>8</v>
      </c>
      <c r="C63">
        <v>19</v>
      </c>
      <c r="D63" t="str" cm="1">
        <f t="array" ref="D63">_xlfn.IFS(Table2[[#This Row],[Age]]&lt;=11,"Gen A",Table2[[#This Row],[Age]]&lt;=27,"Gen Z",Table2[[#This Row],[Age]]&lt;=43,"Millenials",Table2[[#This Row],[Age]]&lt;=59,"Gen X",Table2[[#This Row],[Age]]&lt;=78,"Baby Boomers",Table2[[#This Row],[Age]]&lt;=96,"Silent",Table2[[#This Row],[Age]]&gt;=97,"Greatest")</f>
        <v>Gen Z</v>
      </c>
      <c r="E63" s="1">
        <v>50000</v>
      </c>
      <c r="F63">
        <v>55</v>
      </c>
      <c r="G63" t="str" cm="1">
        <f t="array" ref="G63">_xlfn.IFS(Table2[[#This Row],[Spending Score (1-100)]]&lt;=25,"Low",Table2[[#This Row],[Spending Score (1-100)]]&lt;=50,"Medium",Table2[[#This Row],[Spending Score (1-100)]]&lt;=75,"High",Table2[[#This Row],[Spending Score (1-100)]]&lt;=100,"Very High")</f>
        <v>High</v>
      </c>
      <c r="H63" t="s">
        <v>14</v>
      </c>
      <c r="I63">
        <v>9</v>
      </c>
      <c r="J63" t="str">
        <f>CONCATENATE(Table2[[#This Row],[Work Experience]],"years")</f>
        <v>9years</v>
      </c>
      <c r="K63" t="str">
        <f>CONCATENATE(Table2[[#This Row],[Family Size2]],"members")</f>
        <v>2members</v>
      </c>
      <c r="L63" t="str">
        <f>CONCATENATE(Table2[[#This Row],[Family Size2]],"members")</f>
        <v>2members</v>
      </c>
      <c r="M63">
        <v>2</v>
      </c>
    </row>
    <row r="64" spans="1:13">
      <c r="A64">
        <v>63</v>
      </c>
      <c r="B64" t="s">
        <v>11</v>
      </c>
      <c r="C64">
        <v>67</v>
      </c>
      <c r="D64" t="str" cm="1">
        <f t="array" ref="D64">_xlfn.IFS(Table2[[#This Row],[Age]]&lt;=11,"Gen A",Table2[[#This Row],[Age]]&lt;=27,"Gen Z",Table2[[#This Row],[Age]]&lt;=43,"Millenials",Table2[[#This Row],[Age]]&lt;=59,"Gen X",Table2[[#This Row],[Age]]&lt;=78,"Baby Boomers",Table2[[#This Row],[Age]]&lt;=96,"Silent",Table2[[#This Row],[Age]]&gt;=97,"Greatest")</f>
        <v>Baby Boomers</v>
      </c>
      <c r="E64" s="1">
        <v>50000</v>
      </c>
      <c r="F64">
        <v>52</v>
      </c>
      <c r="G64" t="str" cm="1">
        <f t="array" ref="G64">_xlfn.IFS(Table2[[#This Row],[Spending Score (1-100)]]&lt;=25,"Low",Table2[[#This Row],[Spending Score (1-100)]]&lt;=50,"Medium",Table2[[#This Row],[Spending Score (1-100)]]&lt;=75,"High",Table2[[#This Row],[Spending Score (1-100)]]&lt;=100,"Very High")</f>
        <v>High</v>
      </c>
      <c r="H64" t="s">
        <v>12</v>
      </c>
      <c r="I64">
        <v>0</v>
      </c>
      <c r="J64" t="str">
        <f>CONCATENATE(Table2[[#This Row],[Work Experience]],"years")</f>
        <v>0years</v>
      </c>
      <c r="K64" t="str">
        <f>CONCATENATE(Table2[[#This Row],[Family Size2]],"members")</f>
        <v>3members</v>
      </c>
      <c r="L64" t="str">
        <f>CONCATENATE(Table2[[#This Row],[Family Size2]],"members")</f>
        <v>3members</v>
      </c>
      <c r="M64">
        <v>3</v>
      </c>
    </row>
    <row r="65" spans="1:13">
      <c r="A65">
        <v>64</v>
      </c>
      <c r="B65" t="s">
        <v>11</v>
      </c>
      <c r="C65">
        <v>54</v>
      </c>
      <c r="D65" t="str" cm="1">
        <f t="array" ref="D65">_xlfn.IFS(Table2[[#This Row],[Age]]&lt;=11,"Gen A",Table2[[#This Row],[Age]]&lt;=27,"Gen Z",Table2[[#This Row],[Age]]&lt;=43,"Millenials",Table2[[#This Row],[Age]]&lt;=59,"Gen X",Table2[[#This Row],[Age]]&lt;=78,"Baby Boomers",Table2[[#This Row],[Age]]&lt;=96,"Silent",Table2[[#This Row],[Age]]&gt;=97,"Greatest")</f>
        <v>Gen X</v>
      </c>
      <c r="E65" s="1">
        <v>48000</v>
      </c>
      <c r="F65">
        <v>59</v>
      </c>
      <c r="G65" t="str" cm="1">
        <f t="array" ref="G65">_xlfn.IFS(Table2[[#This Row],[Spending Score (1-100)]]&lt;=25,"Low",Table2[[#This Row],[Spending Score (1-100)]]&lt;=50,"Medium",Table2[[#This Row],[Spending Score (1-100)]]&lt;=75,"High",Table2[[#This Row],[Spending Score (1-100)]]&lt;=100,"Very High")</f>
        <v>High</v>
      </c>
      <c r="H65" t="s">
        <v>12</v>
      </c>
      <c r="I65">
        <v>1</v>
      </c>
      <c r="J65" t="str">
        <f>CONCATENATE(Table2[[#This Row],[Work Experience]],"years")</f>
        <v>1years</v>
      </c>
      <c r="K65" t="str">
        <f>CONCATENATE(Table2[[#This Row],[Family Size2]],"members")</f>
        <v>2members</v>
      </c>
      <c r="L65" t="str">
        <f>CONCATENATE(Table2[[#This Row],[Family Size2]],"members")</f>
        <v>2members</v>
      </c>
      <c r="M65">
        <v>2</v>
      </c>
    </row>
    <row r="66" spans="1:13">
      <c r="A66">
        <v>65</v>
      </c>
      <c r="B66" t="s">
        <v>8</v>
      </c>
      <c r="C66">
        <v>63</v>
      </c>
      <c r="D66" t="str" cm="1">
        <f t="array" ref="D66">_xlfn.IFS(Table2[[#This Row],[Age]]&lt;=11,"Gen A",Table2[[#This Row],[Age]]&lt;=27,"Gen Z",Table2[[#This Row],[Age]]&lt;=43,"Millenials",Table2[[#This Row],[Age]]&lt;=59,"Gen X",Table2[[#This Row],[Age]]&lt;=78,"Baby Boomers",Table2[[#This Row],[Age]]&lt;=96,"Silent",Table2[[#This Row],[Age]]&gt;=97,"Greatest")</f>
        <v>Baby Boomers</v>
      </c>
      <c r="E66" s="1">
        <v>63000</v>
      </c>
      <c r="F66">
        <v>51</v>
      </c>
      <c r="G66" t="str" cm="1">
        <f t="array" ref="G66">_xlfn.IFS(Table2[[#This Row],[Spending Score (1-100)]]&lt;=25,"Low",Table2[[#This Row],[Spending Score (1-100)]]&lt;=50,"Medium",Table2[[#This Row],[Spending Score (1-100)]]&lt;=75,"High",Table2[[#This Row],[Spending Score (1-100)]]&lt;=100,"Very High")</f>
        <v>High</v>
      </c>
      <c r="H66" t="s">
        <v>12</v>
      </c>
      <c r="I66">
        <v>7</v>
      </c>
      <c r="J66" t="str">
        <f>CONCATENATE(Table2[[#This Row],[Work Experience]],"years")</f>
        <v>7years</v>
      </c>
      <c r="K66" t="str">
        <f>CONCATENATE(Table2[[#This Row],[Family Size2]],"members")</f>
        <v>2members</v>
      </c>
      <c r="L66" t="str">
        <f>CONCATENATE(Table2[[#This Row],[Family Size2]],"members")</f>
        <v>2members</v>
      </c>
      <c r="M66">
        <v>2</v>
      </c>
    </row>
    <row r="67" spans="1:13">
      <c r="A67">
        <v>66</v>
      </c>
      <c r="B67" t="s">
        <v>8</v>
      </c>
      <c r="C67">
        <v>18</v>
      </c>
      <c r="D67" t="str" cm="1">
        <f t="array" ref="D67">_xlfn.IFS(Table2[[#This Row],[Age]]&lt;=11,"Gen A",Table2[[#This Row],[Age]]&lt;=27,"Gen Z",Table2[[#This Row],[Age]]&lt;=43,"Millenials",Table2[[#This Row],[Age]]&lt;=59,"Gen X",Table2[[#This Row],[Age]]&lt;=78,"Baby Boomers",Table2[[#This Row],[Age]]&lt;=96,"Silent",Table2[[#This Row],[Age]]&gt;=97,"Greatest")</f>
        <v>Gen Z</v>
      </c>
      <c r="E67" s="1">
        <v>9000</v>
      </c>
      <c r="F67">
        <v>59</v>
      </c>
      <c r="G67" t="str" cm="1">
        <f t="array" ref="G67">_xlfn.IFS(Table2[[#This Row],[Spending Score (1-100)]]&lt;=25,"Low",Table2[[#This Row],[Spending Score (1-100)]]&lt;=50,"Medium",Table2[[#This Row],[Spending Score (1-100)]]&lt;=75,"High",Table2[[#This Row],[Spending Score (1-100)]]&lt;=100,"Very High")</f>
        <v>High</v>
      </c>
      <c r="H67" t="s">
        <v>13</v>
      </c>
      <c r="I67">
        <v>0</v>
      </c>
      <c r="J67" t="str">
        <f>CONCATENATE(Table2[[#This Row],[Work Experience]],"years")</f>
        <v>0years</v>
      </c>
      <c r="K67" t="str">
        <f>CONCATENATE(Table2[[#This Row],[Family Size2]],"members")</f>
        <v>2members</v>
      </c>
      <c r="L67" t="str">
        <f>CONCATENATE(Table2[[#This Row],[Family Size2]],"members")</f>
        <v>2members</v>
      </c>
      <c r="M67">
        <v>2</v>
      </c>
    </row>
    <row r="68" spans="1:13">
      <c r="A68">
        <v>67</v>
      </c>
      <c r="B68" t="s">
        <v>11</v>
      </c>
      <c r="C68">
        <v>43</v>
      </c>
      <c r="D68" t="str" cm="1">
        <f t="array" ref="D68">_xlfn.IFS(Table2[[#This Row],[Age]]&lt;=11,"Gen A",Table2[[#This Row],[Age]]&lt;=27,"Gen Z",Table2[[#This Row],[Age]]&lt;=43,"Millenials",Table2[[#This Row],[Age]]&lt;=59,"Gen X",Table2[[#This Row],[Age]]&lt;=78,"Baby Boomers",Table2[[#This Row],[Age]]&lt;=96,"Silent",Table2[[#This Row],[Age]]&gt;=97,"Greatest")</f>
        <v>Millenials</v>
      </c>
      <c r="E68" s="1">
        <v>3000</v>
      </c>
      <c r="F68">
        <v>50</v>
      </c>
      <c r="G68" t="str" cm="1">
        <f t="array" ref="G68">_xlfn.IFS(Table2[[#This Row],[Spending Score (1-100)]]&lt;=25,"Low",Table2[[#This Row],[Spending Score (1-100)]]&lt;=50,"Medium",Table2[[#This Row],[Spending Score (1-100)]]&lt;=75,"High",Table2[[#This Row],[Spending Score (1-100)]]&lt;=100,"Very High")</f>
        <v>Medium</v>
      </c>
      <c r="H68" t="s">
        <v>16</v>
      </c>
      <c r="I68">
        <v>0</v>
      </c>
      <c r="J68" t="str">
        <f>CONCATENATE(Table2[[#This Row],[Work Experience]],"years")</f>
        <v>0years</v>
      </c>
      <c r="K68" t="str">
        <f>CONCATENATE(Table2[[#This Row],[Family Size2]],"members")</f>
        <v>2members</v>
      </c>
      <c r="L68" t="str">
        <f>CONCATENATE(Table2[[#This Row],[Family Size2]],"members")</f>
        <v>2members</v>
      </c>
      <c r="M68">
        <v>2</v>
      </c>
    </row>
    <row r="69" spans="1:13">
      <c r="A69">
        <v>68</v>
      </c>
      <c r="B69" t="s">
        <v>11</v>
      </c>
      <c r="C69">
        <v>68</v>
      </c>
      <c r="D69" t="str" cm="1">
        <f t="array" ref="D69">_xlfn.IFS(Table2[[#This Row],[Age]]&lt;=11,"Gen A",Table2[[#This Row],[Age]]&lt;=27,"Gen Z",Table2[[#This Row],[Age]]&lt;=43,"Millenials",Table2[[#This Row],[Age]]&lt;=59,"Gen X",Table2[[#This Row],[Age]]&lt;=78,"Baby Boomers",Table2[[#This Row],[Age]]&lt;=96,"Silent",Table2[[#This Row],[Age]]&gt;=97,"Greatest")</f>
        <v>Baby Boomers</v>
      </c>
      <c r="E69" s="1">
        <v>82000</v>
      </c>
      <c r="F69">
        <v>48</v>
      </c>
      <c r="G69" t="str" cm="1">
        <f t="array" ref="G69">_xlfn.IFS(Table2[[#This Row],[Spending Score (1-100)]]&lt;=25,"Low",Table2[[#This Row],[Spending Score (1-100)]]&lt;=50,"Medium",Table2[[#This Row],[Spending Score (1-100)]]&lt;=75,"High",Table2[[#This Row],[Spending Score (1-100)]]&lt;=100,"Very High")</f>
        <v>Medium</v>
      </c>
      <c r="H69" t="s">
        <v>14</v>
      </c>
      <c r="I69">
        <v>8</v>
      </c>
      <c r="J69" t="str">
        <f>CONCATENATE(Table2[[#This Row],[Work Experience]],"years")</f>
        <v>8years</v>
      </c>
      <c r="K69" t="str">
        <f>CONCATENATE(Table2[[#This Row],[Family Size2]],"members")</f>
        <v>4members</v>
      </c>
      <c r="L69" t="str">
        <f>CONCATENATE(Table2[[#This Row],[Family Size2]],"members")</f>
        <v>4members</v>
      </c>
      <c r="M69">
        <v>4</v>
      </c>
    </row>
    <row r="70" spans="1:13">
      <c r="A70">
        <v>69</v>
      </c>
      <c r="B70" t="s">
        <v>8</v>
      </c>
      <c r="C70">
        <v>19</v>
      </c>
      <c r="D70" t="str" cm="1">
        <f t="array" ref="D70">_xlfn.IFS(Table2[[#This Row],[Age]]&lt;=11,"Gen A",Table2[[#This Row],[Age]]&lt;=27,"Gen Z",Table2[[#This Row],[Age]]&lt;=43,"Millenials",Table2[[#This Row],[Age]]&lt;=59,"Gen X",Table2[[#This Row],[Age]]&lt;=78,"Baby Boomers",Table2[[#This Row],[Age]]&lt;=96,"Silent",Table2[[#This Row],[Age]]&gt;=97,"Greatest")</f>
        <v>Gen Z</v>
      </c>
      <c r="E70" s="1">
        <v>81000</v>
      </c>
      <c r="F70">
        <v>59</v>
      </c>
      <c r="G70" t="str" cm="1">
        <f t="array" ref="G70">_xlfn.IFS(Table2[[#This Row],[Spending Score (1-100)]]&lt;=25,"Low",Table2[[#This Row],[Spending Score (1-100)]]&lt;=50,"Medium",Table2[[#This Row],[Spending Score (1-100)]]&lt;=75,"High",Table2[[#This Row],[Spending Score (1-100)]]&lt;=100,"Very High")</f>
        <v>High</v>
      </c>
      <c r="H70" t="s">
        <v>14</v>
      </c>
      <c r="I70">
        <v>0</v>
      </c>
      <c r="J70" t="str">
        <f>CONCATENATE(Table2[[#This Row],[Work Experience]],"years")</f>
        <v>0years</v>
      </c>
      <c r="K70" t="str">
        <f>CONCATENATE(Table2[[#This Row],[Family Size2]],"members")</f>
        <v>4members</v>
      </c>
      <c r="L70" t="str">
        <f>CONCATENATE(Table2[[#This Row],[Family Size2]],"members")</f>
        <v>4members</v>
      </c>
      <c r="M70">
        <v>4</v>
      </c>
    </row>
    <row r="71" spans="1:13">
      <c r="A71">
        <v>70</v>
      </c>
      <c r="B71" t="s">
        <v>11</v>
      </c>
      <c r="C71">
        <v>32</v>
      </c>
      <c r="D71" t="str" cm="1">
        <f t="array" ref="D71">_xlfn.IFS(Table2[[#This Row],[Age]]&lt;=11,"Gen A",Table2[[#This Row],[Age]]&lt;=27,"Gen Z",Table2[[#This Row],[Age]]&lt;=43,"Millenials",Table2[[#This Row],[Age]]&lt;=59,"Gen X",Table2[[#This Row],[Age]]&lt;=78,"Baby Boomers",Table2[[#This Row],[Age]]&lt;=96,"Silent",Table2[[#This Row],[Age]]&gt;=97,"Greatest")</f>
        <v>Millenials</v>
      </c>
      <c r="E71" s="1">
        <v>97000</v>
      </c>
      <c r="F71">
        <v>47</v>
      </c>
      <c r="G71" t="str" cm="1">
        <f t="array" ref="G71">_xlfn.IFS(Table2[[#This Row],[Spending Score (1-100)]]&lt;=25,"Low",Table2[[#This Row],[Spending Score (1-100)]]&lt;=50,"Medium",Table2[[#This Row],[Spending Score (1-100)]]&lt;=75,"High",Table2[[#This Row],[Spending Score (1-100)]]&lt;=100,"Very High")</f>
        <v>Medium</v>
      </c>
      <c r="H71" t="s">
        <v>17</v>
      </c>
      <c r="I71">
        <v>2</v>
      </c>
      <c r="J71" t="str">
        <f>CONCATENATE(Table2[[#This Row],[Work Experience]],"years")</f>
        <v>2years</v>
      </c>
      <c r="K71" t="str">
        <f>CONCATENATE(Table2[[#This Row],[Family Size2]],"members")</f>
        <v>2members</v>
      </c>
      <c r="L71" t="str">
        <f>CONCATENATE(Table2[[#This Row],[Family Size2]],"members")</f>
        <v>2members</v>
      </c>
      <c r="M71">
        <v>2</v>
      </c>
    </row>
    <row r="72" spans="1:13">
      <c r="A72">
        <v>71</v>
      </c>
      <c r="B72" t="s">
        <v>8</v>
      </c>
      <c r="C72">
        <v>70</v>
      </c>
      <c r="D72" t="str" cm="1">
        <f t="array" ref="D72">_xlfn.IFS(Table2[[#This Row],[Age]]&lt;=11,"Gen A",Table2[[#This Row],[Age]]&lt;=27,"Gen Z",Table2[[#This Row],[Age]]&lt;=43,"Millenials",Table2[[#This Row],[Age]]&lt;=59,"Gen X",Table2[[#This Row],[Age]]&lt;=78,"Baby Boomers",Table2[[#This Row],[Age]]&lt;=96,"Silent",Table2[[#This Row],[Age]]&gt;=97,"Greatest")</f>
        <v>Baby Boomers</v>
      </c>
      <c r="E72" s="1">
        <v>91000</v>
      </c>
      <c r="F72">
        <v>55</v>
      </c>
      <c r="G72" t="str" cm="1">
        <f t="array" ref="G72">_xlfn.IFS(Table2[[#This Row],[Spending Score (1-100)]]&lt;=25,"Low",Table2[[#This Row],[Spending Score (1-100)]]&lt;=50,"Medium",Table2[[#This Row],[Spending Score (1-100)]]&lt;=75,"High",Table2[[#This Row],[Spending Score (1-100)]]&lt;=100,"Very High")</f>
        <v>High</v>
      </c>
      <c r="H72" t="s">
        <v>9</v>
      </c>
      <c r="I72">
        <v>8</v>
      </c>
      <c r="J72" t="str">
        <f>CONCATENATE(Table2[[#This Row],[Work Experience]],"years")</f>
        <v>8years</v>
      </c>
      <c r="K72" t="str">
        <f>CONCATENATE(Table2[[#This Row],[Family Size2]],"members")</f>
        <v>2members</v>
      </c>
      <c r="L72" t="str">
        <f>CONCATENATE(Table2[[#This Row],[Family Size2]],"members")</f>
        <v>2members</v>
      </c>
      <c r="M72">
        <v>2</v>
      </c>
    </row>
    <row r="73" spans="1:13">
      <c r="A73">
        <v>72</v>
      </c>
      <c r="B73" t="s">
        <v>11</v>
      </c>
      <c r="C73">
        <v>47</v>
      </c>
      <c r="D73" t="str" cm="1">
        <f t="array" ref="D73">_xlfn.IFS(Table2[[#This Row],[Age]]&lt;=11,"Gen A",Table2[[#This Row],[Age]]&lt;=27,"Gen Z",Table2[[#This Row],[Age]]&lt;=43,"Millenials",Table2[[#This Row],[Age]]&lt;=59,"Gen X",Table2[[#This Row],[Age]]&lt;=78,"Baby Boomers",Table2[[#This Row],[Age]]&lt;=96,"Silent",Table2[[#This Row],[Age]]&gt;=97,"Greatest")</f>
        <v>Gen X</v>
      </c>
      <c r="E73" s="1">
        <v>9000</v>
      </c>
      <c r="F73">
        <v>42</v>
      </c>
      <c r="G73" t="str" cm="1">
        <f t="array" ref="G73">_xlfn.IFS(Table2[[#This Row],[Spending Score (1-100)]]&lt;=25,"Low",Table2[[#This Row],[Spending Score (1-100)]]&lt;=50,"Medium",Table2[[#This Row],[Spending Score (1-100)]]&lt;=75,"High",Table2[[#This Row],[Spending Score (1-100)]]&lt;=100,"Very High")</f>
        <v>Medium</v>
      </c>
      <c r="H73" t="s">
        <v>13</v>
      </c>
      <c r="I73">
        <v>8</v>
      </c>
      <c r="J73" t="str">
        <f>CONCATENATE(Table2[[#This Row],[Work Experience]],"years")</f>
        <v>8years</v>
      </c>
      <c r="K73" t="str">
        <f>CONCATENATE(Table2[[#This Row],[Family Size2]],"members")</f>
        <v>2members</v>
      </c>
      <c r="L73" t="str">
        <f>CONCATENATE(Table2[[#This Row],[Family Size2]],"members")</f>
        <v>2members</v>
      </c>
      <c r="M73">
        <v>2</v>
      </c>
    </row>
    <row r="74" spans="1:13">
      <c r="A74">
        <v>73</v>
      </c>
      <c r="B74" t="s">
        <v>11</v>
      </c>
      <c r="C74">
        <v>60</v>
      </c>
      <c r="D74" t="str" cm="1">
        <f t="array" ref="D74">_xlfn.IFS(Table2[[#This Row],[Age]]&lt;=11,"Gen A",Table2[[#This Row],[Age]]&lt;=27,"Gen Z",Table2[[#This Row],[Age]]&lt;=43,"Millenials",Table2[[#This Row],[Age]]&lt;=59,"Gen X",Table2[[#This Row],[Age]]&lt;=78,"Baby Boomers",Table2[[#This Row],[Age]]&lt;=96,"Silent",Table2[[#This Row],[Age]]&gt;=97,"Greatest")</f>
        <v>Baby Boomers</v>
      </c>
      <c r="E74" s="1">
        <v>44000</v>
      </c>
      <c r="F74">
        <v>49</v>
      </c>
      <c r="G74" t="str" cm="1">
        <f t="array" ref="G74">_xlfn.IFS(Table2[[#This Row],[Spending Score (1-100)]]&lt;=25,"Low",Table2[[#This Row],[Spending Score (1-100)]]&lt;=50,"Medium",Table2[[#This Row],[Spending Score (1-100)]]&lt;=75,"High",Table2[[#This Row],[Spending Score (1-100)]]&lt;=100,"Very High")</f>
        <v>Medium</v>
      </c>
      <c r="H74" t="s">
        <v>14</v>
      </c>
      <c r="I74">
        <v>0</v>
      </c>
      <c r="J74" t="str">
        <f>CONCATENATE(Table2[[#This Row],[Work Experience]],"years")</f>
        <v>0years</v>
      </c>
      <c r="K74" t="str">
        <f>CONCATENATE(Table2[[#This Row],[Family Size2]],"members")</f>
        <v>5members</v>
      </c>
      <c r="L74" t="str">
        <f>CONCATENATE(Table2[[#This Row],[Family Size2]],"members")</f>
        <v>5members</v>
      </c>
      <c r="M74">
        <v>5</v>
      </c>
    </row>
    <row r="75" spans="1:13">
      <c r="A75">
        <v>74</v>
      </c>
      <c r="B75" t="s">
        <v>11</v>
      </c>
      <c r="C75">
        <v>60</v>
      </c>
      <c r="D75" t="str" cm="1">
        <f t="array" ref="D75">_xlfn.IFS(Table2[[#This Row],[Age]]&lt;=11,"Gen A",Table2[[#This Row],[Age]]&lt;=27,"Gen Z",Table2[[#This Row],[Age]]&lt;=43,"Millenials",Table2[[#This Row],[Age]]&lt;=59,"Gen X",Table2[[#This Row],[Age]]&lt;=78,"Baby Boomers",Table2[[#This Row],[Age]]&lt;=96,"Silent",Table2[[#This Row],[Age]]&gt;=97,"Greatest")</f>
        <v>Baby Boomers</v>
      </c>
      <c r="E75" s="1">
        <v>10000</v>
      </c>
      <c r="F75">
        <v>56</v>
      </c>
      <c r="G75" t="str" cm="1">
        <f t="array" ref="G75">_xlfn.IFS(Table2[[#This Row],[Spending Score (1-100)]]&lt;=25,"Low",Table2[[#This Row],[Spending Score (1-100)]]&lt;=50,"Medium",Table2[[#This Row],[Spending Score (1-100)]]&lt;=75,"High",Table2[[#This Row],[Spending Score (1-100)]]&lt;=100,"Very High")</f>
        <v>High</v>
      </c>
      <c r="H75" t="s">
        <v>9</v>
      </c>
      <c r="I75">
        <v>8</v>
      </c>
      <c r="J75" t="str">
        <f>CONCATENATE(Table2[[#This Row],[Work Experience]],"years")</f>
        <v>8years</v>
      </c>
      <c r="K75" t="str">
        <f>CONCATENATE(Table2[[#This Row],[Family Size2]],"members")</f>
        <v>4members</v>
      </c>
      <c r="L75" t="str">
        <f>CONCATENATE(Table2[[#This Row],[Family Size2]],"members")</f>
        <v>4members</v>
      </c>
      <c r="M75">
        <v>4</v>
      </c>
    </row>
    <row r="76" spans="1:13">
      <c r="A76">
        <v>75</v>
      </c>
      <c r="B76" t="s">
        <v>8</v>
      </c>
      <c r="C76">
        <v>59</v>
      </c>
      <c r="D76" t="str" cm="1">
        <f t="array" ref="D76">_xlfn.IFS(Table2[[#This Row],[Age]]&lt;=11,"Gen A",Table2[[#This Row],[Age]]&lt;=27,"Gen Z",Table2[[#This Row],[Age]]&lt;=43,"Millenials",Table2[[#This Row],[Age]]&lt;=59,"Gen X",Table2[[#This Row],[Age]]&lt;=78,"Baby Boomers",Table2[[#This Row],[Age]]&lt;=96,"Silent",Table2[[#This Row],[Age]]&gt;=97,"Greatest")</f>
        <v>Gen X</v>
      </c>
      <c r="E76" s="1">
        <v>89000</v>
      </c>
      <c r="F76">
        <v>47</v>
      </c>
      <c r="G76" t="str" cm="1">
        <f t="array" ref="G76">_xlfn.IFS(Table2[[#This Row],[Spending Score (1-100)]]&lt;=25,"Low",Table2[[#This Row],[Spending Score (1-100)]]&lt;=50,"Medium",Table2[[#This Row],[Spending Score (1-100)]]&lt;=75,"High",Table2[[#This Row],[Spending Score (1-100)]]&lt;=100,"Very High")</f>
        <v>Medium</v>
      </c>
      <c r="H76" t="s">
        <v>14</v>
      </c>
      <c r="I76">
        <v>0</v>
      </c>
      <c r="J76" t="str">
        <f>CONCATENATE(Table2[[#This Row],[Work Experience]],"years")</f>
        <v>0years</v>
      </c>
      <c r="K76" t="str">
        <f>CONCATENATE(Table2[[#This Row],[Family Size2]],"members")</f>
        <v>4members</v>
      </c>
      <c r="L76" t="str">
        <f>CONCATENATE(Table2[[#This Row],[Family Size2]],"members")</f>
        <v>4members</v>
      </c>
      <c r="M76">
        <v>4</v>
      </c>
    </row>
    <row r="77" spans="1:13">
      <c r="A77">
        <v>76</v>
      </c>
      <c r="B77" t="s">
        <v>8</v>
      </c>
      <c r="C77">
        <v>26</v>
      </c>
      <c r="D77" t="str" cm="1">
        <f t="array" ref="D77">_xlfn.IFS(Table2[[#This Row],[Age]]&lt;=11,"Gen A",Table2[[#This Row],[Age]]&lt;=27,"Gen Z",Table2[[#This Row],[Age]]&lt;=43,"Millenials",Table2[[#This Row],[Age]]&lt;=59,"Gen X",Table2[[#This Row],[Age]]&lt;=78,"Baby Boomers",Table2[[#This Row],[Age]]&lt;=96,"Silent",Table2[[#This Row],[Age]]&gt;=97,"Greatest")</f>
        <v>Gen Z</v>
      </c>
      <c r="E77" s="1">
        <v>49000</v>
      </c>
      <c r="F77">
        <v>54</v>
      </c>
      <c r="G77" t="str" cm="1">
        <f t="array" ref="G77">_xlfn.IFS(Table2[[#This Row],[Spending Score (1-100)]]&lt;=25,"Low",Table2[[#This Row],[Spending Score (1-100)]]&lt;=50,"Medium",Table2[[#This Row],[Spending Score (1-100)]]&lt;=75,"High",Table2[[#This Row],[Spending Score (1-100)]]&lt;=100,"Very High")</f>
        <v>High</v>
      </c>
      <c r="H77" t="s">
        <v>17</v>
      </c>
      <c r="I77">
        <v>0</v>
      </c>
      <c r="J77" t="str">
        <f>CONCATENATE(Table2[[#This Row],[Work Experience]],"years")</f>
        <v>0years</v>
      </c>
      <c r="K77" t="str">
        <f>CONCATENATE(Table2[[#This Row],[Family Size2]],"members")</f>
        <v>3members</v>
      </c>
      <c r="L77" t="str">
        <f>CONCATENATE(Table2[[#This Row],[Family Size2]],"members")</f>
        <v>3members</v>
      </c>
      <c r="M77">
        <v>3</v>
      </c>
    </row>
    <row r="78" spans="1:13">
      <c r="A78">
        <v>77</v>
      </c>
      <c r="B78" t="s">
        <v>11</v>
      </c>
      <c r="C78">
        <v>45</v>
      </c>
      <c r="D78" t="str" cm="1">
        <f t="array" ref="D78">_xlfn.IFS(Table2[[#This Row],[Age]]&lt;=11,"Gen A",Table2[[#This Row],[Age]]&lt;=27,"Gen Z",Table2[[#This Row],[Age]]&lt;=43,"Millenials",Table2[[#This Row],[Age]]&lt;=59,"Gen X",Table2[[#This Row],[Age]]&lt;=78,"Baby Boomers",Table2[[#This Row],[Age]]&lt;=96,"Silent",Table2[[#This Row],[Age]]&gt;=97,"Greatest")</f>
        <v>Gen X</v>
      </c>
      <c r="E78" s="1">
        <v>67000</v>
      </c>
      <c r="F78">
        <v>53</v>
      </c>
      <c r="G78" t="str" cm="1">
        <f t="array" ref="G78">_xlfn.IFS(Table2[[#This Row],[Spending Score (1-100)]]&lt;=25,"Low",Table2[[#This Row],[Spending Score (1-100)]]&lt;=50,"Medium",Table2[[#This Row],[Spending Score (1-100)]]&lt;=75,"High",Table2[[#This Row],[Spending Score (1-100)]]&lt;=100,"Very High")</f>
        <v>High</v>
      </c>
      <c r="H78" t="s">
        <v>16</v>
      </c>
      <c r="I78">
        <v>0</v>
      </c>
      <c r="J78" t="str">
        <f>CONCATENATE(Table2[[#This Row],[Work Experience]],"years")</f>
        <v>0years</v>
      </c>
      <c r="K78" t="str">
        <f>CONCATENATE(Table2[[#This Row],[Family Size2]],"members")</f>
        <v>2members</v>
      </c>
      <c r="L78" t="str">
        <f>CONCATENATE(Table2[[#This Row],[Family Size2]],"members")</f>
        <v>2members</v>
      </c>
      <c r="M78">
        <v>2</v>
      </c>
    </row>
    <row r="79" spans="1:13">
      <c r="A79">
        <v>78</v>
      </c>
      <c r="B79" t="s">
        <v>8</v>
      </c>
      <c r="C79">
        <v>40</v>
      </c>
      <c r="D79" t="str" cm="1">
        <f t="array" ref="D79">_xlfn.IFS(Table2[[#This Row],[Age]]&lt;=11,"Gen A",Table2[[#This Row],[Age]]&lt;=27,"Gen Z",Table2[[#This Row],[Age]]&lt;=43,"Millenials",Table2[[#This Row],[Age]]&lt;=59,"Gen X",Table2[[#This Row],[Age]]&lt;=78,"Baby Boomers",Table2[[#This Row],[Age]]&lt;=96,"Silent",Table2[[#This Row],[Age]]&gt;=97,"Greatest")</f>
        <v>Millenials</v>
      </c>
      <c r="E79" s="1">
        <v>99000</v>
      </c>
      <c r="F79">
        <v>48</v>
      </c>
      <c r="G79" t="str" cm="1">
        <f t="array" ref="G79">_xlfn.IFS(Table2[[#This Row],[Spending Score (1-100)]]&lt;=25,"Low",Table2[[#This Row],[Spending Score (1-100)]]&lt;=50,"Medium",Table2[[#This Row],[Spending Score (1-100)]]&lt;=75,"High",Table2[[#This Row],[Spending Score (1-100)]]&lt;=100,"Very High")</f>
        <v>Medium</v>
      </c>
      <c r="H79" t="s">
        <v>14</v>
      </c>
      <c r="I79">
        <v>4</v>
      </c>
      <c r="J79" t="str">
        <f>CONCATENATE(Table2[[#This Row],[Work Experience]],"years")</f>
        <v>4years</v>
      </c>
      <c r="K79" t="str">
        <f>CONCATENATE(Table2[[#This Row],[Family Size2]],"members")</f>
        <v>3members</v>
      </c>
      <c r="L79" t="str">
        <f>CONCATENATE(Table2[[#This Row],[Family Size2]],"members")</f>
        <v>3members</v>
      </c>
      <c r="M79">
        <v>3</v>
      </c>
    </row>
    <row r="80" spans="1:13">
      <c r="A80">
        <v>79</v>
      </c>
      <c r="B80" t="s">
        <v>11</v>
      </c>
      <c r="C80">
        <v>23</v>
      </c>
      <c r="D80" t="str" cm="1">
        <f t="array" ref="D80">_xlfn.IFS(Table2[[#This Row],[Age]]&lt;=11,"Gen A",Table2[[#This Row],[Age]]&lt;=27,"Gen Z",Table2[[#This Row],[Age]]&lt;=43,"Millenials",Table2[[#This Row],[Age]]&lt;=59,"Gen X",Table2[[#This Row],[Age]]&lt;=78,"Baby Boomers",Table2[[#This Row],[Age]]&lt;=96,"Silent",Table2[[#This Row],[Age]]&gt;=97,"Greatest")</f>
        <v>Gen Z</v>
      </c>
      <c r="E80" s="1">
        <v>97000</v>
      </c>
      <c r="F80">
        <v>52</v>
      </c>
      <c r="G80" t="str" cm="1">
        <f t="array" ref="G80">_xlfn.IFS(Table2[[#This Row],[Spending Score (1-100)]]&lt;=25,"Low",Table2[[#This Row],[Spending Score (1-100)]]&lt;=50,"Medium",Table2[[#This Row],[Spending Score (1-100)]]&lt;=75,"High",Table2[[#This Row],[Spending Score (1-100)]]&lt;=100,"Very High")</f>
        <v>High</v>
      </c>
      <c r="H80" t="s">
        <v>10</v>
      </c>
      <c r="I80">
        <v>2</v>
      </c>
      <c r="J80" t="str">
        <f>CONCATENATE(Table2[[#This Row],[Work Experience]],"years")</f>
        <v>2years</v>
      </c>
      <c r="K80" t="str">
        <f>CONCATENATE(Table2[[#This Row],[Family Size2]],"members")</f>
        <v>2members</v>
      </c>
      <c r="L80" t="str">
        <f>CONCATENATE(Table2[[#This Row],[Family Size2]],"members")</f>
        <v>2members</v>
      </c>
      <c r="M80">
        <v>2</v>
      </c>
    </row>
    <row r="81" spans="1:13">
      <c r="A81">
        <v>80</v>
      </c>
      <c r="B81" t="s">
        <v>11</v>
      </c>
      <c r="C81">
        <v>49</v>
      </c>
      <c r="D81" t="str" cm="1">
        <f t="array" ref="D81">_xlfn.IFS(Table2[[#This Row],[Age]]&lt;=11,"Gen A",Table2[[#This Row],[Age]]&lt;=27,"Gen Z",Table2[[#This Row],[Age]]&lt;=43,"Millenials",Table2[[#This Row],[Age]]&lt;=59,"Gen X",Table2[[#This Row],[Age]]&lt;=78,"Baby Boomers",Table2[[#This Row],[Age]]&lt;=96,"Silent",Table2[[#This Row],[Age]]&gt;=97,"Greatest")</f>
        <v>Gen X</v>
      </c>
      <c r="E81" s="1">
        <v>98000</v>
      </c>
      <c r="F81">
        <v>42</v>
      </c>
      <c r="G81" t="str" cm="1">
        <f t="array" ref="G81">_xlfn.IFS(Table2[[#This Row],[Spending Score (1-100)]]&lt;=25,"Low",Table2[[#This Row],[Spending Score (1-100)]]&lt;=50,"Medium",Table2[[#This Row],[Spending Score (1-100)]]&lt;=75,"High",Table2[[#This Row],[Spending Score (1-100)]]&lt;=100,"Very High")</f>
        <v>Medium</v>
      </c>
      <c r="H81" t="s">
        <v>19</v>
      </c>
      <c r="I81">
        <v>1</v>
      </c>
      <c r="J81" t="str">
        <f>CONCATENATE(Table2[[#This Row],[Work Experience]],"years")</f>
        <v>1years</v>
      </c>
      <c r="K81" t="str">
        <f>CONCATENATE(Table2[[#This Row],[Family Size2]],"members")</f>
        <v>1members</v>
      </c>
      <c r="L81" t="str">
        <f>CONCATENATE(Table2[[#This Row],[Family Size2]],"members")</f>
        <v>1members</v>
      </c>
      <c r="M81">
        <v>1</v>
      </c>
    </row>
    <row r="82" spans="1:13">
      <c r="A82">
        <v>81</v>
      </c>
      <c r="B82" t="s">
        <v>8</v>
      </c>
      <c r="C82">
        <v>57</v>
      </c>
      <c r="D82" t="str" cm="1">
        <f t="array" ref="D82">_xlfn.IFS(Table2[[#This Row],[Age]]&lt;=11,"Gen A",Table2[[#This Row],[Age]]&lt;=27,"Gen Z",Table2[[#This Row],[Age]]&lt;=43,"Millenials",Table2[[#This Row],[Age]]&lt;=59,"Gen X",Table2[[#This Row],[Age]]&lt;=78,"Baby Boomers",Table2[[#This Row],[Age]]&lt;=96,"Silent",Table2[[#This Row],[Age]]&gt;=97,"Greatest")</f>
        <v>Gen X</v>
      </c>
      <c r="E82" s="1">
        <v>52000</v>
      </c>
      <c r="F82">
        <v>51</v>
      </c>
      <c r="G82" t="str" cm="1">
        <f t="array" ref="G82">_xlfn.IFS(Table2[[#This Row],[Spending Score (1-100)]]&lt;=25,"Low",Table2[[#This Row],[Spending Score (1-100)]]&lt;=50,"Medium",Table2[[#This Row],[Spending Score (1-100)]]&lt;=75,"High",Table2[[#This Row],[Spending Score (1-100)]]&lt;=100,"Very High")</f>
        <v>High</v>
      </c>
      <c r="H82" t="s">
        <v>9</v>
      </c>
      <c r="I82">
        <v>0</v>
      </c>
      <c r="J82" t="str">
        <f>CONCATENATE(Table2[[#This Row],[Work Experience]],"years")</f>
        <v>0years</v>
      </c>
      <c r="K82" t="str">
        <f>CONCATENATE(Table2[[#This Row],[Family Size2]],"members")</f>
        <v>4members</v>
      </c>
      <c r="L82" t="str">
        <f>CONCATENATE(Table2[[#This Row],[Family Size2]],"members")</f>
        <v>4members</v>
      </c>
      <c r="M82">
        <v>4</v>
      </c>
    </row>
    <row r="83" spans="1:13">
      <c r="A83">
        <v>82</v>
      </c>
      <c r="B83" t="s">
        <v>8</v>
      </c>
      <c r="C83">
        <v>38</v>
      </c>
      <c r="D83" t="str" cm="1">
        <f t="array" ref="D83">_xlfn.IFS(Table2[[#This Row],[Age]]&lt;=11,"Gen A",Table2[[#This Row],[Age]]&lt;=27,"Gen Z",Table2[[#This Row],[Age]]&lt;=43,"Millenials",Table2[[#This Row],[Age]]&lt;=59,"Gen X",Table2[[#This Row],[Age]]&lt;=78,"Baby Boomers",Table2[[#This Row],[Age]]&lt;=96,"Silent",Table2[[#This Row],[Age]]&gt;=97,"Greatest")</f>
        <v>Millenials</v>
      </c>
      <c r="E83" s="1">
        <v>61000</v>
      </c>
      <c r="F83">
        <v>55</v>
      </c>
      <c r="G83" t="str" cm="1">
        <f t="array" ref="G83">_xlfn.IFS(Table2[[#This Row],[Spending Score (1-100)]]&lt;=25,"Low",Table2[[#This Row],[Spending Score (1-100)]]&lt;=50,"Medium",Table2[[#This Row],[Spending Score (1-100)]]&lt;=75,"High",Table2[[#This Row],[Spending Score (1-100)]]&lt;=100,"Very High")</f>
        <v>High</v>
      </c>
      <c r="H83" t="s">
        <v>9</v>
      </c>
      <c r="I83">
        <v>6</v>
      </c>
      <c r="J83" t="str">
        <f>CONCATENATE(Table2[[#This Row],[Work Experience]],"years")</f>
        <v>6years</v>
      </c>
      <c r="K83" t="str">
        <f>CONCATENATE(Table2[[#This Row],[Family Size2]],"members")</f>
        <v>3members</v>
      </c>
      <c r="L83" t="str">
        <f>CONCATENATE(Table2[[#This Row],[Family Size2]],"members")</f>
        <v>3members</v>
      </c>
      <c r="M83">
        <v>3</v>
      </c>
    </row>
    <row r="84" spans="1:13">
      <c r="A84">
        <v>83</v>
      </c>
      <c r="B84" t="s">
        <v>8</v>
      </c>
      <c r="C84">
        <v>67</v>
      </c>
      <c r="D84" t="str" cm="1">
        <f t="array" ref="D84">_xlfn.IFS(Table2[[#This Row],[Age]]&lt;=11,"Gen A",Table2[[#This Row],[Age]]&lt;=27,"Gen Z",Table2[[#This Row],[Age]]&lt;=43,"Millenials",Table2[[#This Row],[Age]]&lt;=59,"Gen X",Table2[[#This Row],[Age]]&lt;=78,"Baby Boomers",Table2[[#This Row],[Age]]&lt;=96,"Silent",Table2[[#This Row],[Age]]&gt;=97,"Greatest")</f>
        <v>Baby Boomers</v>
      </c>
      <c r="E84" s="1">
        <v>120000</v>
      </c>
      <c r="F84">
        <v>41</v>
      </c>
      <c r="G84" t="str" cm="1">
        <f t="array" ref="G84">_xlfn.IFS(Table2[[#This Row],[Spending Score (1-100)]]&lt;=25,"Low",Table2[[#This Row],[Spending Score (1-100)]]&lt;=50,"Medium",Table2[[#This Row],[Spending Score (1-100)]]&lt;=75,"High",Table2[[#This Row],[Spending Score (1-100)]]&lt;=100,"Very High")</f>
        <v>Medium</v>
      </c>
      <c r="H84" t="s">
        <v>14</v>
      </c>
      <c r="I84">
        <v>8</v>
      </c>
      <c r="J84" t="str">
        <f>CONCATENATE(Table2[[#This Row],[Work Experience]],"years")</f>
        <v>8years</v>
      </c>
      <c r="K84" t="str">
        <f>CONCATENATE(Table2[[#This Row],[Family Size2]],"members")</f>
        <v>1members</v>
      </c>
      <c r="L84" t="str">
        <f>CONCATENATE(Table2[[#This Row],[Family Size2]],"members")</f>
        <v>1members</v>
      </c>
      <c r="M84">
        <v>1</v>
      </c>
    </row>
    <row r="85" spans="1:13">
      <c r="A85">
        <v>84</v>
      </c>
      <c r="B85" t="s">
        <v>11</v>
      </c>
      <c r="C85">
        <v>46</v>
      </c>
      <c r="D85" t="str" cm="1">
        <f t="array" ref="D85">_xlfn.IFS(Table2[[#This Row],[Age]]&lt;=11,"Gen A",Table2[[#This Row],[Age]]&lt;=27,"Gen Z",Table2[[#This Row],[Age]]&lt;=43,"Millenials",Table2[[#This Row],[Age]]&lt;=59,"Gen X",Table2[[#This Row],[Age]]&lt;=78,"Baby Boomers",Table2[[#This Row],[Age]]&lt;=96,"Silent",Table2[[#This Row],[Age]]&gt;=97,"Greatest")</f>
        <v>Gen X</v>
      </c>
      <c r="E85" s="1">
        <v>34000</v>
      </c>
      <c r="F85">
        <v>44</v>
      </c>
      <c r="G85" t="str" cm="1">
        <f t="array" ref="G85">_xlfn.IFS(Table2[[#This Row],[Spending Score (1-100)]]&lt;=25,"Low",Table2[[#This Row],[Spending Score (1-100)]]&lt;=50,"Medium",Table2[[#This Row],[Spending Score (1-100)]]&lt;=75,"High",Table2[[#This Row],[Spending Score (1-100)]]&lt;=100,"Very High")</f>
        <v>Medium</v>
      </c>
      <c r="H85" t="s">
        <v>13</v>
      </c>
      <c r="I85">
        <v>8</v>
      </c>
      <c r="J85" t="str">
        <f>CONCATENATE(Table2[[#This Row],[Work Experience]],"years")</f>
        <v>8years</v>
      </c>
      <c r="K85" t="str">
        <f>CONCATENATE(Table2[[#This Row],[Family Size2]],"members")</f>
        <v>4members</v>
      </c>
      <c r="L85" t="str">
        <f>CONCATENATE(Table2[[#This Row],[Family Size2]],"members")</f>
        <v>4members</v>
      </c>
      <c r="M85">
        <v>4</v>
      </c>
    </row>
    <row r="86" spans="1:13">
      <c r="A86">
        <v>85</v>
      </c>
      <c r="B86" t="s">
        <v>11</v>
      </c>
      <c r="C86">
        <v>21</v>
      </c>
      <c r="D86" t="str" cm="1">
        <f t="array" ref="D86">_xlfn.IFS(Table2[[#This Row],[Age]]&lt;=11,"Gen A",Table2[[#This Row],[Age]]&lt;=27,"Gen Z",Table2[[#This Row],[Age]]&lt;=43,"Millenials",Table2[[#This Row],[Age]]&lt;=59,"Gen X",Table2[[#This Row],[Age]]&lt;=78,"Baby Boomers",Table2[[#This Row],[Age]]&lt;=96,"Silent",Table2[[#This Row],[Age]]&gt;=97,"Greatest")</f>
        <v>Gen Z</v>
      </c>
      <c r="E86" s="1">
        <v>24000</v>
      </c>
      <c r="F86">
        <v>57</v>
      </c>
      <c r="G86" t="str" cm="1">
        <f t="array" ref="G86">_xlfn.IFS(Table2[[#This Row],[Spending Score (1-100)]]&lt;=25,"Low",Table2[[#This Row],[Spending Score (1-100)]]&lt;=50,"Medium",Table2[[#This Row],[Spending Score (1-100)]]&lt;=75,"High",Table2[[#This Row],[Spending Score (1-100)]]&lt;=100,"Very High")</f>
        <v>High</v>
      </c>
      <c r="H86" t="s">
        <v>18</v>
      </c>
      <c r="I86">
        <v>1</v>
      </c>
      <c r="J86" t="str">
        <f>CONCATENATE(Table2[[#This Row],[Work Experience]],"years")</f>
        <v>1years</v>
      </c>
      <c r="K86" t="str">
        <f>CONCATENATE(Table2[[#This Row],[Family Size2]],"members")</f>
        <v>3members</v>
      </c>
      <c r="L86" t="str">
        <f>CONCATENATE(Table2[[#This Row],[Family Size2]],"members")</f>
        <v>3members</v>
      </c>
      <c r="M86">
        <v>3</v>
      </c>
    </row>
    <row r="87" spans="1:13">
      <c r="A87">
        <v>86</v>
      </c>
      <c r="B87" t="s">
        <v>8</v>
      </c>
      <c r="C87">
        <v>48</v>
      </c>
      <c r="D87" t="str" cm="1">
        <f t="array" ref="D87">_xlfn.IFS(Table2[[#This Row],[Age]]&lt;=11,"Gen A",Table2[[#This Row],[Age]]&lt;=27,"Gen Z",Table2[[#This Row],[Age]]&lt;=43,"Millenials",Table2[[#This Row],[Age]]&lt;=59,"Gen X",Table2[[#This Row],[Age]]&lt;=78,"Baby Boomers",Table2[[#This Row],[Age]]&lt;=96,"Silent",Table2[[#This Row],[Age]]&gt;=97,"Greatest")</f>
        <v>Gen X</v>
      </c>
      <c r="E87" s="1">
        <v>31000</v>
      </c>
      <c r="F87">
        <v>46</v>
      </c>
      <c r="G87" t="str" cm="1">
        <f t="array" ref="G87">_xlfn.IFS(Table2[[#This Row],[Spending Score (1-100)]]&lt;=25,"Low",Table2[[#This Row],[Spending Score (1-100)]]&lt;=50,"Medium",Table2[[#This Row],[Spending Score (1-100)]]&lt;=75,"High",Table2[[#This Row],[Spending Score (1-100)]]&lt;=100,"Very High")</f>
        <v>Medium</v>
      </c>
      <c r="H87" t="s">
        <v>9</v>
      </c>
      <c r="I87">
        <v>7</v>
      </c>
      <c r="J87" t="str">
        <f>CONCATENATE(Table2[[#This Row],[Work Experience]],"years")</f>
        <v>7years</v>
      </c>
      <c r="K87" t="str">
        <f>CONCATENATE(Table2[[#This Row],[Family Size2]],"members")</f>
        <v>5members</v>
      </c>
      <c r="L87" t="str">
        <f>CONCATENATE(Table2[[#This Row],[Family Size2]],"members")</f>
        <v>5members</v>
      </c>
      <c r="M87">
        <v>5</v>
      </c>
    </row>
    <row r="88" spans="1:13">
      <c r="A88">
        <v>87</v>
      </c>
      <c r="B88" t="s">
        <v>11</v>
      </c>
      <c r="C88">
        <v>55</v>
      </c>
      <c r="D88" t="str" cm="1">
        <f t="array" ref="D88">_xlfn.IFS(Table2[[#This Row],[Age]]&lt;=11,"Gen A",Table2[[#This Row],[Age]]&lt;=27,"Gen Z",Table2[[#This Row],[Age]]&lt;=43,"Millenials",Table2[[#This Row],[Age]]&lt;=59,"Gen X",Table2[[#This Row],[Age]]&lt;=78,"Baby Boomers",Table2[[#This Row],[Age]]&lt;=96,"Silent",Table2[[#This Row],[Age]]&gt;=97,"Greatest")</f>
        <v>Gen X</v>
      </c>
      <c r="E88" s="1">
        <v>11000</v>
      </c>
      <c r="F88">
        <v>58</v>
      </c>
      <c r="G88" t="str" cm="1">
        <f t="array" ref="G88">_xlfn.IFS(Table2[[#This Row],[Spending Score (1-100)]]&lt;=25,"Low",Table2[[#This Row],[Spending Score (1-100)]]&lt;=50,"Medium",Table2[[#This Row],[Spending Score (1-100)]]&lt;=75,"High",Table2[[#This Row],[Spending Score (1-100)]]&lt;=100,"Very High")</f>
        <v>High</v>
      </c>
      <c r="H88" t="s">
        <v>14</v>
      </c>
      <c r="I88">
        <v>0</v>
      </c>
      <c r="J88" t="str">
        <f>CONCATENATE(Table2[[#This Row],[Work Experience]],"years")</f>
        <v>0years</v>
      </c>
      <c r="K88" t="str">
        <f>CONCATENATE(Table2[[#This Row],[Family Size2]],"members")</f>
        <v>3members</v>
      </c>
      <c r="L88" t="str">
        <f>CONCATENATE(Table2[[#This Row],[Family Size2]],"members")</f>
        <v>3members</v>
      </c>
      <c r="M88">
        <v>3</v>
      </c>
    </row>
    <row r="89" spans="1:13">
      <c r="A89">
        <v>88</v>
      </c>
      <c r="B89" t="s">
        <v>11</v>
      </c>
      <c r="C89">
        <v>22</v>
      </c>
      <c r="D89" t="str" cm="1">
        <f t="array" ref="D89">_xlfn.IFS(Table2[[#This Row],[Age]]&lt;=11,"Gen A",Table2[[#This Row],[Age]]&lt;=27,"Gen Z",Table2[[#This Row],[Age]]&lt;=43,"Millenials",Table2[[#This Row],[Age]]&lt;=59,"Gen X",Table2[[#This Row],[Age]]&lt;=78,"Baby Boomers",Table2[[#This Row],[Age]]&lt;=96,"Silent",Table2[[#This Row],[Age]]&gt;=97,"Greatest")</f>
        <v>Gen Z</v>
      </c>
      <c r="E89" s="1">
        <v>55000</v>
      </c>
      <c r="F89">
        <v>55</v>
      </c>
      <c r="G89" t="str" cm="1">
        <f t="array" ref="G89">_xlfn.IFS(Table2[[#This Row],[Spending Score (1-100)]]&lt;=25,"Low",Table2[[#This Row],[Spending Score (1-100)]]&lt;=50,"Medium",Table2[[#This Row],[Spending Score (1-100)]]&lt;=75,"High",Table2[[#This Row],[Spending Score (1-100)]]&lt;=100,"Very High")</f>
        <v>High</v>
      </c>
      <c r="H89" t="s">
        <v>14</v>
      </c>
      <c r="I89">
        <v>5</v>
      </c>
      <c r="J89" t="str">
        <f>CONCATENATE(Table2[[#This Row],[Work Experience]],"years")</f>
        <v>5years</v>
      </c>
      <c r="K89" t="str">
        <f>CONCATENATE(Table2[[#This Row],[Family Size2]],"members")</f>
        <v>2members</v>
      </c>
      <c r="L89" t="str">
        <f>CONCATENATE(Table2[[#This Row],[Family Size2]],"members")</f>
        <v>2members</v>
      </c>
      <c r="M89">
        <v>2</v>
      </c>
    </row>
    <row r="90" spans="1:13">
      <c r="A90">
        <v>89</v>
      </c>
      <c r="B90" t="s">
        <v>11</v>
      </c>
      <c r="C90">
        <v>34</v>
      </c>
      <c r="D90" t="str" cm="1">
        <f t="array" ref="D90">_xlfn.IFS(Table2[[#This Row],[Age]]&lt;=11,"Gen A",Table2[[#This Row],[Age]]&lt;=27,"Gen Z",Table2[[#This Row],[Age]]&lt;=43,"Millenials",Table2[[#This Row],[Age]]&lt;=59,"Gen X",Table2[[#This Row],[Age]]&lt;=78,"Baby Boomers",Table2[[#This Row],[Age]]&lt;=96,"Silent",Table2[[#This Row],[Age]]&gt;=97,"Greatest")</f>
        <v>Millenials</v>
      </c>
      <c r="E90" s="1">
        <v>76000</v>
      </c>
      <c r="F90">
        <v>60</v>
      </c>
      <c r="G90" t="str" cm="1">
        <f t="array" ref="G90">_xlfn.IFS(Table2[[#This Row],[Spending Score (1-100)]]&lt;=25,"Low",Table2[[#This Row],[Spending Score (1-100)]]&lt;=50,"Medium",Table2[[#This Row],[Spending Score (1-100)]]&lt;=75,"High",Table2[[#This Row],[Spending Score (1-100)]]&lt;=100,"Very High")</f>
        <v>High</v>
      </c>
      <c r="H90" t="s">
        <v>13</v>
      </c>
      <c r="I90">
        <v>7</v>
      </c>
      <c r="J90" t="str">
        <f>CONCATENATE(Table2[[#This Row],[Work Experience]],"years")</f>
        <v>7years</v>
      </c>
      <c r="K90" t="str">
        <f>CONCATENATE(Table2[[#This Row],[Family Size2]],"members")</f>
        <v>3members</v>
      </c>
      <c r="L90" t="str">
        <f>CONCATENATE(Table2[[#This Row],[Family Size2]],"members")</f>
        <v>3members</v>
      </c>
      <c r="M90">
        <v>3</v>
      </c>
    </row>
    <row r="91" spans="1:13">
      <c r="A91">
        <v>90</v>
      </c>
      <c r="B91" t="s">
        <v>11</v>
      </c>
      <c r="C91">
        <v>50</v>
      </c>
      <c r="D91" t="str" cm="1">
        <f t="array" ref="D91">_xlfn.IFS(Table2[[#This Row],[Age]]&lt;=11,"Gen A",Table2[[#This Row],[Age]]&lt;=27,"Gen Z",Table2[[#This Row],[Age]]&lt;=43,"Millenials",Table2[[#This Row],[Age]]&lt;=59,"Gen X",Table2[[#This Row],[Age]]&lt;=78,"Baby Boomers",Table2[[#This Row],[Age]]&lt;=96,"Silent",Table2[[#This Row],[Age]]&gt;=97,"Greatest")</f>
        <v>Gen X</v>
      </c>
      <c r="E91" s="1">
        <v>56000</v>
      </c>
      <c r="F91">
        <v>46</v>
      </c>
      <c r="G91" t="str" cm="1">
        <f t="array" ref="G91">_xlfn.IFS(Table2[[#This Row],[Spending Score (1-100)]]&lt;=25,"Low",Table2[[#This Row],[Spending Score (1-100)]]&lt;=50,"Medium",Table2[[#This Row],[Spending Score (1-100)]]&lt;=75,"High",Table2[[#This Row],[Spending Score (1-100)]]&lt;=100,"Very High")</f>
        <v>Medium</v>
      </c>
      <c r="H91" t="s">
        <v>16</v>
      </c>
      <c r="I91">
        <v>0</v>
      </c>
      <c r="J91" t="str">
        <f>CONCATENATE(Table2[[#This Row],[Work Experience]],"years")</f>
        <v>0years</v>
      </c>
      <c r="K91" t="str">
        <f>CONCATENATE(Table2[[#This Row],[Family Size2]],"members")</f>
        <v>2members</v>
      </c>
      <c r="L91" t="str">
        <f>CONCATENATE(Table2[[#This Row],[Family Size2]],"members")</f>
        <v>2members</v>
      </c>
      <c r="M91">
        <v>2</v>
      </c>
    </row>
    <row r="92" spans="1:13">
      <c r="A92">
        <v>91</v>
      </c>
      <c r="B92" t="s">
        <v>11</v>
      </c>
      <c r="C92">
        <v>68</v>
      </c>
      <c r="D92" t="str" cm="1">
        <f t="array" ref="D92">_xlfn.IFS(Table2[[#This Row],[Age]]&lt;=11,"Gen A",Table2[[#This Row],[Age]]&lt;=27,"Gen Z",Table2[[#This Row],[Age]]&lt;=43,"Millenials",Table2[[#This Row],[Age]]&lt;=59,"Gen X",Table2[[#This Row],[Age]]&lt;=78,"Baby Boomers",Table2[[#This Row],[Age]]&lt;=96,"Silent",Table2[[#This Row],[Age]]&gt;=97,"Greatest")</f>
        <v>Baby Boomers</v>
      </c>
      <c r="E92" s="1">
        <v>46000</v>
      </c>
      <c r="F92">
        <v>55</v>
      </c>
      <c r="G92" t="str" cm="1">
        <f t="array" ref="G92">_xlfn.IFS(Table2[[#This Row],[Spending Score (1-100)]]&lt;=25,"Low",Table2[[#This Row],[Spending Score (1-100)]]&lt;=50,"Medium",Table2[[#This Row],[Spending Score (1-100)]]&lt;=75,"High",Table2[[#This Row],[Spending Score (1-100)]]&lt;=100,"Very High")</f>
        <v>High</v>
      </c>
      <c r="H92" t="s">
        <v>13</v>
      </c>
      <c r="I92">
        <v>0</v>
      </c>
      <c r="J92" t="str">
        <f>CONCATENATE(Table2[[#This Row],[Work Experience]],"years")</f>
        <v>0years</v>
      </c>
      <c r="K92" t="str">
        <f>CONCATENATE(Table2[[#This Row],[Family Size2]],"members")</f>
        <v>3members</v>
      </c>
      <c r="L92" t="str">
        <f>CONCATENATE(Table2[[#This Row],[Family Size2]],"members")</f>
        <v>3members</v>
      </c>
      <c r="M92">
        <v>3</v>
      </c>
    </row>
    <row r="93" spans="1:13">
      <c r="A93">
        <v>92</v>
      </c>
      <c r="B93" t="s">
        <v>8</v>
      </c>
      <c r="C93">
        <v>18</v>
      </c>
      <c r="D93" t="str" cm="1">
        <f t="array" ref="D93">_xlfn.IFS(Table2[[#This Row],[Age]]&lt;=11,"Gen A",Table2[[#This Row],[Age]]&lt;=27,"Gen Z",Table2[[#This Row],[Age]]&lt;=43,"Millenials",Table2[[#This Row],[Age]]&lt;=59,"Gen X",Table2[[#This Row],[Age]]&lt;=78,"Baby Boomers",Table2[[#This Row],[Age]]&lt;=96,"Silent",Table2[[#This Row],[Age]]&gt;=97,"Greatest")</f>
        <v>Gen Z</v>
      </c>
      <c r="E93" s="1">
        <v>36000</v>
      </c>
      <c r="F93">
        <v>41</v>
      </c>
      <c r="G93" t="str" cm="1">
        <f t="array" ref="G93">_xlfn.IFS(Table2[[#This Row],[Spending Score (1-100)]]&lt;=25,"Low",Table2[[#This Row],[Spending Score (1-100)]]&lt;=50,"Medium",Table2[[#This Row],[Spending Score (1-100)]]&lt;=75,"High",Table2[[#This Row],[Spending Score (1-100)]]&lt;=100,"Very High")</f>
        <v>Medium</v>
      </c>
      <c r="H93" t="s">
        <v>14</v>
      </c>
      <c r="I93">
        <v>1</v>
      </c>
      <c r="J93" t="str">
        <f>CONCATENATE(Table2[[#This Row],[Work Experience]],"years")</f>
        <v>1years</v>
      </c>
      <c r="K93" t="str">
        <f>CONCATENATE(Table2[[#This Row],[Family Size2]],"members")</f>
        <v>4members</v>
      </c>
      <c r="L93" t="str">
        <f>CONCATENATE(Table2[[#This Row],[Family Size2]],"members")</f>
        <v>4members</v>
      </c>
      <c r="M93">
        <v>4</v>
      </c>
    </row>
    <row r="94" spans="1:13">
      <c r="A94">
        <v>93</v>
      </c>
      <c r="B94" t="s">
        <v>8</v>
      </c>
      <c r="C94">
        <v>48</v>
      </c>
      <c r="D94" t="str" cm="1">
        <f t="array" ref="D94">_xlfn.IFS(Table2[[#This Row],[Age]]&lt;=11,"Gen A",Table2[[#This Row],[Age]]&lt;=27,"Gen Z",Table2[[#This Row],[Age]]&lt;=43,"Millenials",Table2[[#This Row],[Age]]&lt;=59,"Gen X",Table2[[#This Row],[Age]]&lt;=78,"Baby Boomers",Table2[[#This Row],[Age]]&lt;=96,"Silent",Table2[[#This Row],[Age]]&gt;=97,"Greatest")</f>
        <v>Gen X</v>
      </c>
      <c r="E94" s="1">
        <v>88000</v>
      </c>
      <c r="F94">
        <v>49</v>
      </c>
      <c r="G94" t="str" cm="1">
        <f t="array" ref="G94">_xlfn.IFS(Table2[[#This Row],[Spending Score (1-100)]]&lt;=25,"Low",Table2[[#This Row],[Spending Score (1-100)]]&lt;=50,"Medium",Table2[[#This Row],[Spending Score (1-100)]]&lt;=75,"High",Table2[[#This Row],[Spending Score (1-100)]]&lt;=100,"Very High")</f>
        <v>Medium</v>
      </c>
      <c r="H94" t="s">
        <v>14</v>
      </c>
      <c r="I94">
        <v>1</v>
      </c>
      <c r="J94" t="str">
        <f>CONCATENATE(Table2[[#This Row],[Work Experience]],"years")</f>
        <v>1years</v>
      </c>
      <c r="K94" t="str">
        <f>CONCATENATE(Table2[[#This Row],[Family Size2]],"members")</f>
        <v>2members</v>
      </c>
      <c r="L94" t="str">
        <f>CONCATENATE(Table2[[#This Row],[Family Size2]],"members")</f>
        <v>2members</v>
      </c>
      <c r="M94">
        <v>2</v>
      </c>
    </row>
    <row r="95" spans="1:13">
      <c r="A95">
        <v>94</v>
      </c>
      <c r="B95" t="s">
        <v>11</v>
      </c>
      <c r="C95">
        <v>40</v>
      </c>
      <c r="D95" t="str" cm="1">
        <f t="array" ref="D95">_xlfn.IFS(Table2[[#This Row],[Age]]&lt;=11,"Gen A",Table2[[#This Row],[Age]]&lt;=27,"Gen Z",Table2[[#This Row],[Age]]&lt;=43,"Millenials",Table2[[#This Row],[Age]]&lt;=59,"Gen X",Table2[[#This Row],[Age]]&lt;=78,"Baby Boomers",Table2[[#This Row],[Age]]&lt;=96,"Silent",Table2[[#This Row],[Age]]&gt;=97,"Greatest")</f>
        <v>Millenials</v>
      </c>
      <c r="E95" s="1">
        <v>31000</v>
      </c>
      <c r="F95">
        <v>40</v>
      </c>
      <c r="G95" t="str" cm="1">
        <f t="array" ref="G95">_xlfn.IFS(Table2[[#This Row],[Spending Score (1-100)]]&lt;=25,"Low",Table2[[#This Row],[Spending Score (1-100)]]&lt;=50,"Medium",Table2[[#This Row],[Spending Score (1-100)]]&lt;=75,"High",Table2[[#This Row],[Spending Score (1-100)]]&lt;=100,"Very High")</f>
        <v>Medium</v>
      </c>
      <c r="H95" t="s">
        <v>13</v>
      </c>
      <c r="I95">
        <v>1</v>
      </c>
      <c r="J95" t="str">
        <f>CONCATENATE(Table2[[#This Row],[Work Experience]],"years")</f>
        <v>1years</v>
      </c>
      <c r="K95" t="str">
        <f>CONCATENATE(Table2[[#This Row],[Family Size2]],"members")</f>
        <v>2members</v>
      </c>
      <c r="L95" t="str">
        <f>CONCATENATE(Table2[[#This Row],[Family Size2]],"members")</f>
        <v>2members</v>
      </c>
      <c r="M95">
        <v>2</v>
      </c>
    </row>
    <row r="96" spans="1:13">
      <c r="A96">
        <v>95</v>
      </c>
      <c r="B96" t="s">
        <v>11</v>
      </c>
      <c r="C96">
        <v>32</v>
      </c>
      <c r="D96" t="str" cm="1">
        <f t="array" ref="D96">_xlfn.IFS(Table2[[#This Row],[Age]]&lt;=11,"Gen A",Table2[[#This Row],[Age]]&lt;=27,"Gen Z",Table2[[#This Row],[Age]]&lt;=43,"Millenials",Table2[[#This Row],[Age]]&lt;=59,"Gen X",Table2[[#This Row],[Age]]&lt;=78,"Baby Boomers",Table2[[#This Row],[Age]]&lt;=96,"Silent",Table2[[#This Row],[Age]]&gt;=97,"Greatest")</f>
        <v>Millenials</v>
      </c>
      <c r="E96" s="1">
        <v>24000</v>
      </c>
      <c r="F96">
        <v>42</v>
      </c>
      <c r="G96" t="str" cm="1">
        <f t="array" ref="G96">_xlfn.IFS(Table2[[#This Row],[Spending Score (1-100)]]&lt;=25,"Low",Table2[[#This Row],[Spending Score (1-100)]]&lt;=50,"Medium",Table2[[#This Row],[Spending Score (1-100)]]&lt;=75,"High",Table2[[#This Row],[Spending Score (1-100)]]&lt;=100,"Very High")</f>
        <v>Medium</v>
      </c>
      <c r="H96" t="s">
        <v>14</v>
      </c>
      <c r="I96">
        <v>0</v>
      </c>
      <c r="J96" t="str">
        <f>CONCATENATE(Table2[[#This Row],[Work Experience]],"years")</f>
        <v>0years</v>
      </c>
      <c r="K96" t="str">
        <f>CONCATENATE(Table2[[#This Row],[Family Size2]],"members")</f>
        <v>1members</v>
      </c>
      <c r="L96" t="str">
        <f>CONCATENATE(Table2[[#This Row],[Family Size2]],"members")</f>
        <v>1members</v>
      </c>
      <c r="M96">
        <v>1</v>
      </c>
    </row>
    <row r="97" spans="1:13">
      <c r="A97">
        <v>96</v>
      </c>
      <c r="B97" t="s">
        <v>8</v>
      </c>
      <c r="C97">
        <v>24</v>
      </c>
      <c r="D97" t="str" cm="1">
        <f t="array" ref="D97">_xlfn.IFS(Table2[[#This Row],[Age]]&lt;=11,"Gen A",Table2[[#This Row],[Age]]&lt;=27,"Gen Z",Table2[[#This Row],[Age]]&lt;=43,"Millenials",Table2[[#This Row],[Age]]&lt;=59,"Gen X",Table2[[#This Row],[Age]]&lt;=78,"Baby Boomers",Table2[[#This Row],[Age]]&lt;=96,"Silent",Table2[[#This Row],[Age]]&gt;=97,"Greatest")</f>
        <v>Gen Z</v>
      </c>
      <c r="E97" s="1">
        <v>80000</v>
      </c>
      <c r="F97">
        <v>52</v>
      </c>
      <c r="G97" t="str" cm="1">
        <f t="array" ref="G97">_xlfn.IFS(Table2[[#This Row],[Spending Score (1-100)]]&lt;=25,"Low",Table2[[#This Row],[Spending Score (1-100)]]&lt;=50,"Medium",Table2[[#This Row],[Spending Score (1-100)]]&lt;=75,"High",Table2[[#This Row],[Spending Score (1-100)]]&lt;=100,"Very High")</f>
        <v>High</v>
      </c>
      <c r="H97" t="s">
        <v>14</v>
      </c>
      <c r="I97">
        <v>10</v>
      </c>
      <c r="J97" t="str">
        <f>CONCATENATE(Table2[[#This Row],[Work Experience]],"years")</f>
        <v>10years</v>
      </c>
      <c r="K97" t="str">
        <f>CONCATENATE(Table2[[#This Row],[Family Size2]],"members")</f>
        <v>1members</v>
      </c>
      <c r="L97" t="str">
        <f>CONCATENATE(Table2[[#This Row],[Family Size2]],"members")</f>
        <v>1members</v>
      </c>
      <c r="M97">
        <v>1</v>
      </c>
    </row>
    <row r="98" spans="1:13">
      <c r="A98">
        <v>97</v>
      </c>
      <c r="B98" t="s">
        <v>11</v>
      </c>
      <c r="C98">
        <v>47</v>
      </c>
      <c r="D98" t="str" cm="1">
        <f t="array" ref="D98">_xlfn.IFS(Table2[[#This Row],[Age]]&lt;=11,"Gen A",Table2[[#This Row],[Age]]&lt;=27,"Gen Z",Table2[[#This Row],[Age]]&lt;=43,"Millenials",Table2[[#This Row],[Age]]&lt;=59,"Gen X",Table2[[#This Row],[Age]]&lt;=78,"Baby Boomers",Table2[[#This Row],[Age]]&lt;=96,"Silent",Table2[[#This Row],[Age]]&gt;=97,"Greatest")</f>
        <v>Gen X</v>
      </c>
      <c r="E98" s="1">
        <v>2000</v>
      </c>
      <c r="F98">
        <v>47</v>
      </c>
      <c r="G98" t="str" cm="1">
        <f t="array" ref="G98">_xlfn.IFS(Table2[[#This Row],[Spending Score (1-100)]]&lt;=25,"Low",Table2[[#This Row],[Spending Score (1-100)]]&lt;=50,"Medium",Table2[[#This Row],[Spending Score (1-100)]]&lt;=75,"High",Table2[[#This Row],[Spending Score (1-100)]]&lt;=100,"Very High")</f>
        <v>Medium</v>
      </c>
      <c r="H98" t="s">
        <v>14</v>
      </c>
      <c r="I98">
        <v>0</v>
      </c>
      <c r="J98" t="str">
        <f>CONCATENATE(Table2[[#This Row],[Work Experience]],"years")</f>
        <v>0years</v>
      </c>
      <c r="K98" t="str">
        <f>CONCATENATE(Table2[[#This Row],[Family Size2]],"members")</f>
        <v>1members</v>
      </c>
      <c r="L98" t="str">
        <f>CONCATENATE(Table2[[#This Row],[Family Size2]],"members")</f>
        <v>1members</v>
      </c>
      <c r="M98">
        <v>1</v>
      </c>
    </row>
    <row r="99" spans="1:13">
      <c r="A99">
        <v>98</v>
      </c>
      <c r="B99" t="s">
        <v>11</v>
      </c>
      <c r="C99">
        <v>27</v>
      </c>
      <c r="D99" t="str" cm="1">
        <f t="array" ref="D99">_xlfn.IFS(Table2[[#This Row],[Age]]&lt;=11,"Gen A",Table2[[#This Row],[Age]]&lt;=27,"Gen Z",Table2[[#This Row],[Age]]&lt;=43,"Millenials",Table2[[#This Row],[Age]]&lt;=59,"Gen X",Table2[[#This Row],[Age]]&lt;=78,"Baby Boomers",Table2[[#This Row],[Age]]&lt;=96,"Silent",Table2[[#This Row],[Age]]&gt;=97,"Greatest")</f>
        <v>Gen Z</v>
      </c>
      <c r="E99" s="1">
        <v>67000</v>
      </c>
      <c r="F99">
        <v>50</v>
      </c>
      <c r="G99" t="str" cm="1">
        <f t="array" ref="G99">_xlfn.IFS(Table2[[#This Row],[Spending Score (1-100)]]&lt;=25,"Low",Table2[[#This Row],[Spending Score (1-100)]]&lt;=50,"Medium",Table2[[#This Row],[Spending Score (1-100)]]&lt;=75,"High",Table2[[#This Row],[Spending Score (1-100)]]&lt;=100,"Very High")</f>
        <v>Medium</v>
      </c>
      <c r="H99" t="s">
        <v>14</v>
      </c>
      <c r="I99">
        <v>0</v>
      </c>
      <c r="J99" t="str">
        <f>CONCATENATE(Table2[[#This Row],[Work Experience]],"years")</f>
        <v>0years</v>
      </c>
      <c r="K99" t="str">
        <f>CONCATENATE(Table2[[#This Row],[Family Size2]],"members")</f>
        <v>2members</v>
      </c>
      <c r="L99" t="str">
        <f>CONCATENATE(Table2[[#This Row],[Family Size2]],"members")</f>
        <v>2members</v>
      </c>
      <c r="M99">
        <v>2</v>
      </c>
    </row>
    <row r="100" spans="1:13">
      <c r="A100">
        <v>99</v>
      </c>
      <c r="B100" t="s">
        <v>8</v>
      </c>
      <c r="C100">
        <v>48</v>
      </c>
      <c r="D100" t="str" cm="1">
        <f t="array" ref="D100">_xlfn.IFS(Table2[[#This Row],[Age]]&lt;=11,"Gen A",Table2[[#This Row],[Age]]&lt;=27,"Gen Z",Table2[[#This Row],[Age]]&lt;=43,"Millenials",Table2[[#This Row],[Age]]&lt;=59,"Gen X",Table2[[#This Row],[Age]]&lt;=78,"Baby Boomers",Table2[[#This Row],[Age]]&lt;=96,"Silent",Table2[[#This Row],[Age]]&gt;=97,"Greatest")</f>
        <v>Gen X</v>
      </c>
      <c r="E100" s="1">
        <v>58000</v>
      </c>
      <c r="F100">
        <v>42</v>
      </c>
      <c r="G100" t="str" cm="1">
        <f t="array" ref="G100">_xlfn.IFS(Table2[[#This Row],[Spending Score (1-100)]]&lt;=25,"Low",Table2[[#This Row],[Spending Score (1-100)]]&lt;=50,"Medium",Table2[[#This Row],[Spending Score (1-100)]]&lt;=75,"High",Table2[[#This Row],[Spending Score (1-100)]]&lt;=100,"Very High")</f>
        <v>Medium</v>
      </c>
      <c r="H100" t="s">
        <v>16</v>
      </c>
      <c r="I100">
        <v>1</v>
      </c>
      <c r="J100" t="str">
        <f>CONCATENATE(Table2[[#This Row],[Work Experience]],"years")</f>
        <v>1years</v>
      </c>
      <c r="K100" t="str">
        <f>CONCATENATE(Table2[[#This Row],[Family Size2]],"members")</f>
        <v>2members</v>
      </c>
      <c r="L100" t="str">
        <f>CONCATENATE(Table2[[#This Row],[Family Size2]],"members")</f>
        <v>2members</v>
      </c>
      <c r="M100">
        <v>2</v>
      </c>
    </row>
    <row r="101" spans="1:13">
      <c r="A101">
        <v>100</v>
      </c>
      <c r="B101" t="s">
        <v>8</v>
      </c>
      <c r="C101">
        <v>20</v>
      </c>
      <c r="D101" t="str" cm="1">
        <f t="array" ref="D101">_xlfn.IFS(Table2[[#This Row],[Age]]&lt;=11,"Gen A",Table2[[#This Row],[Age]]&lt;=27,"Gen Z",Table2[[#This Row],[Age]]&lt;=43,"Millenials",Table2[[#This Row],[Age]]&lt;=59,"Gen X",Table2[[#This Row],[Age]]&lt;=78,"Baby Boomers",Table2[[#This Row],[Age]]&lt;=96,"Silent",Table2[[#This Row],[Age]]&gt;=97,"Greatest")</f>
        <v>Gen Z</v>
      </c>
      <c r="E101" s="1">
        <v>80000</v>
      </c>
      <c r="F101">
        <v>49</v>
      </c>
      <c r="G101" t="str" cm="1">
        <f t="array" ref="G101">_xlfn.IFS(Table2[[#This Row],[Spending Score (1-100)]]&lt;=25,"Low",Table2[[#This Row],[Spending Score (1-100)]]&lt;=50,"Medium",Table2[[#This Row],[Spending Score (1-100)]]&lt;=75,"High",Table2[[#This Row],[Spending Score (1-100)]]&lt;=100,"Very High")</f>
        <v>Medium</v>
      </c>
      <c r="H101" t="s">
        <v>10</v>
      </c>
      <c r="I101">
        <v>3</v>
      </c>
      <c r="J101" t="str">
        <f>CONCATENATE(Table2[[#This Row],[Work Experience]],"years")</f>
        <v>3years</v>
      </c>
      <c r="K101" t="str">
        <f>CONCATENATE(Table2[[#This Row],[Family Size2]],"members")</f>
        <v>3members</v>
      </c>
      <c r="L101" t="str">
        <f>CONCATENATE(Table2[[#This Row],[Family Size2]],"members")</f>
        <v>3members</v>
      </c>
      <c r="M101">
        <v>3</v>
      </c>
    </row>
    <row r="102" spans="1:13">
      <c r="A102">
        <v>101</v>
      </c>
      <c r="B102" t="s">
        <v>11</v>
      </c>
      <c r="C102">
        <v>23</v>
      </c>
      <c r="D102" t="str" cm="1">
        <f t="array" ref="D102">_xlfn.IFS(Table2[[#This Row],[Age]]&lt;=11,"Gen A",Table2[[#This Row],[Age]]&lt;=27,"Gen Z",Table2[[#This Row],[Age]]&lt;=43,"Millenials",Table2[[#This Row],[Age]]&lt;=59,"Gen X",Table2[[#This Row],[Age]]&lt;=78,"Baby Boomers",Table2[[#This Row],[Age]]&lt;=96,"Silent",Table2[[#This Row],[Age]]&gt;=97,"Greatest")</f>
        <v>Gen Z</v>
      </c>
      <c r="E102" s="1">
        <v>65000</v>
      </c>
      <c r="F102">
        <v>41</v>
      </c>
      <c r="G102" t="str" cm="1">
        <f t="array" ref="G102">_xlfn.IFS(Table2[[#This Row],[Spending Score (1-100)]]&lt;=25,"Low",Table2[[#This Row],[Spending Score (1-100)]]&lt;=50,"Medium",Table2[[#This Row],[Spending Score (1-100)]]&lt;=75,"High",Table2[[#This Row],[Spending Score (1-100)]]&lt;=100,"Very High")</f>
        <v>Medium</v>
      </c>
      <c r="H102" t="s">
        <v>14</v>
      </c>
      <c r="I102">
        <v>0</v>
      </c>
      <c r="J102" t="str">
        <f>CONCATENATE(Table2[[#This Row],[Work Experience]],"years")</f>
        <v>0years</v>
      </c>
      <c r="K102" t="str">
        <f>CONCATENATE(Table2[[#This Row],[Family Size2]],"members")</f>
        <v>4members</v>
      </c>
      <c r="L102" t="str">
        <f>CONCATENATE(Table2[[#This Row],[Family Size2]],"members")</f>
        <v>4members</v>
      </c>
      <c r="M102">
        <v>4</v>
      </c>
    </row>
    <row r="103" spans="1:13">
      <c r="A103">
        <v>102</v>
      </c>
      <c r="B103" t="s">
        <v>11</v>
      </c>
      <c r="C103">
        <v>49</v>
      </c>
      <c r="D103" t="str" cm="1">
        <f t="array" ref="D103">_xlfn.IFS(Table2[[#This Row],[Age]]&lt;=11,"Gen A",Table2[[#This Row],[Age]]&lt;=27,"Gen Z",Table2[[#This Row],[Age]]&lt;=43,"Millenials",Table2[[#This Row],[Age]]&lt;=59,"Gen X",Table2[[#This Row],[Age]]&lt;=78,"Baby Boomers",Table2[[#This Row],[Age]]&lt;=96,"Silent",Table2[[#This Row],[Age]]&gt;=97,"Greatest")</f>
        <v>Gen X</v>
      </c>
      <c r="E103" s="1">
        <v>4000</v>
      </c>
      <c r="F103">
        <v>48</v>
      </c>
      <c r="G103" t="str" cm="1">
        <f t="array" ref="G103">_xlfn.IFS(Table2[[#This Row],[Spending Score (1-100)]]&lt;=25,"Low",Table2[[#This Row],[Spending Score (1-100)]]&lt;=50,"Medium",Table2[[#This Row],[Spending Score (1-100)]]&lt;=75,"High",Table2[[#This Row],[Spending Score (1-100)]]&lt;=100,"Very High")</f>
        <v>Medium</v>
      </c>
      <c r="H103" t="s">
        <v>15</v>
      </c>
      <c r="I103">
        <v>1</v>
      </c>
      <c r="J103" t="str">
        <f>CONCATENATE(Table2[[#This Row],[Work Experience]],"years")</f>
        <v>1years</v>
      </c>
      <c r="K103" t="str">
        <f>CONCATENATE(Table2[[#This Row],[Family Size2]],"members")</f>
        <v>7members</v>
      </c>
      <c r="L103" t="str">
        <f>CONCATENATE(Table2[[#This Row],[Family Size2]],"members")</f>
        <v>7members</v>
      </c>
      <c r="M103">
        <v>7</v>
      </c>
    </row>
    <row r="104" spans="1:13">
      <c r="A104">
        <v>103</v>
      </c>
      <c r="B104" t="s">
        <v>8</v>
      </c>
      <c r="C104">
        <v>67</v>
      </c>
      <c r="D104" t="str" cm="1">
        <f t="array" ref="D104">_xlfn.IFS(Table2[[#This Row],[Age]]&lt;=11,"Gen A",Table2[[#This Row],[Age]]&lt;=27,"Gen Z",Table2[[#This Row],[Age]]&lt;=43,"Millenials",Table2[[#This Row],[Age]]&lt;=59,"Gen X",Table2[[#This Row],[Age]]&lt;=78,"Baby Boomers",Table2[[#This Row],[Age]]&lt;=96,"Silent",Table2[[#This Row],[Age]]&gt;=97,"Greatest")</f>
        <v>Baby Boomers</v>
      </c>
      <c r="E104" s="1">
        <v>98000</v>
      </c>
      <c r="F104">
        <v>59</v>
      </c>
      <c r="G104" t="str" cm="1">
        <f t="array" ref="G104">_xlfn.IFS(Table2[[#This Row],[Spending Score (1-100)]]&lt;=25,"Low",Table2[[#This Row],[Spending Score (1-100)]]&lt;=50,"Medium",Table2[[#This Row],[Spending Score (1-100)]]&lt;=75,"High",Table2[[#This Row],[Spending Score (1-100)]]&lt;=100,"Very High")</f>
        <v>High</v>
      </c>
      <c r="H104" t="s">
        <v>14</v>
      </c>
      <c r="I104">
        <v>0</v>
      </c>
      <c r="J104" t="str">
        <f>CONCATENATE(Table2[[#This Row],[Work Experience]],"years")</f>
        <v>0years</v>
      </c>
      <c r="K104" t="str">
        <f>CONCATENATE(Table2[[#This Row],[Family Size2]],"members")</f>
        <v>3members</v>
      </c>
      <c r="L104" t="str">
        <f>CONCATENATE(Table2[[#This Row],[Family Size2]],"members")</f>
        <v>3members</v>
      </c>
      <c r="M104">
        <v>3</v>
      </c>
    </row>
    <row r="105" spans="1:13">
      <c r="A105">
        <v>104</v>
      </c>
      <c r="B105" t="s">
        <v>8</v>
      </c>
      <c r="C105">
        <v>26</v>
      </c>
      <c r="D105" t="str" cm="1">
        <f t="array" ref="D105">_xlfn.IFS(Table2[[#This Row],[Age]]&lt;=11,"Gen A",Table2[[#This Row],[Age]]&lt;=27,"Gen Z",Table2[[#This Row],[Age]]&lt;=43,"Millenials",Table2[[#This Row],[Age]]&lt;=59,"Gen X",Table2[[#This Row],[Age]]&lt;=78,"Baby Boomers",Table2[[#This Row],[Age]]&lt;=96,"Silent",Table2[[#This Row],[Age]]&gt;=97,"Greatest")</f>
        <v>Gen Z</v>
      </c>
      <c r="E105" s="1">
        <v>52000</v>
      </c>
      <c r="F105">
        <v>55</v>
      </c>
      <c r="G105" t="str" cm="1">
        <f t="array" ref="G105">_xlfn.IFS(Table2[[#This Row],[Spending Score (1-100)]]&lt;=25,"Low",Table2[[#This Row],[Spending Score (1-100)]]&lt;=50,"Medium",Table2[[#This Row],[Spending Score (1-100)]]&lt;=75,"High",Table2[[#This Row],[Spending Score (1-100)]]&lt;=100,"Very High")</f>
        <v>High</v>
      </c>
      <c r="H105" t="s">
        <v>15</v>
      </c>
      <c r="I105">
        <v>0</v>
      </c>
      <c r="J105" t="str">
        <f>CONCATENATE(Table2[[#This Row],[Work Experience]],"years")</f>
        <v>0years</v>
      </c>
      <c r="K105" t="str">
        <f>CONCATENATE(Table2[[#This Row],[Family Size2]],"members")</f>
        <v>5members</v>
      </c>
      <c r="L105" t="str">
        <f>CONCATENATE(Table2[[#This Row],[Family Size2]],"members")</f>
        <v>5members</v>
      </c>
      <c r="M105">
        <v>5</v>
      </c>
    </row>
    <row r="106" spans="1:13">
      <c r="A106">
        <v>105</v>
      </c>
      <c r="B106" t="s">
        <v>8</v>
      </c>
      <c r="C106">
        <v>49</v>
      </c>
      <c r="D106" t="str" cm="1">
        <f t="array" ref="D106">_xlfn.IFS(Table2[[#This Row],[Age]]&lt;=11,"Gen A",Table2[[#This Row],[Age]]&lt;=27,"Gen Z",Table2[[#This Row],[Age]]&lt;=43,"Millenials",Table2[[#This Row],[Age]]&lt;=59,"Gen X",Table2[[#This Row],[Age]]&lt;=78,"Baby Boomers",Table2[[#This Row],[Age]]&lt;=96,"Silent",Table2[[#This Row],[Age]]&gt;=97,"Greatest")</f>
        <v>Gen X</v>
      </c>
      <c r="E106" s="1">
        <v>86000</v>
      </c>
      <c r="F106">
        <v>56</v>
      </c>
      <c r="G106" t="str" cm="1">
        <f t="array" ref="G106">_xlfn.IFS(Table2[[#This Row],[Spending Score (1-100)]]&lt;=25,"Low",Table2[[#This Row],[Spending Score (1-100)]]&lt;=50,"Medium",Table2[[#This Row],[Spending Score (1-100)]]&lt;=75,"High",Table2[[#This Row],[Spending Score (1-100)]]&lt;=100,"Very High")</f>
        <v>High</v>
      </c>
      <c r="H106" t="s">
        <v>9</v>
      </c>
      <c r="I106">
        <v>10</v>
      </c>
      <c r="J106" t="str">
        <f>CONCATENATE(Table2[[#This Row],[Work Experience]],"years")</f>
        <v>10years</v>
      </c>
      <c r="K106" t="str">
        <f>CONCATENATE(Table2[[#This Row],[Family Size2]],"members")</f>
        <v>2members</v>
      </c>
      <c r="L106" t="str">
        <f>CONCATENATE(Table2[[#This Row],[Family Size2]],"members")</f>
        <v>2members</v>
      </c>
      <c r="M106">
        <v>2</v>
      </c>
    </row>
    <row r="107" spans="1:13">
      <c r="A107">
        <v>106</v>
      </c>
      <c r="B107" t="s">
        <v>11</v>
      </c>
      <c r="C107">
        <v>21</v>
      </c>
      <c r="D107" t="str" cm="1">
        <f t="array" ref="D107">_xlfn.IFS(Table2[[#This Row],[Age]]&lt;=11,"Gen A",Table2[[#This Row],[Age]]&lt;=27,"Gen Z",Table2[[#This Row],[Age]]&lt;=43,"Millenials",Table2[[#This Row],[Age]]&lt;=59,"Gen X",Table2[[#This Row],[Age]]&lt;=78,"Baby Boomers",Table2[[#This Row],[Age]]&lt;=96,"Silent",Table2[[#This Row],[Age]]&gt;=97,"Greatest")</f>
        <v>Gen Z</v>
      </c>
      <c r="E107" s="1">
        <v>82000</v>
      </c>
      <c r="F107">
        <v>42</v>
      </c>
      <c r="G107" t="str" cm="1">
        <f t="array" ref="G107">_xlfn.IFS(Table2[[#This Row],[Spending Score (1-100)]]&lt;=25,"Low",Table2[[#This Row],[Spending Score (1-100)]]&lt;=50,"Medium",Table2[[#This Row],[Spending Score (1-100)]]&lt;=75,"High",Table2[[#This Row],[Spending Score (1-100)]]&lt;=100,"Very High")</f>
        <v>Medium</v>
      </c>
      <c r="H107" t="s">
        <v>16</v>
      </c>
      <c r="I107">
        <v>1</v>
      </c>
      <c r="J107" t="str">
        <f>CONCATENATE(Table2[[#This Row],[Work Experience]],"years")</f>
        <v>1years</v>
      </c>
      <c r="K107" t="str">
        <f>CONCATENATE(Table2[[#This Row],[Family Size2]],"members")</f>
        <v>2members</v>
      </c>
      <c r="L107" t="str">
        <f>CONCATENATE(Table2[[#This Row],[Family Size2]],"members")</f>
        <v>2members</v>
      </c>
      <c r="M107">
        <v>2</v>
      </c>
    </row>
    <row r="108" spans="1:13">
      <c r="A108">
        <v>107</v>
      </c>
      <c r="B108" t="s">
        <v>11</v>
      </c>
      <c r="C108">
        <v>66</v>
      </c>
      <c r="D108" t="str" cm="1">
        <f t="array" ref="D108">_xlfn.IFS(Table2[[#This Row],[Age]]&lt;=11,"Gen A",Table2[[#This Row],[Age]]&lt;=27,"Gen Z",Table2[[#This Row],[Age]]&lt;=43,"Millenials",Table2[[#This Row],[Age]]&lt;=59,"Gen X",Table2[[#This Row],[Age]]&lt;=78,"Baby Boomers",Table2[[#This Row],[Age]]&lt;=96,"Silent",Table2[[#This Row],[Age]]&gt;=97,"Greatest")</f>
        <v>Baby Boomers</v>
      </c>
      <c r="E108" s="1">
        <v>43000</v>
      </c>
      <c r="F108">
        <v>50</v>
      </c>
      <c r="G108" t="str" cm="1">
        <f t="array" ref="G108">_xlfn.IFS(Table2[[#This Row],[Spending Score (1-100)]]&lt;=25,"Low",Table2[[#This Row],[Spending Score (1-100)]]&lt;=50,"Medium",Table2[[#This Row],[Spending Score (1-100)]]&lt;=75,"High",Table2[[#This Row],[Spending Score (1-100)]]&lt;=100,"Very High")</f>
        <v>Medium</v>
      </c>
      <c r="H108" t="s">
        <v>17</v>
      </c>
      <c r="I108">
        <v>3</v>
      </c>
      <c r="J108" t="str">
        <f>CONCATENATE(Table2[[#This Row],[Work Experience]],"years")</f>
        <v>3years</v>
      </c>
      <c r="K108" t="str">
        <f>CONCATENATE(Table2[[#This Row],[Family Size2]],"members")</f>
        <v>2members</v>
      </c>
      <c r="L108" t="str">
        <f>CONCATENATE(Table2[[#This Row],[Family Size2]],"members")</f>
        <v>2members</v>
      </c>
      <c r="M108">
        <v>2</v>
      </c>
    </row>
    <row r="109" spans="1:13">
      <c r="A109">
        <v>108</v>
      </c>
      <c r="B109" t="s">
        <v>8</v>
      </c>
      <c r="C109">
        <v>54</v>
      </c>
      <c r="D109" t="str" cm="1">
        <f t="array" ref="D109">_xlfn.IFS(Table2[[#This Row],[Age]]&lt;=11,"Gen A",Table2[[#This Row],[Age]]&lt;=27,"Gen Z",Table2[[#This Row],[Age]]&lt;=43,"Millenials",Table2[[#This Row],[Age]]&lt;=59,"Gen X",Table2[[#This Row],[Age]]&lt;=78,"Baby Boomers",Table2[[#This Row],[Age]]&lt;=96,"Silent",Table2[[#This Row],[Age]]&gt;=97,"Greatest")</f>
        <v>Gen X</v>
      </c>
      <c r="E109" s="1">
        <v>78000</v>
      </c>
      <c r="F109">
        <v>46</v>
      </c>
      <c r="G109" t="str" cm="1">
        <f t="array" ref="G109">_xlfn.IFS(Table2[[#This Row],[Spending Score (1-100)]]&lt;=25,"Low",Table2[[#This Row],[Spending Score (1-100)]]&lt;=50,"Medium",Table2[[#This Row],[Spending Score (1-100)]]&lt;=75,"High",Table2[[#This Row],[Spending Score (1-100)]]&lt;=100,"Very High")</f>
        <v>Medium</v>
      </c>
      <c r="H109" t="s">
        <v>12</v>
      </c>
      <c r="I109">
        <v>1</v>
      </c>
      <c r="J109" t="str">
        <f>CONCATENATE(Table2[[#This Row],[Work Experience]],"years")</f>
        <v>1years</v>
      </c>
      <c r="K109" t="str">
        <f>CONCATENATE(Table2[[#This Row],[Family Size2]],"members")</f>
        <v>1members</v>
      </c>
      <c r="L109" t="str">
        <f>CONCATENATE(Table2[[#This Row],[Family Size2]],"members")</f>
        <v>1members</v>
      </c>
      <c r="M109">
        <v>1</v>
      </c>
    </row>
    <row r="110" spans="1:13">
      <c r="A110">
        <v>109</v>
      </c>
      <c r="B110" t="s">
        <v>8</v>
      </c>
      <c r="C110">
        <v>68</v>
      </c>
      <c r="D110" t="str" cm="1">
        <f t="array" ref="D110">_xlfn.IFS(Table2[[#This Row],[Age]]&lt;=11,"Gen A",Table2[[#This Row],[Age]]&lt;=27,"Gen Z",Table2[[#This Row],[Age]]&lt;=43,"Millenials",Table2[[#This Row],[Age]]&lt;=59,"Gen X",Table2[[#This Row],[Age]]&lt;=78,"Baby Boomers",Table2[[#This Row],[Age]]&lt;=96,"Silent",Table2[[#This Row],[Age]]&gt;=97,"Greatest")</f>
        <v>Baby Boomers</v>
      </c>
      <c r="E110" s="1">
        <v>13000</v>
      </c>
      <c r="F110">
        <v>43</v>
      </c>
      <c r="G110" t="str" cm="1">
        <f t="array" ref="G110">_xlfn.IFS(Table2[[#This Row],[Spending Score (1-100)]]&lt;=25,"Low",Table2[[#This Row],[Spending Score (1-100)]]&lt;=50,"Medium",Table2[[#This Row],[Spending Score (1-100)]]&lt;=75,"High",Table2[[#This Row],[Spending Score (1-100)]]&lt;=100,"Very High")</f>
        <v>Medium</v>
      </c>
      <c r="H110" t="s">
        <v>9</v>
      </c>
      <c r="I110">
        <v>6</v>
      </c>
      <c r="J110" t="str">
        <f>CONCATENATE(Table2[[#This Row],[Work Experience]],"years")</f>
        <v>6years</v>
      </c>
      <c r="K110" t="str">
        <f>CONCATENATE(Table2[[#This Row],[Family Size2]],"members")</f>
        <v>5members</v>
      </c>
      <c r="L110" t="str">
        <f>CONCATENATE(Table2[[#This Row],[Family Size2]],"members")</f>
        <v>5members</v>
      </c>
      <c r="M110">
        <v>5</v>
      </c>
    </row>
    <row r="111" spans="1:13">
      <c r="A111">
        <v>110</v>
      </c>
      <c r="B111" t="s">
        <v>8</v>
      </c>
      <c r="C111">
        <v>66</v>
      </c>
      <c r="D111" t="str" cm="1">
        <f t="array" ref="D111">_xlfn.IFS(Table2[[#This Row],[Age]]&lt;=11,"Gen A",Table2[[#This Row],[Age]]&lt;=27,"Gen Z",Table2[[#This Row],[Age]]&lt;=43,"Millenials",Table2[[#This Row],[Age]]&lt;=59,"Gen X",Table2[[#This Row],[Age]]&lt;=78,"Baby Boomers",Table2[[#This Row],[Age]]&lt;=96,"Silent",Table2[[#This Row],[Age]]&gt;=97,"Greatest")</f>
        <v>Baby Boomers</v>
      </c>
      <c r="E111" s="1">
        <v>13000</v>
      </c>
      <c r="F111">
        <v>48</v>
      </c>
      <c r="G111" t="str" cm="1">
        <f t="array" ref="G111">_xlfn.IFS(Table2[[#This Row],[Spending Score (1-100)]]&lt;=25,"Low",Table2[[#This Row],[Spending Score (1-100)]]&lt;=50,"Medium",Table2[[#This Row],[Spending Score (1-100)]]&lt;=75,"High",Table2[[#This Row],[Spending Score (1-100)]]&lt;=100,"Very High")</f>
        <v>Medium</v>
      </c>
      <c r="H111" t="s">
        <v>9</v>
      </c>
      <c r="I111">
        <v>9</v>
      </c>
      <c r="J111" t="str">
        <f>CONCATENATE(Table2[[#This Row],[Work Experience]],"years")</f>
        <v>9years</v>
      </c>
      <c r="K111" t="str">
        <f>CONCATENATE(Table2[[#This Row],[Family Size2]],"members")</f>
        <v>3members</v>
      </c>
      <c r="L111" t="str">
        <f>CONCATENATE(Table2[[#This Row],[Family Size2]],"members")</f>
        <v>3members</v>
      </c>
      <c r="M111">
        <v>3</v>
      </c>
    </row>
    <row r="112" spans="1:13">
      <c r="A112">
        <v>111</v>
      </c>
      <c r="B112" t="s">
        <v>8</v>
      </c>
      <c r="C112">
        <v>65</v>
      </c>
      <c r="D112" t="str" cm="1">
        <f t="array" ref="D112">_xlfn.IFS(Table2[[#This Row],[Age]]&lt;=11,"Gen A",Table2[[#This Row],[Age]]&lt;=27,"Gen Z",Table2[[#This Row],[Age]]&lt;=43,"Millenials",Table2[[#This Row],[Age]]&lt;=59,"Gen X",Table2[[#This Row],[Age]]&lt;=78,"Baby Boomers",Table2[[#This Row],[Age]]&lt;=96,"Silent",Table2[[#This Row],[Age]]&gt;=97,"Greatest")</f>
        <v>Baby Boomers</v>
      </c>
      <c r="E112" s="1">
        <v>34000</v>
      </c>
      <c r="F112">
        <v>52</v>
      </c>
      <c r="G112" t="str" cm="1">
        <f t="array" ref="G112">_xlfn.IFS(Table2[[#This Row],[Spending Score (1-100)]]&lt;=25,"Low",Table2[[#This Row],[Spending Score (1-100)]]&lt;=50,"Medium",Table2[[#This Row],[Spending Score (1-100)]]&lt;=75,"High",Table2[[#This Row],[Spending Score (1-100)]]&lt;=100,"Very High")</f>
        <v>High</v>
      </c>
      <c r="H112" t="s">
        <v>13</v>
      </c>
      <c r="I112">
        <v>4</v>
      </c>
      <c r="J112" t="str">
        <f>CONCATENATE(Table2[[#This Row],[Work Experience]],"years")</f>
        <v>4years</v>
      </c>
      <c r="K112" t="str">
        <f>CONCATENATE(Table2[[#This Row],[Family Size2]],"members")</f>
        <v>4members</v>
      </c>
      <c r="L112" t="str">
        <f>CONCATENATE(Table2[[#This Row],[Family Size2]],"members")</f>
        <v>4members</v>
      </c>
      <c r="M112">
        <v>4</v>
      </c>
    </row>
    <row r="113" spans="1:13">
      <c r="A113">
        <v>112</v>
      </c>
      <c r="B113" t="s">
        <v>11</v>
      </c>
      <c r="C113">
        <v>19</v>
      </c>
      <c r="D113" t="str" cm="1">
        <f t="array" ref="D113">_xlfn.IFS(Table2[[#This Row],[Age]]&lt;=11,"Gen A",Table2[[#This Row],[Age]]&lt;=27,"Gen Z",Table2[[#This Row],[Age]]&lt;=43,"Millenials",Table2[[#This Row],[Age]]&lt;=59,"Gen X",Table2[[#This Row],[Age]]&lt;=78,"Baby Boomers",Table2[[#This Row],[Age]]&lt;=96,"Silent",Table2[[#This Row],[Age]]&gt;=97,"Greatest")</f>
        <v>Gen Z</v>
      </c>
      <c r="E113" s="1">
        <v>25000</v>
      </c>
      <c r="F113">
        <v>54</v>
      </c>
      <c r="G113" t="str" cm="1">
        <f t="array" ref="G113">_xlfn.IFS(Table2[[#This Row],[Spending Score (1-100)]]&lt;=25,"Low",Table2[[#This Row],[Spending Score (1-100)]]&lt;=50,"Medium",Table2[[#This Row],[Spending Score (1-100)]]&lt;=75,"High",Table2[[#This Row],[Spending Score (1-100)]]&lt;=100,"Very High")</f>
        <v>High</v>
      </c>
      <c r="H113" t="s">
        <v>14</v>
      </c>
      <c r="I113">
        <v>0</v>
      </c>
      <c r="J113" t="str">
        <f>CONCATENATE(Table2[[#This Row],[Work Experience]],"years")</f>
        <v>0years</v>
      </c>
      <c r="K113" t="str">
        <f>CONCATENATE(Table2[[#This Row],[Family Size2]],"members")</f>
        <v>1members</v>
      </c>
      <c r="L113" t="str">
        <f>CONCATENATE(Table2[[#This Row],[Family Size2]],"members")</f>
        <v>1members</v>
      </c>
      <c r="M113">
        <v>1</v>
      </c>
    </row>
    <row r="114" spans="1:13">
      <c r="A114">
        <v>113</v>
      </c>
      <c r="B114" t="s">
        <v>11</v>
      </c>
      <c r="C114">
        <v>38</v>
      </c>
      <c r="D114" t="str" cm="1">
        <f t="array" ref="D114">_xlfn.IFS(Table2[[#This Row],[Age]]&lt;=11,"Gen A",Table2[[#This Row],[Age]]&lt;=27,"Gen Z",Table2[[#This Row],[Age]]&lt;=43,"Millenials",Table2[[#This Row],[Age]]&lt;=59,"Gen X",Table2[[#This Row],[Age]]&lt;=78,"Baby Boomers",Table2[[#This Row],[Age]]&lt;=96,"Silent",Table2[[#This Row],[Age]]&gt;=97,"Greatest")</f>
        <v>Millenials</v>
      </c>
      <c r="E114" s="1">
        <v>71000</v>
      </c>
      <c r="F114">
        <v>42</v>
      </c>
      <c r="G114" t="str" cm="1">
        <f t="array" ref="G114">_xlfn.IFS(Table2[[#This Row],[Spending Score (1-100)]]&lt;=25,"Low",Table2[[#This Row],[Spending Score (1-100)]]&lt;=50,"Medium",Table2[[#This Row],[Spending Score (1-100)]]&lt;=75,"High",Table2[[#This Row],[Spending Score (1-100)]]&lt;=100,"Very High")</f>
        <v>Medium</v>
      </c>
      <c r="H114" t="s">
        <v>16</v>
      </c>
      <c r="I114">
        <v>1</v>
      </c>
      <c r="J114" t="str">
        <f>CONCATENATE(Table2[[#This Row],[Work Experience]],"years")</f>
        <v>1years</v>
      </c>
      <c r="K114" t="str">
        <f>CONCATENATE(Table2[[#This Row],[Family Size2]],"members")</f>
        <v>5members</v>
      </c>
      <c r="L114" t="str">
        <f>CONCATENATE(Table2[[#This Row],[Family Size2]],"members")</f>
        <v>5members</v>
      </c>
      <c r="M114">
        <v>5</v>
      </c>
    </row>
    <row r="115" spans="1:13">
      <c r="A115">
        <v>114</v>
      </c>
      <c r="B115" t="s">
        <v>8</v>
      </c>
      <c r="C115">
        <v>19</v>
      </c>
      <c r="D115" t="str" cm="1">
        <f t="array" ref="D115">_xlfn.IFS(Table2[[#This Row],[Age]]&lt;=11,"Gen A",Table2[[#This Row],[Age]]&lt;=27,"Gen Z",Table2[[#This Row],[Age]]&lt;=43,"Millenials",Table2[[#This Row],[Age]]&lt;=59,"Gen X",Table2[[#This Row],[Age]]&lt;=78,"Baby Boomers",Table2[[#This Row],[Age]]&lt;=96,"Silent",Table2[[#This Row],[Age]]&gt;=97,"Greatest")</f>
        <v>Gen Z</v>
      </c>
      <c r="E115" s="1">
        <v>2000</v>
      </c>
      <c r="F115">
        <v>46</v>
      </c>
      <c r="G115" t="str" cm="1">
        <f t="array" ref="G115">_xlfn.IFS(Table2[[#This Row],[Spending Score (1-100)]]&lt;=25,"Low",Table2[[#This Row],[Spending Score (1-100)]]&lt;=50,"Medium",Table2[[#This Row],[Spending Score (1-100)]]&lt;=75,"High",Table2[[#This Row],[Spending Score (1-100)]]&lt;=100,"Very High")</f>
        <v>Medium</v>
      </c>
      <c r="H115" t="s">
        <v>14</v>
      </c>
      <c r="I115">
        <v>1</v>
      </c>
      <c r="J115" t="str">
        <f>CONCATENATE(Table2[[#This Row],[Work Experience]],"years")</f>
        <v>1years</v>
      </c>
      <c r="K115" t="str">
        <f>CONCATENATE(Table2[[#This Row],[Family Size2]],"members")</f>
        <v>1members</v>
      </c>
      <c r="L115" t="str">
        <f>CONCATENATE(Table2[[#This Row],[Family Size2]],"members")</f>
        <v>1members</v>
      </c>
      <c r="M115">
        <v>1</v>
      </c>
    </row>
    <row r="116" spans="1:13">
      <c r="A116">
        <v>115</v>
      </c>
      <c r="B116" t="s">
        <v>11</v>
      </c>
      <c r="C116">
        <v>18</v>
      </c>
      <c r="D116" t="str" cm="1">
        <f t="array" ref="D116">_xlfn.IFS(Table2[[#This Row],[Age]]&lt;=11,"Gen A",Table2[[#This Row],[Age]]&lt;=27,"Gen Z",Table2[[#This Row],[Age]]&lt;=43,"Millenials",Table2[[#This Row],[Age]]&lt;=59,"Gen X",Table2[[#This Row],[Age]]&lt;=78,"Baby Boomers",Table2[[#This Row],[Age]]&lt;=96,"Silent",Table2[[#This Row],[Age]]&gt;=97,"Greatest")</f>
        <v>Gen Z</v>
      </c>
      <c r="E116" s="1">
        <v>97000</v>
      </c>
      <c r="F116">
        <v>48</v>
      </c>
      <c r="G116" t="str" cm="1">
        <f t="array" ref="G116">_xlfn.IFS(Table2[[#This Row],[Spending Score (1-100)]]&lt;=25,"Low",Table2[[#This Row],[Spending Score (1-100)]]&lt;=50,"Medium",Table2[[#This Row],[Spending Score (1-100)]]&lt;=75,"High",Table2[[#This Row],[Spending Score (1-100)]]&lt;=100,"Very High")</f>
        <v>Medium</v>
      </c>
      <c r="H116" t="s">
        <v>15</v>
      </c>
      <c r="I116">
        <v>0</v>
      </c>
      <c r="J116" t="str">
        <f>CONCATENATE(Table2[[#This Row],[Work Experience]],"years")</f>
        <v>0years</v>
      </c>
      <c r="K116" t="str">
        <f>CONCATENATE(Table2[[#This Row],[Family Size2]],"members")</f>
        <v>3members</v>
      </c>
      <c r="L116" t="str">
        <f>CONCATENATE(Table2[[#This Row],[Family Size2]],"members")</f>
        <v>3members</v>
      </c>
      <c r="M116">
        <v>3</v>
      </c>
    </row>
    <row r="117" spans="1:13">
      <c r="A117">
        <v>116</v>
      </c>
      <c r="B117" t="s">
        <v>11</v>
      </c>
      <c r="C117">
        <v>19</v>
      </c>
      <c r="D117" t="str" cm="1">
        <f t="array" ref="D117">_xlfn.IFS(Table2[[#This Row],[Age]]&lt;=11,"Gen A",Table2[[#This Row],[Age]]&lt;=27,"Gen Z",Table2[[#This Row],[Age]]&lt;=43,"Millenials",Table2[[#This Row],[Age]]&lt;=59,"Gen X",Table2[[#This Row],[Age]]&lt;=78,"Baby Boomers",Table2[[#This Row],[Age]]&lt;=96,"Silent",Table2[[#This Row],[Age]]&gt;=97,"Greatest")</f>
        <v>Gen Z</v>
      </c>
      <c r="E117" s="1">
        <v>51000</v>
      </c>
      <c r="F117">
        <v>50</v>
      </c>
      <c r="G117" t="str" cm="1">
        <f t="array" ref="G117">_xlfn.IFS(Table2[[#This Row],[Spending Score (1-100)]]&lt;=25,"Low",Table2[[#This Row],[Spending Score (1-100)]]&lt;=50,"Medium",Table2[[#This Row],[Spending Score (1-100)]]&lt;=75,"High",Table2[[#This Row],[Spending Score (1-100)]]&lt;=100,"Very High")</f>
        <v>Medium</v>
      </c>
      <c r="H117" t="s">
        <v>15</v>
      </c>
      <c r="I117">
        <v>8</v>
      </c>
      <c r="J117" t="str">
        <f>CONCATENATE(Table2[[#This Row],[Work Experience]],"years")</f>
        <v>8years</v>
      </c>
      <c r="K117" t="str">
        <f>CONCATENATE(Table2[[#This Row],[Family Size2]],"members")</f>
        <v>4members</v>
      </c>
      <c r="L117" t="str">
        <f>CONCATENATE(Table2[[#This Row],[Family Size2]],"members")</f>
        <v>4members</v>
      </c>
      <c r="M117">
        <v>4</v>
      </c>
    </row>
    <row r="118" spans="1:13">
      <c r="A118">
        <v>117</v>
      </c>
      <c r="B118" t="s">
        <v>11</v>
      </c>
      <c r="C118">
        <v>63</v>
      </c>
      <c r="D118" t="str" cm="1">
        <f t="array" ref="D118">_xlfn.IFS(Table2[[#This Row],[Age]]&lt;=11,"Gen A",Table2[[#This Row],[Age]]&lt;=27,"Gen Z",Table2[[#This Row],[Age]]&lt;=43,"Millenials",Table2[[#This Row],[Age]]&lt;=59,"Gen X",Table2[[#This Row],[Age]]&lt;=78,"Baby Boomers",Table2[[#This Row],[Age]]&lt;=96,"Silent",Table2[[#This Row],[Age]]&gt;=97,"Greatest")</f>
        <v>Baby Boomers</v>
      </c>
      <c r="E118" s="1">
        <v>9000</v>
      </c>
      <c r="F118">
        <v>43</v>
      </c>
      <c r="G118" t="str" cm="1">
        <f t="array" ref="G118">_xlfn.IFS(Table2[[#This Row],[Spending Score (1-100)]]&lt;=25,"Low",Table2[[#This Row],[Spending Score (1-100)]]&lt;=50,"Medium",Table2[[#This Row],[Spending Score (1-100)]]&lt;=75,"High",Table2[[#This Row],[Spending Score (1-100)]]&lt;=100,"Very High")</f>
        <v>Medium</v>
      </c>
      <c r="H118" t="s">
        <v>12</v>
      </c>
      <c r="I118">
        <v>1</v>
      </c>
      <c r="J118" t="str">
        <f>CONCATENATE(Table2[[#This Row],[Work Experience]],"years")</f>
        <v>1years</v>
      </c>
      <c r="K118" t="str">
        <f>CONCATENATE(Table2[[#This Row],[Family Size2]],"members")</f>
        <v>1members</v>
      </c>
      <c r="L118" t="str">
        <f>CONCATENATE(Table2[[#This Row],[Family Size2]],"members")</f>
        <v>1members</v>
      </c>
      <c r="M118">
        <v>1</v>
      </c>
    </row>
    <row r="119" spans="1:13">
      <c r="A119">
        <v>118</v>
      </c>
      <c r="B119" t="s">
        <v>11</v>
      </c>
      <c r="C119">
        <v>49</v>
      </c>
      <c r="D119" t="str" cm="1">
        <f t="array" ref="D119">_xlfn.IFS(Table2[[#This Row],[Age]]&lt;=11,"Gen A",Table2[[#This Row],[Age]]&lt;=27,"Gen Z",Table2[[#This Row],[Age]]&lt;=43,"Millenials",Table2[[#This Row],[Age]]&lt;=59,"Gen X",Table2[[#This Row],[Age]]&lt;=78,"Baby Boomers",Table2[[#This Row],[Age]]&lt;=96,"Silent",Table2[[#This Row],[Age]]&gt;=97,"Greatest")</f>
        <v>Gen X</v>
      </c>
      <c r="E119" s="1">
        <v>79000</v>
      </c>
      <c r="F119">
        <v>59</v>
      </c>
      <c r="G119" t="str" cm="1">
        <f t="array" ref="G119">_xlfn.IFS(Table2[[#This Row],[Spending Score (1-100)]]&lt;=25,"Low",Table2[[#This Row],[Spending Score (1-100)]]&lt;=50,"Medium",Table2[[#This Row],[Spending Score (1-100)]]&lt;=75,"High",Table2[[#This Row],[Spending Score (1-100)]]&lt;=100,"Very High")</f>
        <v>High</v>
      </c>
      <c r="H119" t="s">
        <v>14</v>
      </c>
      <c r="I119">
        <v>0</v>
      </c>
      <c r="J119" t="str">
        <f>CONCATENATE(Table2[[#This Row],[Work Experience]],"years")</f>
        <v>0years</v>
      </c>
      <c r="K119" t="str">
        <f>CONCATENATE(Table2[[#This Row],[Family Size2]],"members")</f>
        <v>2members</v>
      </c>
      <c r="L119" t="str">
        <f>CONCATENATE(Table2[[#This Row],[Family Size2]],"members")</f>
        <v>2members</v>
      </c>
      <c r="M119">
        <v>2</v>
      </c>
    </row>
    <row r="120" spans="1:13">
      <c r="A120">
        <v>119</v>
      </c>
      <c r="B120" t="s">
        <v>11</v>
      </c>
      <c r="C120">
        <v>51</v>
      </c>
      <c r="D120" t="str" cm="1">
        <f t="array" ref="D120">_xlfn.IFS(Table2[[#This Row],[Age]]&lt;=11,"Gen A",Table2[[#This Row],[Age]]&lt;=27,"Gen Z",Table2[[#This Row],[Age]]&lt;=43,"Millenials",Table2[[#This Row],[Age]]&lt;=59,"Gen X",Table2[[#This Row],[Age]]&lt;=78,"Baby Boomers",Table2[[#This Row],[Age]]&lt;=96,"Silent",Table2[[#This Row],[Age]]&gt;=97,"Greatest")</f>
        <v>Gen X</v>
      </c>
      <c r="E120" s="1">
        <v>84000</v>
      </c>
      <c r="F120">
        <v>43</v>
      </c>
      <c r="G120" t="str" cm="1">
        <f t="array" ref="G120">_xlfn.IFS(Table2[[#This Row],[Spending Score (1-100)]]&lt;=25,"Low",Table2[[#This Row],[Spending Score (1-100)]]&lt;=50,"Medium",Table2[[#This Row],[Spending Score (1-100)]]&lt;=75,"High",Table2[[#This Row],[Spending Score (1-100)]]&lt;=100,"Very High")</f>
        <v>Medium</v>
      </c>
      <c r="H120" t="s">
        <v>19</v>
      </c>
      <c r="I120">
        <v>2</v>
      </c>
      <c r="J120" t="str">
        <f>CONCATENATE(Table2[[#This Row],[Work Experience]],"years")</f>
        <v>2years</v>
      </c>
      <c r="K120" t="str">
        <f>CONCATENATE(Table2[[#This Row],[Family Size2]],"members")</f>
        <v>7members</v>
      </c>
      <c r="L120" t="str">
        <f>CONCATENATE(Table2[[#This Row],[Family Size2]],"members")</f>
        <v>7members</v>
      </c>
      <c r="M120">
        <v>7</v>
      </c>
    </row>
    <row r="121" spans="1:13">
      <c r="A121">
        <v>120</v>
      </c>
      <c r="B121" t="s">
        <v>11</v>
      </c>
      <c r="C121">
        <v>50</v>
      </c>
      <c r="D121" t="str" cm="1">
        <f t="array" ref="D121">_xlfn.IFS(Table2[[#This Row],[Age]]&lt;=11,"Gen A",Table2[[#This Row],[Age]]&lt;=27,"Gen Z",Table2[[#This Row],[Age]]&lt;=43,"Millenials",Table2[[#This Row],[Age]]&lt;=59,"Gen X",Table2[[#This Row],[Age]]&lt;=78,"Baby Boomers",Table2[[#This Row],[Age]]&lt;=96,"Silent",Table2[[#This Row],[Age]]&gt;=97,"Greatest")</f>
        <v>Gen X</v>
      </c>
      <c r="E121" s="1">
        <v>87000</v>
      </c>
      <c r="F121">
        <v>57</v>
      </c>
      <c r="G121" t="str" cm="1">
        <f t="array" ref="G121">_xlfn.IFS(Table2[[#This Row],[Spending Score (1-100)]]&lt;=25,"Low",Table2[[#This Row],[Spending Score (1-100)]]&lt;=50,"Medium",Table2[[#This Row],[Spending Score (1-100)]]&lt;=75,"High",Table2[[#This Row],[Spending Score (1-100)]]&lt;=100,"Very High")</f>
        <v>High</v>
      </c>
      <c r="H121" t="s">
        <v>14</v>
      </c>
      <c r="I121">
        <v>1</v>
      </c>
      <c r="J121" t="str">
        <f>CONCATENATE(Table2[[#This Row],[Work Experience]],"years")</f>
        <v>1years</v>
      </c>
      <c r="K121" t="str">
        <f>CONCATENATE(Table2[[#This Row],[Family Size2]],"members")</f>
        <v>2members</v>
      </c>
      <c r="L121" t="str">
        <f>CONCATENATE(Table2[[#This Row],[Family Size2]],"members")</f>
        <v>2members</v>
      </c>
      <c r="M121">
        <v>2</v>
      </c>
    </row>
    <row r="122" spans="1:13">
      <c r="A122">
        <v>121</v>
      </c>
      <c r="B122" t="s">
        <v>8</v>
      </c>
      <c r="C122">
        <v>27</v>
      </c>
      <c r="D122" t="str" cm="1">
        <f t="array" ref="D122">_xlfn.IFS(Table2[[#This Row],[Age]]&lt;=11,"Gen A",Table2[[#This Row],[Age]]&lt;=27,"Gen Z",Table2[[#This Row],[Age]]&lt;=43,"Millenials",Table2[[#This Row],[Age]]&lt;=59,"Gen X",Table2[[#This Row],[Age]]&lt;=78,"Baby Boomers",Table2[[#This Row],[Age]]&lt;=96,"Silent",Table2[[#This Row],[Age]]&gt;=97,"Greatest")</f>
        <v>Gen Z</v>
      </c>
      <c r="E122" s="1">
        <v>36000</v>
      </c>
      <c r="F122">
        <v>56</v>
      </c>
      <c r="G122" t="str" cm="1">
        <f t="array" ref="G122">_xlfn.IFS(Table2[[#This Row],[Spending Score (1-100)]]&lt;=25,"Low",Table2[[#This Row],[Spending Score (1-100)]]&lt;=50,"Medium",Table2[[#This Row],[Spending Score (1-100)]]&lt;=75,"High",Table2[[#This Row],[Spending Score (1-100)]]&lt;=100,"Very High")</f>
        <v>High</v>
      </c>
      <c r="H122" t="s">
        <v>15</v>
      </c>
      <c r="I122">
        <v>0</v>
      </c>
      <c r="J122" t="str">
        <f>CONCATENATE(Table2[[#This Row],[Work Experience]],"years")</f>
        <v>0years</v>
      </c>
      <c r="K122" t="str">
        <f>CONCATENATE(Table2[[#This Row],[Family Size2]],"members")</f>
        <v>3members</v>
      </c>
      <c r="L122" t="str">
        <f>CONCATENATE(Table2[[#This Row],[Family Size2]],"members")</f>
        <v>3members</v>
      </c>
      <c r="M122">
        <v>3</v>
      </c>
    </row>
    <row r="123" spans="1:13">
      <c r="A123">
        <v>122</v>
      </c>
      <c r="B123" t="s">
        <v>11</v>
      </c>
      <c r="C123">
        <v>38</v>
      </c>
      <c r="D123" t="str" cm="1">
        <f t="array" ref="D123">_xlfn.IFS(Table2[[#This Row],[Age]]&lt;=11,"Gen A",Table2[[#This Row],[Age]]&lt;=27,"Gen Z",Table2[[#This Row],[Age]]&lt;=43,"Millenials",Table2[[#This Row],[Age]]&lt;=59,"Gen X",Table2[[#This Row],[Age]]&lt;=78,"Baby Boomers",Table2[[#This Row],[Age]]&lt;=96,"Silent",Table2[[#This Row],[Age]]&gt;=97,"Greatest")</f>
        <v>Millenials</v>
      </c>
      <c r="E123" s="1">
        <v>50000</v>
      </c>
      <c r="F123">
        <v>40</v>
      </c>
      <c r="G123" t="str" cm="1">
        <f t="array" ref="G123">_xlfn.IFS(Table2[[#This Row],[Spending Score (1-100)]]&lt;=25,"Low",Table2[[#This Row],[Spending Score (1-100)]]&lt;=50,"Medium",Table2[[#This Row],[Spending Score (1-100)]]&lt;=75,"High",Table2[[#This Row],[Spending Score (1-100)]]&lt;=100,"Very High")</f>
        <v>Medium</v>
      </c>
      <c r="H123" t="s">
        <v>15</v>
      </c>
      <c r="I123">
        <v>1</v>
      </c>
      <c r="J123" t="str">
        <f>CONCATENATE(Table2[[#This Row],[Work Experience]],"years")</f>
        <v>1years</v>
      </c>
      <c r="K123" t="str">
        <f>CONCATENATE(Table2[[#This Row],[Family Size2]],"members")</f>
        <v>4members</v>
      </c>
      <c r="L123" t="str">
        <f>CONCATENATE(Table2[[#This Row],[Family Size2]],"members")</f>
        <v>4members</v>
      </c>
      <c r="M123">
        <v>4</v>
      </c>
    </row>
    <row r="124" spans="1:13">
      <c r="A124">
        <v>123</v>
      </c>
      <c r="B124" t="s">
        <v>11</v>
      </c>
      <c r="C124">
        <v>40</v>
      </c>
      <c r="D124" t="str" cm="1">
        <f t="array" ref="D124">_xlfn.IFS(Table2[[#This Row],[Age]]&lt;=11,"Gen A",Table2[[#This Row],[Age]]&lt;=27,"Gen Z",Table2[[#This Row],[Age]]&lt;=43,"Millenials",Table2[[#This Row],[Age]]&lt;=59,"Gen X",Table2[[#This Row],[Age]]&lt;=78,"Baby Boomers",Table2[[#This Row],[Age]]&lt;=96,"Silent",Table2[[#This Row],[Age]]&gt;=97,"Greatest")</f>
        <v>Millenials</v>
      </c>
      <c r="E124" s="1">
        <v>97000</v>
      </c>
      <c r="F124">
        <v>58</v>
      </c>
      <c r="G124" t="str" cm="1">
        <f t="array" ref="G124">_xlfn.IFS(Table2[[#This Row],[Spending Score (1-100)]]&lt;=25,"Low",Table2[[#This Row],[Spending Score (1-100)]]&lt;=50,"Medium",Table2[[#This Row],[Spending Score (1-100)]]&lt;=75,"High",Table2[[#This Row],[Spending Score (1-100)]]&lt;=100,"Very High")</f>
        <v>High</v>
      </c>
      <c r="H124" t="s">
        <v>10</v>
      </c>
      <c r="I124">
        <v>9</v>
      </c>
      <c r="J124" t="str">
        <f>CONCATENATE(Table2[[#This Row],[Work Experience]],"years")</f>
        <v>9years</v>
      </c>
      <c r="K124" t="str">
        <f>CONCATENATE(Table2[[#This Row],[Family Size2]],"members")</f>
        <v>4members</v>
      </c>
      <c r="L124" t="str">
        <f>CONCATENATE(Table2[[#This Row],[Family Size2]],"members")</f>
        <v>4members</v>
      </c>
      <c r="M124">
        <v>4</v>
      </c>
    </row>
    <row r="125" spans="1:13">
      <c r="A125">
        <v>124</v>
      </c>
      <c r="B125" t="s">
        <v>8</v>
      </c>
      <c r="C125">
        <v>39</v>
      </c>
      <c r="D125" t="str" cm="1">
        <f t="array" ref="D125">_xlfn.IFS(Table2[[#This Row],[Age]]&lt;=11,"Gen A",Table2[[#This Row],[Age]]&lt;=27,"Gen Z",Table2[[#This Row],[Age]]&lt;=43,"Millenials",Table2[[#This Row],[Age]]&lt;=59,"Gen X",Table2[[#This Row],[Age]]&lt;=78,"Baby Boomers",Table2[[#This Row],[Age]]&lt;=96,"Silent",Table2[[#This Row],[Age]]&gt;=97,"Greatest")</f>
        <v>Millenials</v>
      </c>
      <c r="E125" s="1">
        <v>6000</v>
      </c>
      <c r="F125">
        <v>91</v>
      </c>
      <c r="G125" t="str" cm="1">
        <f t="array" ref="G125">_xlfn.IFS(Table2[[#This Row],[Spending Score (1-100)]]&lt;=25,"Low",Table2[[#This Row],[Spending Score (1-100)]]&lt;=50,"Medium",Table2[[#This Row],[Spending Score (1-100)]]&lt;=75,"High",Table2[[#This Row],[Spending Score (1-100)]]&lt;=100,"Very High")</f>
        <v>Very High</v>
      </c>
      <c r="H125" t="s">
        <v>9</v>
      </c>
      <c r="I125">
        <v>1</v>
      </c>
      <c r="J125" t="str">
        <f>CONCATENATE(Table2[[#This Row],[Work Experience]],"years")</f>
        <v>1years</v>
      </c>
      <c r="K125" t="str">
        <f>CONCATENATE(Table2[[#This Row],[Family Size2]],"members")</f>
        <v>3members</v>
      </c>
      <c r="L125" t="str">
        <f>CONCATENATE(Table2[[#This Row],[Family Size2]],"members")</f>
        <v>3members</v>
      </c>
      <c r="M125">
        <v>3</v>
      </c>
    </row>
    <row r="126" spans="1:13">
      <c r="A126">
        <v>125</v>
      </c>
      <c r="B126" t="s">
        <v>11</v>
      </c>
      <c r="C126">
        <v>23</v>
      </c>
      <c r="D126" t="str" cm="1">
        <f t="array" ref="D126">_xlfn.IFS(Table2[[#This Row],[Age]]&lt;=11,"Gen A",Table2[[#This Row],[Age]]&lt;=27,"Gen Z",Table2[[#This Row],[Age]]&lt;=43,"Millenials",Table2[[#This Row],[Age]]&lt;=59,"Gen X",Table2[[#This Row],[Age]]&lt;=78,"Baby Boomers",Table2[[#This Row],[Age]]&lt;=96,"Silent",Table2[[#This Row],[Age]]&gt;=97,"Greatest")</f>
        <v>Gen Z</v>
      </c>
      <c r="E126" s="1">
        <v>12000</v>
      </c>
      <c r="F126">
        <v>29</v>
      </c>
      <c r="G126" t="str" cm="1">
        <f t="array" ref="G126">_xlfn.IFS(Table2[[#This Row],[Spending Score (1-100)]]&lt;=25,"Low",Table2[[#This Row],[Spending Score (1-100)]]&lt;=50,"Medium",Table2[[#This Row],[Spending Score (1-100)]]&lt;=75,"High",Table2[[#This Row],[Spending Score (1-100)]]&lt;=100,"Very High")</f>
        <v>Medium</v>
      </c>
      <c r="H126" t="s">
        <v>13</v>
      </c>
      <c r="I126">
        <v>9</v>
      </c>
      <c r="J126" t="str">
        <f>CONCATENATE(Table2[[#This Row],[Work Experience]],"years")</f>
        <v>9years</v>
      </c>
      <c r="K126" t="str">
        <f>CONCATENATE(Table2[[#This Row],[Family Size2]],"members")</f>
        <v>2members</v>
      </c>
      <c r="L126" t="str">
        <f>CONCATENATE(Table2[[#This Row],[Family Size2]],"members")</f>
        <v>2members</v>
      </c>
      <c r="M126">
        <v>2</v>
      </c>
    </row>
    <row r="127" spans="1:13">
      <c r="A127">
        <v>126</v>
      </c>
      <c r="B127" t="s">
        <v>11</v>
      </c>
      <c r="C127">
        <v>31</v>
      </c>
      <c r="D127" t="str" cm="1">
        <f t="array" ref="D127">_xlfn.IFS(Table2[[#This Row],[Age]]&lt;=11,"Gen A",Table2[[#This Row],[Age]]&lt;=27,"Gen Z",Table2[[#This Row],[Age]]&lt;=43,"Millenials",Table2[[#This Row],[Age]]&lt;=59,"Gen X",Table2[[#This Row],[Age]]&lt;=78,"Baby Boomers",Table2[[#This Row],[Age]]&lt;=96,"Silent",Table2[[#This Row],[Age]]&gt;=97,"Greatest")</f>
        <v>Millenials</v>
      </c>
      <c r="E127" s="1">
        <v>46000</v>
      </c>
      <c r="F127">
        <v>77</v>
      </c>
      <c r="G127" t="str" cm="1">
        <f t="array" ref="G127">_xlfn.IFS(Table2[[#This Row],[Spending Score (1-100)]]&lt;=25,"Low",Table2[[#This Row],[Spending Score (1-100)]]&lt;=50,"Medium",Table2[[#This Row],[Spending Score (1-100)]]&lt;=75,"High",Table2[[#This Row],[Spending Score (1-100)]]&lt;=100,"Very High")</f>
        <v>Very High</v>
      </c>
      <c r="H127" t="s">
        <v>18</v>
      </c>
      <c r="I127">
        <v>1</v>
      </c>
      <c r="J127" t="str">
        <f>CONCATENATE(Table2[[#This Row],[Work Experience]],"years")</f>
        <v>1years</v>
      </c>
      <c r="K127" t="str">
        <f>CONCATENATE(Table2[[#This Row],[Family Size2]],"members")</f>
        <v>2members</v>
      </c>
      <c r="L127" t="str">
        <f>CONCATENATE(Table2[[#This Row],[Family Size2]],"members")</f>
        <v>2members</v>
      </c>
      <c r="M127">
        <v>2</v>
      </c>
    </row>
    <row r="128" spans="1:13">
      <c r="A128">
        <v>127</v>
      </c>
      <c r="B128" t="s">
        <v>8</v>
      </c>
      <c r="C128">
        <v>43</v>
      </c>
      <c r="D128" t="str" cm="1">
        <f t="array" ref="D128">_xlfn.IFS(Table2[[#This Row],[Age]]&lt;=11,"Gen A",Table2[[#This Row],[Age]]&lt;=27,"Gen Z",Table2[[#This Row],[Age]]&lt;=43,"Millenials",Table2[[#This Row],[Age]]&lt;=59,"Gen X",Table2[[#This Row],[Age]]&lt;=78,"Baby Boomers",Table2[[#This Row],[Age]]&lt;=96,"Silent",Table2[[#This Row],[Age]]&gt;=97,"Greatest")</f>
        <v>Millenials</v>
      </c>
      <c r="E128" s="1">
        <v>89000</v>
      </c>
      <c r="F128">
        <v>35</v>
      </c>
      <c r="G128" t="str" cm="1">
        <f t="array" ref="G128">_xlfn.IFS(Table2[[#This Row],[Spending Score (1-100)]]&lt;=25,"Low",Table2[[#This Row],[Spending Score (1-100)]]&lt;=50,"Medium",Table2[[#This Row],[Spending Score (1-100)]]&lt;=75,"High",Table2[[#This Row],[Spending Score (1-100)]]&lt;=100,"Very High")</f>
        <v>Medium</v>
      </c>
      <c r="H128" t="s">
        <v>10</v>
      </c>
      <c r="I128">
        <v>0</v>
      </c>
      <c r="J128" t="str">
        <f>CONCATENATE(Table2[[#This Row],[Work Experience]],"years")</f>
        <v>0years</v>
      </c>
      <c r="K128" t="str">
        <f>CONCATENATE(Table2[[#This Row],[Family Size2]],"members")</f>
        <v>7members</v>
      </c>
      <c r="L128" t="str">
        <f>CONCATENATE(Table2[[#This Row],[Family Size2]],"members")</f>
        <v>7members</v>
      </c>
      <c r="M128">
        <v>7</v>
      </c>
    </row>
    <row r="129" spans="1:13">
      <c r="A129">
        <v>128</v>
      </c>
      <c r="B129" t="s">
        <v>8</v>
      </c>
      <c r="C129">
        <v>40</v>
      </c>
      <c r="D129" t="str" cm="1">
        <f t="array" ref="D129">_xlfn.IFS(Table2[[#This Row],[Age]]&lt;=11,"Gen A",Table2[[#This Row],[Age]]&lt;=27,"Gen Z",Table2[[#This Row],[Age]]&lt;=43,"Millenials",Table2[[#This Row],[Age]]&lt;=59,"Gen X",Table2[[#This Row],[Age]]&lt;=78,"Baby Boomers",Table2[[#This Row],[Age]]&lt;=96,"Silent",Table2[[#This Row],[Age]]&gt;=97,"Greatest")</f>
        <v>Millenials</v>
      </c>
      <c r="E129" s="1">
        <v>4000</v>
      </c>
      <c r="F129">
        <v>95</v>
      </c>
      <c r="G129" t="str" cm="1">
        <f t="array" ref="G129">_xlfn.IFS(Table2[[#This Row],[Spending Score (1-100)]]&lt;=25,"Low",Table2[[#This Row],[Spending Score (1-100)]]&lt;=50,"Medium",Table2[[#This Row],[Spending Score (1-100)]]&lt;=75,"High",Table2[[#This Row],[Spending Score (1-100)]]&lt;=100,"Very High")</f>
        <v>Very High</v>
      </c>
      <c r="H129" t="s">
        <v>14</v>
      </c>
      <c r="I129">
        <v>0</v>
      </c>
      <c r="J129" t="str">
        <f>CONCATENATE(Table2[[#This Row],[Work Experience]],"years")</f>
        <v>0years</v>
      </c>
      <c r="K129" t="str">
        <f>CONCATENATE(Table2[[#This Row],[Family Size2]],"members")</f>
        <v>2members</v>
      </c>
      <c r="L129" t="str">
        <f>CONCATENATE(Table2[[#This Row],[Family Size2]],"members")</f>
        <v>2members</v>
      </c>
      <c r="M129">
        <v>2</v>
      </c>
    </row>
    <row r="130" spans="1:13">
      <c r="A130">
        <v>129</v>
      </c>
      <c r="B130" t="s">
        <v>8</v>
      </c>
      <c r="C130">
        <v>59</v>
      </c>
      <c r="D130" t="str" cm="1">
        <f t="array" ref="D130">_xlfn.IFS(Table2[[#This Row],[Age]]&lt;=11,"Gen A",Table2[[#This Row],[Age]]&lt;=27,"Gen Z",Table2[[#This Row],[Age]]&lt;=43,"Millenials",Table2[[#This Row],[Age]]&lt;=59,"Gen X",Table2[[#This Row],[Age]]&lt;=78,"Baby Boomers",Table2[[#This Row],[Age]]&lt;=96,"Silent",Table2[[#This Row],[Age]]&gt;=97,"Greatest")</f>
        <v>Gen X</v>
      </c>
      <c r="E130" s="1">
        <v>38000</v>
      </c>
      <c r="F130">
        <v>11</v>
      </c>
      <c r="G130" t="str" cm="1">
        <f t="array" ref="G130">_xlfn.IFS(Table2[[#This Row],[Spending Score (1-100)]]&lt;=25,"Low",Table2[[#This Row],[Spending Score (1-100)]]&lt;=50,"Medium",Table2[[#This Row],[Spending Score (1-100)]]&lt;=75,"High",Table2[[#This Row],[Spending Score (1-100)]]&lt;=100,"Very High")</f>
        <v>Low</v>
      </c>
      <c r="H130" t="s">
        <v>10</v>
      </c>
      <c r="I130">
        <v>0</v>
      </c>
      <c r="J130" t="str">
        <f>CONCATENATE(Table2[[#This Row],[Work Experience]],"years")</f>
        <v>0years</v>
      </c>
      <c r="K130" t="str">
        <f>CONCATENATE(Table2[[#This Row],[Family Size2]],"members")</f>
        <v>2members</v>
      </c>
      <c r="L130" t="str">
        <f>CONCATENATE(Table2[[#This Row],[Family Size2]],"members")</f>
        <v>2members</v>
      </c>
      <c r="M130">
        <v>2</v>
      </c>
    </row>
    <row r="131" spans="1:13">
      <c r="A131">
        <v>130</v>
      </c>
      <c r="B131" t="s">
        <v>8</v>
      </c>
      <c r="C131">
        <v>38</v>
      </c>
      <c r="D131" t="str" cm="1">
        <f t="array" ref="D131">_xlfn.IFS(Table2[[#This Row],[Age]]&lt;=11,"Gen A",Table2[[#This Row],[Age]]&lt;=27,"Gen Z",Table2[[#This Row],[Age]]&lt;=43,"Millenials",Table2[[#This Row],[Age]]&lt;=59,"Gen X",Table2[[#This Row],[Age]]&lt;=78,"Baby Boomers",Table2[[#This Row],[Age]]&lt;=96,"Silent",Table2[[#This Row],[Age]]&gt;=97,"Greatest")</f>
        <v>Millenials</v>
      </c>
      <c r="E131" s="1">
        <v>64000</v>
      </c>
      <c r="F131">
        <v>75</v>
      </c>
      <c r="G131" t="str" cm="1">
        <f t="array" ref="G131">_xlfn.IFS(Table2[[#This Row],[Spending Score (1-100)]]&lt;=25,"Low",Table2[[#This Row],[Spending Score (1-100)]]&lt;=50,"Medium",Table2[[#This Row],[Spending Score (1-100)]]&lt;=75,"High",Table2[[#This Row],[Spending Score (1-100)]]&lt;=100,"Very High")</f>
        <v>High</v>
      </c>
      <c r="H131" t="s">
        <v>13</v>
      </c>
      <c r="I131">
        <v>8</v>
      </c>
      <c r="J131" t="str">
        <f>CONCATENATE(Table2[[#This Row],[Work Experience]],"years")</f>
        <v>8years</v>
      </c>
      <c r="K131" t="str">
        <f>CONCATENATE(Table2[[#This Row],[Family Size2]],"members")</f>
        <v>5members</v>
      </c>
      <c r="L131" t="str">
        <f>CONCATENATE(Table2[[#This Row],[Family Size2]],"members")</f>
        <v>5members</v>
      </c>
      <c r="M131">
        <v>5</v>
      </c>
    </row>
    <row r="132" spans="1:13">
      <c r="A132">
        <v>131</v>
      </c>
      <c r="B132" t="s">
        <v>8</v>
      </c>
      <c r="C132">
        <v>47</v>
      </c>
      <c r="D132" t="str" cm="1">
        <f t="array" ref="D132">_xlfn.IFS(Table2[[#This Row],[Age]]&lt;=11,"Gen A",Table2[[#This Row],[Age]]&lt;=27,"Gen Z",Table2[[#This Row],[Age]]&lt;=43,"Millenials",Table2[[#This Row],[Age]]&lt;=59,"Gen X",Table2[[#This Row],[Age]]&lt;=78,"Baby Boomers",Table2[[#This Row],[Age]]&lt;=96,"Silent",Table2[[#This Row],[Age]]&gt;=97,"Greatest")</f>
        <v>Gen X</v>
      </c>
      <c r="E132" s="1">
        <v>66000</v>
      </c>
      <c r="F132">
        <v>9</v>
      </c>
      <c r="G132" t="str" cm="1">
        <f t="array" ref="G132">_xlfn.IFS(Table2[[#This Row],[Spending Score (1-100)]]&lt;=25,"Low",Table2[[#This Row],[Spending Score (1-100)]]&lt;=50,"Medium",Table2[[#This Row],[Spending Score (1-100)]]&lt;=75,"High",Table2[[#This Row],[Spending Score (1-100)]]&lt;=100,"Very High")</f>
        <v>Low</v>
      </c>
      <c r="H132" t="s">
        <v>15</v>
      </c>
      <c r="I132">
        <v>9</v>
      </c>
      <c r="J132" t="str">
        <f>CONCATENATE(Table2[[#This Row],[Work Experience]],"years")</f>
        <v>9years</v>
      </c>
      <c r="K132" t="str">
        <f>CONCATENATE(Table2[[#This Row],[Family Size2]],"members")</f>
        <v>5members</v>
      </c>
      <c r="L132" t="str">
        <f>CONCATENATE(Table2[[#This Row],[Family Size2]],"members")</f>
        <v>5members</v>
      </c>
      <c r="M132">
        <v>5</v>
      </c>
    </row>
    <row r="133" spans="1:13">
      <c r="A133">
        <v>132</v>
      </c>
      <c r="B133" t="s">
        <v>8</v>
      </c>
      <c r="C133">
        <v>39</v>
      </c>
      <c r="D133" t="str" cm="1">
        <f t="array" ref="D133">_xlfn.IFS(Table2[[#This Row],[Age]]&lt;=11,"Gen A",Table2[[#This Row],[Age]]&lt;=27,"Gen Z",Table2[[#This Row],[Age]]&lt;=43,"Millenials",Table2[[#This Row],[Age]]&lt;=59,"Gen X",Table2[[#This Row],[Age]]&lt;=78,"Baby Boomers",Table2[[#This Row],[Age]]&lt;=96,"Silent",Table2[[#This Row],[Age]]&gt;=97,"Greatest")</f>
        <v>Millenials</v>
      </c>
      <c r="E133" s="1">
        <v>26000</v>
      </c>
      <c r="F133">
        <v>75</v>
      </c>
      <c r="G133" t="str" cm="1">
        <f t="array" ref="G133">_xlfn.IFS(Table2[[#This Row],[Spending Score (1-100)]]&lt;=25,"Low",Table2[[#This Row],[Spending Score (1-100)]]&lt;=50,"Medium",Table2[[#This Row],[Spending Score (1-100)]]&lt;=75,"High",Table2[[#This Row],[Spending Score (1-100)]]&lt;=100,"Very High")</f>
        <v>High</v>
      </c>
      <c r="H133" t="s">
        <v>12</v>
      </c>
      <c r="I133">
        <v>0</v>
      </c>
      <c r="J133" t="str">
        <f>CONCATENATE(Table2[[#This Row],[Work Experience]],"years")</f>
        <v>0years</v>
      </c>
      <c r="K133" t="str">
        <f>CONCATENATE(Table2[[#This Row],[Family Size2]],"members")</f>
        <v>2members</v>
      </c>
      <c r="L133" t="str">
        <f>CONCATENATE(Table2[[#This Row],[Family Size2]],"members")</f>
        <v>2members</v>
      </c>
      <c r="M133">
        <v>2</v>
      </c>
    </row>
    <row r="134" spans="1:13">
      <c r="A134">
        <v>133</v>
      </c>
      <c r="B134" t="s">
        <v>11</v>
      </c>
      <c r="C134">
        <v>25</v>
      </c>
      <c r="D134" t="str" cm="1">
        <f t="array" ref="D134">_xlfn.IFS(Table2[[#This Row],[Age]]&lt;=11,"Gen A",Table2[[#This Row],[Age]]&lt;=27,"Gen Z",Table2[[#This Row],[Age]]&lt;=43,"Millenials",Table2[[#This Row],[Age]]&lt;=59,"Gen X",Table2[[#This Row],[Age]]&lt;=78,"Baby Boomers",Table2[[#This Row],[Age]]&lt;=96,"Silent",Table2[[#This Row],[Age]]&gt;=97,"Greatest")</f>
        <v>Gen Z</v>
      </c>
      <c r="E134" s="1">
        <v>41000</v>
      </c>
      <c r="F134">
        <v>34</v>
      </c>
      <c r="G134" t="str" cm="1">
        <f t="array" ref="G134">_xlfn.IFS(Table2[[#This Row],[Spending Score (1-100)]]&lt;=25,"Low",Table2[[#This Row],[Spending Score (1-100)]]&lt;=50,"Medium",Table2[[#This Row],[Spending Score (1-100)]]&lt;=75,"High",Table2[[#This Row],[Spending Score (1-100)]]&lt;=100,"Very High")</f>
        <v>Medium</v>
      </c>
      <c r="H134" t="s">
        <v>9</v>
      </c>
      <c r="I134">
        <v>6</v>
      </c>
      <c r="J134" t="str">
        <f>CONCATENATE(Table2[[#This Row],[Work Experience]],"years")</f>
        <v>6years</v>
      </c>
      <c r="K134" t="str">
        <f>CONCATENATE(Table2[[#This Row],[Family Size2]],"members")</f>
        <v>4members</v>
      </c>
      <c r="L134" t="str">
        <f>CONCATENATE(Table2[[#This Row],[Family Size2]],"members")</f>
        <v>4members</v>
      </c>
      <c r="M134">
        <v>4</v>
      </c>
    </row>
    <row r="135" spans="1:13">
      <c r="A135">
        <v>134</v>
      </c>
      <c r="B135" t="s">
        <v>11</v>
      </c>
      <c r="C135">
        <v>31</v>
      </c>
      <c r="D135" t="str" cm="1">
        <f t="array" ref="D135">_xlfn.IFS(Table2[[#This Row],[Age]]&lt;=11,"Gen A",Table2[[#This Row],[Age]]&lt;=27,"Gen Z",Table2[[#This Row],[Age]]&lt;=43,"Millenials",Table2[[#This Row],[Age]]&lt;=59,"Gen X",Table2[[#This Row],[Age]]&lt;=78,"Baby Boomers",Table2[[#This Row],[Age]]&lt;=96,"Silent",Table2[[#This Row],[Age]]&gt;=97,"Greatest")</f>
        <v>Millenials</v>
      </c>
      <c r="E135" s="1">
        <v>45000</v>
      </c>
      <c r="F135">
        <v>71</v>
      </c>
      <c r="G135" t="str" cm="1">
        <f t="array" ref="G135">_xlfn.IFS(Table2[[#This Row],[Spending Score (1-100)]]&lt;=25,"Low",Table2[[#This Row],[Spending Score (1-100)]]&lt;=50,"Medium",Table2[[#This Row],[Spending Score (1-100)]]&lt;=75,"High",Table2[[#This Row],[Spending Score (1-100)]]&lt;=100,"Very High")</f>
        <v>High</v>
      </c>
      <c r="H135" t="s">
        <v>14</v>
      </c>
      <c r="I135">
        <v>5</v>
      </c>
      <c r="J135" t="str">
        <f>CONCATENATE(Table2[[#This Row],[Work Experience]],"years")</f>
        <v>5years</v>
      </c>
      <c r="K135" t="str">
        <f>CONCATENATE(Table2[[#This Row],[Family Size2]],"members")</f>
        <v>1members</v>
      </c>
      <c r="L135" t="str">
        <f>CONCATENATE(Table2[[#This Row],[Family Size2]],"members")</f>
        <v>1members</v>
      </c>
      <c r="M135">
        <v>1</v>
      </c>
    </row>
    <row r="136" spans="1:13">
      <c r="A136">
        <v>135</v>
      </c>
      <c r="B136" t="s">
        <v>8</v>
      </c>
      <c r="C136">
        <v>20</v>
      </c>
      <c r="D136" t="str" cm="1">
        <f t="array" ref="D136">_xlfn.IFS(Table2[[#This Row],[Age]]&lt;=11,"Gen A",Table2[[#This Row],[Age]]&lt;=27,"Gen Z",Table2[[#This Row],[Age]]&lt;=43,"Millenials",Table2[[#This Row],[Age]]&lt;=59,"Gen X",Table2[[#This Row],[Age]]&lt;=78,"Baby Boomers",Table2[[#This Row],[Age]]&lt;=96,"Silent",Table2[[#This Row],[Age]]&gt;=97,"Greatest")</f>
        <v>Gen Z</v>
      </c>
      <c r="E136" s="1">
        <v>89000</v>
      </c>
      <c r="F136">
        <v>5</v>
      </c>
      <c r="G136" t="str" cm="1">
        <f t="array" ref="G136">_xlfn.IFS(Table2[[#This Row],[Spending Score (1-100)]]&lt;=25,"Low",Table2[[#This Row],[Spending Score (1-100)]]&lt;=50,"Medium",Table2[[#This Row],[Spending Score (1-100)]]&lt;=75,"High",Table2[[#This Row],[Spending Score (1-100)]]&lt;=100,"Very High")</f>
        <v>Low</v>
      </c>
      <c r="H136" t="s">
        <v>10</v>
      </c>
      <c r="I136">
        <v>1</v>
      </c>
      <c r="J136" t="str">
        <f>CONCATENATE(Table2[[#This Row],[Work Experience]],"years")</f>
        <v>1years</v>
      </c>
      <c r="K136" t="str">
        <f>CONCATENATE(Table2[[#This Row],[Family Size2]],"members")</f>
        <v>2members</v>
      </c>
      <c r="L136" t="str">
        <f>CONCATENATE(Table2[[#This Row],[Family Size2]],"members")</f>
        <v>2members</v>
      </c>
      <c r="M136">
        <v>2</v>
      </c>
    </row>
    <row r="137" spans="1:13">
      <c r="A137">
        <v>136</v>
      </c>
      <c r="B137" t="s">
        <v>11</v>
      </c>
      <c r="C137">
        <v>29</v>
      </c>
      <c r="D137" t="str" cm="1">
        <f t="array" ref="D137">_xlfn.IFS(Table2[[#This Row],[Age]]&lt;=11,"Gen A",Table2[[#This Row],[Age]]&lt;=27,"Gen Z",Table2[[#This Row],[Age]]&lt;=43,"Millenials",Table2[[#This Row],[Age]]&lt;=59,"Gen X",Table2[[#This Row],[Age]]&lt;=78,"Baby Boomers",Table2[[#This Row],[Age]]&lt;=96,"Silent",Table2[[#This Row],[Age]]&gt;=97,"Greatest")</f>
        <v>Millenials</v>
      </c>
      <c r="E137" s="1">
        <v>92000</v>
      </c>
      <c r="F137">
        <v>88</v>
      </c>
      <c r="G137" t="str" cm="1">
        <f t="array" ref="G137">_xlfn.IFS(Table2[[#This Row],[Spending Score (1-100)]]&lt;=25,"Low",Table2[[#This Row],[Spending Score (1-100)]]&lt;=50,"Medium",Table2[[#This Row],[Spending Score (1-100)]]&lt;=75,"High",Table2[[#This Row],[Spending Score (1-100)]]&lt;=100,"Very High")</f>
        <v>Very High</v>
      </c>
      <c r="H137" t="s">
        <v>15</v>
      </c>
      <c r="I137">
        <v>5</v>
      </c>
      <c r="J137" t="str">
        <f>CONCATENATE(Table2[[#This Row],[Work Experience]],"years")</f>
        <v>5years</v>
      </c>
      <c r="K137" t="str">
        <f>CONCATENATE(Table2[[#This Row],[Family Size2]],"members")</f>
        <v>5members</v>
      </c>
      <c r="L137" t="str">
        <f>CONCATENATE(Table2[[#This Row],[Family Size2]],"members")</f>
        <v>5members</v>
      </c>
      <c r="M137">
        <v>5</v>
      </c>
    </row>
    <row r="138" spans="1:13">
      <c r="A138">
        <v>137</v>
      </c>
      <c r="B138" t="s">
        <v>11</v>
      </c>
      <c r="C138">
        <v>44</v>
      </c>
      <c r="D138" t="str" cm="1">
        <f t="array" ref="D138">_xlfn.IFS(Table2[[#This Row],[Age]]&lt;=11,"Gen A",Table2[[#This Row],[Age]]&lt;=27,"Gen Z",Table2[[#This Row],[Age]]&lt;=43,"Millenials",Table2[[#This Row],[Age]]&lt;=59,"Gen X",Table2[[#This Row],[Age]]&lt;=78,"Baby Boomers",Table2[[#This Row],[Age]]&lt;=96,"Silent",Table2[[#This Row],[Age]]&gt;=97,"Greatest")</f>
        <v>Gen X</v>
      </c>
      <c r="E138" s="1">
        <v>76000</v>
      </c>
      <c r="F138">
        <v>7</v>
      </c>
      <c r="G138" t="str" cm="1">
        <f t="array" ref="G138">_xlfn.IFS(Table2[[#This Row],[Spending Score (1-100)]]&lt;=25,"Low",Table2[[#This Row],[Spending Score (1-100)]]&lt;=50,"Medium",Table2[[#This Row],[Spending Score (1-100)]]&lt;=75,"High",Table2[[#This Row],[Spending Score (1-100)]]&lt;=100,"Very High")</f>
        <v>Low</v>
      </c>
      <c r="H138" t="s">
        <v>14</v>
      </c>
      <c r="I138">
        <v>5</v>
      </c>
      <c r="J138" t="str">
        <f>CONCATENATE(Table2[[#This Row],[Work Experience]],"years")</f>
        <v>5years</v>
      </c>
      <c r="K138" t="str">
        <f>CONCATENATE(Table2[[#This Row],[Family Size2]],"members")</f>
        <v>2members</v>
      </c>
      <c r="L138" t="str">
        <f>CONCATENATE(Table2[[#This Row],[Family Size2]],"members")</f>
        <v>2members</v>
      </c>
      <c r="M138">
        <v>2</v>
      </c>
    </row>
    <row r="139" spans="1:13">
      <c r="A139">
        <v>138</v>
      </c>
      <c r="B139" t="s">
        <v>8</v>
      </c>
      <c r="C139">
        <v>32</v>
      </c>
      <c r="D139" t="str" cm="1">
        <f t="array" ref="D139">_xlfn.IFS(Table2[[#This Row],[Age]]&lt;=11,"Gen A",Table2[[#This Row],[Age]]&lt;=27,"Gen Z",Table2[[#This Row],[Age]]&lt;=43,"Millenials",Table2[[#This Row],[Age]]&lt;=59,"Gen X",Table2[[#This Row],[Age]]&lt;=78,"Baby Boomers",Table2[[#This Row],[Age]]&lt;=96,"Silent",Table2[[#This Row],[Age]]&gt;=97,"Greatest")</f>
        <v>Millenials</v>
      </c>
      <c r="E139" s="1">
        <v>85000</v>
      </c>
      <c r="F139">
        <v>73</v>
      </c>
      <c r="G139" t="str" cm="1">
        <f t="array" ref="G139">_xlfn.IFS(Table2[[#This Row],[Spending Score (1-100)]]&lt;=25,"Low",Table2[[#This Row],[Spending Score (1-100)]]&lt;=50,"Medium",Table2[[#This Row],[Spending Score (1-100)]]&lt;=75,"High",Table2[[#This Row],[Spending Score (1-100)]]&lt;=100,"Very High")</f>
        <v>High</v>
      </c>
      <c r="H139" t="s">
        <v>14</v>
      </c>
      <c r="I139">
        <v>3</v>
      </c>
      <c r="J139" t="str">
        <f>CONCATENATE(Table2[[#This Row],[Work Experience]],"years")</f>
        <v>3years</v>
      </c>
      <c r="K139" t="str">
        <f>CONCATENATE(Table2[[#This Row],[Family Size2]],"members")</f>
        <v>4members</v>
      </c>
      <c r="L139" t="str">
        <f>CONCATENATE(Table2[[#This Row],[Family Size2]],"members")</f>
        <v>4members</v>
      </c>
      <c r="M139">
        <v>4</v>
      </c>
    </row>
    <row r="140" spans="1:13">
      <c r="A140">
        <v>139</v>
      </c>
      <c r="B140" t="s">
        <v>8</v>
      </c>
      <c r="C140">
        <v>19</v>
      </c>
      <c r="D140" t="str" cm="1">
        <f t="array" ref="D140">_xlfn.IFS(Table2[[#This Row],[Age]]&lt;=11,"Gen A",Table2[[#This Row],[Age]]&lt;=27,"Gen Z",Table2[[#This Row],[Age]]&lt;=43,"Millenials",Table2[[#This Row],[Age]]&lt;=59,"Gen X",Table2[[#This Row],[Age]]&lt;=78,"Baby Boomers",Table2[[#This Row],[Age]]&lt;=96,"Silent",Table2[[#This Row],[Age]]&gt;=97,"Greatest")</f>
        <v>Gen Z</v>
      </c>
      <c r="E140" s="1">
        <v>22000</v>
      </c>
      <c r="F140">
        <v>10</v>
      </c>
      <c r="G140" t="str" cm="1">
        <f t="array" ref="G140">_xlfn.IFS(Table2[[#This Row],[Spending Score (1-100)]]&lt;=25,"Low",Table2[[#This Row],[Spending Score (1-100)]]&lt;=50,"Medium",Table2[[#This Row],[Spending Score (1-100)]]&lt;=75,"High",Table2[[#This Row],[Spending Score (1-100)]]&lt;=100,"Very High")</f>
        <v>Low</v>
      </c>
      <c r="H140" t="s">
        <v>18</v>
      </c>
      <c r="I140">
        <v>8</v>
      </c>
      <c r="J140" t="str">
        <f>CONCATENATE(Table2[[#This Row],[Work Experience]],"years")</f>
        <v>8years</v>
      </c>
      <c r="K140" t="str">
        <f>CONCATENATE(Table2[[#This Row],[Family Size2]],"members")</f>
        <v>4members</v>
      </c>
      <c r="L140" t="str">
        <f>CONCATENATE(Table2[[#This Row],[Family Size2]],"members")</f>
        <v>4members</v>
      </c>
      <c r="M140">
        <v>4</v>
      </c>
    </row>
    <row r="141" spans="1:13">
      <c r="A141">
        <v>140</v>
      </c>
      <c r="B141" t="s">
        <v>11</v>
      </c>
      <c r="C141">
        <v>35</v>
      </c>
      <c r="D141" t="str" cm="1">
        <f t="array" ref="D141">_xlfn.IFS(Table2[[#This Row],[Age]]&lt;=11,"Gen A",Table2[[#This Row],[Age]]&lt;=27,"Gen Z",Table2[[#This Row],[Age]]&lt;=43,"Millenials",Table2[[#This Row],[Age]]&lt;=59,"Gen X",Table2[[#This Row],[Age]]&lt;=78,"Baby Boomers",Table2[[#This Row],[Age]]&lt;=96,"Silent",Table2[[#This Row],[Age]]&gt;=97,"Greatest")</f>
        <v>Millenials</v>
      </c>
      <c r="E141" s="1">
        <v>15000</v>
      </c>
      <c r="F141">
        <v>72</v>
      </c>
      <c r="G141" t="str" cm="1">
        <f t="array" ref="G141">_xlfn.IFS(Table2[[#This Row],[Spending Score (1-100)]]&lt;=25,"Low",Table2[[#This Row],[Spending Score (1-100)]]&lt;=50,"Medium",Table2[[#This Row],[Spending Score (1-100)]]&lt;=75,"High",Table2[[#This Row],[Spending Score (1-100)]]&lt;=100,"Very High")</f>
        <v>High</v>
      </c>
      <c r="H141" t="s">
        <v>14</v>
      </c>
      <c r="I141">
        <v>4</v>
      </c>
      <c r="J141" t="str">
        <f>CONCATENATE(Table2[[#This Row],[Work Experience]],"years")</f>
        <v>4years</v>
      </c>
      <c r="K141" t="str">
        <f>CONCATENATE(Table2[[#This Row],[Family Size2]],"members")</f>
        <v>4members</v>
      </c>
      <c r="L141" t="str">
        <f>CONCATENATE(Table2[[#This Row],[Family Size2]],"members")</f>
        <v>4members</v>
      </c>
      <c r="M141">
        <v>4</v>
      </c>
    </row>
    <row r="142" spans="1:13">
      <c r="A142">
        <v>141</v>
      </c>
      <c r="B142" t="s">
        <v>11</v>
      </c>
      <c r="C142">
        <v>57</v>
      </c>
      <c r="D142" t="str" cm="1">
        <f t="array" ref="D142">_xlfn.IFS(Table2[[#This Row],[Age]]&lt;=11,"Gen A",Table2[[#This Row],[Age]]&lt;=27,"Gen Z",Table2[[#This Row],[Age]]&lt;=43,"Millenials",Table2[[#This Row],[Age]]&lt;=59,"Gen X",Table2[[#This Row],[Age]]&lt;=78,"Baby Boomers",Table2[[#This Row],[Age]]&lt;=96,"Silent",Table2[[#This Row],[Age]]&gt;=97,"Greatest")</f>
        <v>Gen X</v>
      </c>
      <c r="E142" s="1">
        <v>32000</v>
      </c>
      <c r="F142">
        <v>5</v>
      </c>
      <c r="G142" t="str" cm="1">
        <f t="array" ref="G142">_xlfn.IFS(Table2[[#This Row],[Spending Score (1-100)]]&lt;=25,"Low",Table2[[#This Row],[Spending Score (1-100)]]&lt;=50,"Medium",Table2[[#This Row],[Spending Score (1-100)]]&lt;=75,"High",Table2[[#This Row],[Spending Score (1-100)]]&lt;=100,"Very High")</f>
        <v>Low</v>
      </c>
      <c r="H142" t="s">
        <v>10</v>
      </c>
      <c r="I142">
        <v>0</v>
      </c>
      <c r="J142" t="str">
        <f>CONCATENATE(Table2[[#This Row],[Work Experience]],"years")</f>
        <v>0years</v>
      </c>
      <c r="K142" t="str">
        <f>CONCATENATE(Table2[[#This Row],[Family Size2]],"members")</f>
        <v>2members</v>
      </c>
      <c r="L142" t="str">
        <f>CONCATENATE(Table2[[#This Row],[Family Size2]],"members")</f>
        <v>2members</v>
      </c>
      <c r="M142">
        <v>2</v>
      </c>
    </row>
    <row r="143" spans="1:13">
      <c r="A143">
        <v>142</v>
      </c>
      <c r="B143" t="s">
        <v>8</v>
      </c>
      <c r="C143">
        <v>32</v>
      </c>
      <c r="D143" t="str" cm="1">
        <f t="array" ref="D143">_xlfn.IFS(Table2[[#This Row],[Age]]&lt;=11,"Gen A",Table2[[#This Row],[Age]]&lt;=27,"Gen Z",Table2[[#This Row],[Age]]&lt;=43,"Millenials",Table2[[#This Row],[Age]]&lt;=59,"Gen X",Table2[[#This Row],[Age]]&lt;=78,"Baby Boomers",Table2[[#This Row],[Age]]&lt;=96,"Silent",Table2[[#This Row],[Age]]&gt;=97,"Greatest")</f>
        <v>Millenials</v>
      </c>
      <c r="E143" s="1">
        <v>66000</v>
      </c>
      <c r="F143">
        <v>93</v>
      </c>
      <c r="G143" t="str" cm="1">
        <f t="array" ref="G143">_xlfn.IFS(Table2[[#This Row],[Spending Score (1-100)]]&lt;=25,"Low",Table2[[#This Row],[Spending Score (1-100)]]&lt;=50,"Medium",Table2[[#This Row],[Spending Score (1-100)]]&lt;=75,"High",Table2[[#This Row],[Spending Score (1-100)]]&lt;=100,"Very High")</f>
        <v>Very High</v>
      </c>
      <c r="H143" t="s">
        <v>14</v>
      </c>
      <c r="I143">
        <v>0</v>
      </c>
      <c r="J143" t="str">
        <f>CONCATENATE(Table2[[#This Row],[Work Experience]],"years")</f>
        <v>0years</v>
      </c>
      <c r="K143" t="str">
        <f>CONCATENATE(Table2[[#This Row],[Family Size2]],"members")</f>
        <v>5members</v>
      </c>
      <c r="L143" t="str">
        <f>CONCATENATE(Table2[[#This Row],[Family Size2]],"members")</f>
        <v>5members</v>
      </c>
      <c r="M143">
        <v>5</v>
      </c>
    </row>
    <row r="144" spans="1:13">
      <c r="A144">
        <v>143</v>
      </c>
      <c r="B144" t="s">
        <v>11</v>
      </c>
      <c r="C144">
        <v>28</v>
      </c>
      <c r="D144" t="str" cm="1">
        <f t="array" ref="D144">_xlfn.IFS(Table2[[#This Row],[Age]]&lt;=11,"Gen A",Table2[[#This Row],[Age]]&lt;=27,"Gen Z",Table2[[#This Row],[Age]]&lt;=43,"Millenials",Table2[[#This Row],[Age]]&lt;=59,"Gen X",Table2[[#This Row],[Age]]&lt;=78,"Baby Boomers",Table2[[#This Row],[Age]]&lt;=96,"Silent",Table2[[#This Row],[Age]]&gt;=97,"Greatest")</f>
        <v>Millenials</v>
      </c>
      <c r="E144" s="1">
        <v>62000</v>
      </c>
      <c r="F144">
        <v>40</v>
      </c>
      <c r="G144" t="str" cm="1">
        <f t="array" ref="G144">_xlfn.IFS(Table2[[#This Row],[Spending Score (1-100)]]&lt;=25,"Low",Table2[[#This Row],[Spending Score (1-100)]]&lt;=50,"Medium",Table2[[#This Row],[Spending Score (1-100)]]&lt;=75,"High",Table2[[#This Row],[Spending Score (1-100)]]&lt;=100,"Very High")</f>
        <v>Medium</v>
      </c>
      <c r="H144" t="s">
        <v>16</v>
      </c>
      <c r="I144">
        <v>5</v>
      </c>
      <c r="J144" t="str">
        <f>CONCATENATE(Table2[[#This Row],[Work Experience]],"years")</f>
        <v>5years</v>
      </c>
      <c r="K144" t="str">
        <f>CONCATENATE(Table2[[#This Row],[Family Size2]],"members")</f>
        <v>3members</v>
      </c>
      <c r="L144" t="str">
        <f>CONCATENATE(Table2[[#This Row],[Family Size2]],"members")</f>
        <v>3members</v>
      </c>
      <c r="M144">
        <v>3</v>
      </c>
    </row>
    <row r="145" spans="1:13">
      <c r="A145">
        <v>144</v>
      </c>
      <c r="B145" t="s">
        <v>11</v>
      </c>
      <c r="C145">
        <v>32</v>
      </c>
      <c r="D145" t="str" cm="1">
        <f t="array" ref="D145">_xlfn.IFS(Table2[[#This Row],[Age]]&lt;=11,"Gen A",Table2[[#This Row],[Age]]&lt;=27,"Gen Z",Table2[[#This Row],[Age]]&lt;=43,"Millenials",Table2[[#This Row],[Age]]&lt;=59,"Gen X",Table2[[#This Row],[Age]]&lt;=78,"Baby Boomers",Table2[[#This Row],[Age]]&lt;=96,"Silent",Table2[[#This Row],[Age]]&gt;=97,"Greatest")</f>
        <v>Millenials</v>
      </c>
      <c r="E145" s="1">
        <v>85000</v>
      </c>
      <c r="F145">
        <v>87</v>
      </c>
      <c r="G145" t="str" cm="1">
        <f t="array" ref="G145">_xlfn.IFS(Table2[[#This Row],[Spending Score (1-100)]]&lt;=25,"Low",Table2[[#This Row],[Spending Score (1-100)]]&lt;=50,"Medium",Table2[[#This Row],[Spending Score (1-100)]]&lt;=75,"High",Table2[[#This Row],[Spending Score (1-100)]]&lt;=100,"Very High")</f>
        <v>Very High</v>
      </c>
      <c r="H145" t="s">
        <v>12</v>
      </c>
      <c r="I145">
        <v>1</v>
      </c>
      <c r="J145" t="str">
        <f>CONCATENATE(Table2[[#This Row],[Work Experience]],"years")</f>
        <v>1years</v>
      </c>
      <c r="K145" t="str">
        <f>CONCATENATE(Table2[[#This Row],[Family Size2]],"members")</f>
        <v>2members</v>
      </c>
      <c r="L145" t="str">
        <f>CONCATENATE(Table2[[#This Row],[Family Size2]],"members")</f>
        <v>2members</v>
      </c>
      <c r="M145">
        <v>2</v>
      </c>
    </row>
    <row r="146" spans="1:13">
      <c r="A146">
        <v>145</v>
      </c>
      <c r="B146" t="s">
        <v>8</v>
      </c>
      <c r="C146">
        <v>25</v>
      </c>
      <c r="D146" t="str" cm="1">
        <f t="array" ref="D146">_xlfn.IFS(Table2[[#This Row],[Age]]&lt;=11,"Gen A",Table2[[#This Row],[Age]]&lt;=27,"Gen Z",Table2[[#This Row],[Age]]&lt;=43,"Millenials",Table2[[#This Row],[Age]]&lt;=59,"Gen X",Table2[[#This Row],[Age]]&lt;=78,"Baby Boomers",Table2[[#This Row],[Age]]&lt;=96,"Silent",Table2[[#This Row],[Age]]&gt;=97,"Greatest")</f>
        <v>Gen Z</v>
      </c>
      <c r="E146" s="1">
        <v>71000</v>
      </c>
      <c r="F146">
        <v>12</v>
      </c>
      <c r="G146" t="str" cm="1">
        <f t="array" ref="G146">_xlfn.IFS(Table2[[#This Row],[Spending Score (1-100)]]&lt;=25,"Low",Table2[[#This Row],[Spending Score (1-100)]]&lt;=50,"Medium",Table2[[#This Row],[Spending Score (1-100)]]&lt;=75,"High",Table2[[#This Row],[Spending Score (1-100)]]&lt;=100,"Very High")</f>
        <v>Low</v>
      </c>
      <c r="H146" t="s">
        <v>10</v>
      </c>
      <c r="I146">
        <v>0</v>
      </c>
      <c r="J146" t="str">
        <f>CONCATENATE(Table2[[#This Row],[Work Experience]],"years")</f>
        <v>0years</v>
      </c>
      <c r="K146" t="str">
        <f>CONCATENATE(Table2[[#This Row],[Family Size2]],"members")</f>
        <v>5members</v>
      </c>
      <c r="L146" t="str">
        <f>CONCATENATE(Table2[[#This Row],[Family Size2]],"members")</f>
        <v>5members</v>
      </c>
      <c r="M146">
        <v>5</v>
      </c>
    </row>
    <row r="147" spans="1:13">
      <c r="A147">
        <v>146</v>
      </c>
      <c r="B147" t="s">
        <v>8</v>
      </c>
      <c r="C147">
        <v>28</v>
      </c>
      <c r="D147" t="str" cm="1">
        <f t="array" ref="D147">_xlfn.IFS(Table2[[#This Row],[Age]]&lt;=11,"Gen A",Table2[[#This Row],[Age]]&lt;=27,"Gen Z",Table2[[#This Row],[Age]]&lt;=43,"Millenials",Table2[[#This Row],[Age]]&lt;=59,"Gen X",Table2[[#This Row],[Age]]&lt;=78,"Baby Boomers",Table2[[#This Row],[Age]]&lt;=96,"Silent",Table2[[#This Row],[Age]]&gt;=97,"Greatest")</f>
        <v>Millenials</v>
      </c>
      <c r="E147" s="1">
        <v>26000</v>
      </c>
      <c r="F147">
        <v>97</v>
      </c>
      <c r="G147" t="str" cm="1">
        <f t="array" ref="G147">_xlfn.IFS(Table2[[#This Row],[Spending Score (1-100)]]&lt;=25,"Low",Table2[[#This Row],[Spending Score (1-100)]]&lt;=50,"Medium",Table2[[#This Row],[Spending Score (1-100)]]&lt;=75,"High",Table2[[#This Row],[Spending Score (1-100)]]&lt;=100,"Very High")</f>
        <v>Very High</v>
      </c>
      <c r="H147" t="s">
        <v>18</v>
      </c>
      <c r="I147">
        <v>8</v>
      </c>
      <c r="J147" t="str">
        <f>CONCATENATE(Table2[[#This Row],[Work Experience]],"years")</f>
        <v>8years</v>
      </c>
      <c r="K147" t="str">
        <f>CONCATENATE(Table2[[#This Row],[Family Size2]],"members")</f>
        <v>5members</v>
      </c>
      <c r="L147" t="str">
        <f>CONCATENATE(Table2[[#This Row],[Family Size2]],"members")</f>
        <v>5members</v>
      </c>
      <c r="M147">
        <v>5</v>
      </c>
    </row>
    <row r="148" spans="1:13">
      <c r="A148">
        <v>147</v>
      </c>
      <c r="B148" t="s">
        <v>8</v>
      </c>
      <c r="C148">
        <v>48</v>
      </c>
      <c r="D148" t="str" cm="1">
        <f t="array" ref="D148">_xlfn.IFS(Table2[[#This Row],[Age]]&lt;=11,"Gen A",Table2[[#This Row],[Age]]&lt;=27,"Gen Z",Table2[[#This Row],[Age]]&lt;=43,"Millenials",Table2[[#This Row],[Age]]&lt;=59,"Gen X",Table2[[#This Row],[Age]]&lt;=78,"Baby Boomers",Table2[[#This Row],[Age]]&lt;=96,"Silent",Table2[[#This Row],[Age]]&gt;=97,"Greatest")</f>
        <v>Gen X</v>
      </c>
      <c r="E148" s="1">
        <v>52000</v>
      </c>
      <c r="F148">
        <v>36</v>
      </c>
      <c r="G148" t="str" cm="1">
        <f t="array" ref="G148">_xlfn.IFS(Table2[[#This Row],[Spending Score (1-100)]]&lt;=25,"Low",Table2[[#This Row],[Spending Score (1-100)]]&lt;=50,"Medium",Table2[[#This Row],[Spending Score (1-100)]]&lt;=75,"High",Table2[[#This Row],[Spending Score (1-100)]]&lt;=100,"Very High")</f>
        <v>Medium</v>
      </c>
      <c r="H148" t="s">
        <v>10</v>
      </c>
      <c r="I148">
        <v>9</v>
      </c>
      <c r="J148" t="str">
        <f>CONCATENATE(Table2[[#This Row],[Work Experience]],"years")</f>
        <v>9years</v>
      </c>
      <c r="K148" t="str">
        <f>CONCATENATE(Table2[[#This Row],[Family Size2]],"members")</f>
        <v>2members</v>
      </c>
      <c r="L148" t="str">
        <f>CONCATENATE(Table2[[#This Row],[Family Size2]],"members")</f>
        <v>2members</v>
      </c>
      <c r="M148">
        <v>2</v>
      </c>
    </row>
    <row r="149" spans="1:13">
      <c r="A149">
        <v>148</v>
      </c>
      <c r="B149" t="s">
        <v>11</v>
      </c>
      <c r="C149">
        <v>32</v>
      </c>
      <c r="D149" t="str" cm="1">
        <f t="array" ref="D149">_xlfn.IFS(Table2[[#This Row],[Age]]&lt;=11,"Gen A",Table2[[#This Row],[Age]]&lt;=27,"Gen Z",Table2[[#This Row],[Age]]&lt;=43,"Millenials",Table2[[#This Row],[Age]]&lt;=59,"Gen X",Table2[[#This Row],[Age]]&lt;=78,"Baby Boomers",Table2[[#This Row],[Age]]&lt;=96,"Silent",Table2[[#This Row],[Age]]&gt;=97,"Greatest")</f>
        <v>Millenials</v>
      </c>
      <c r="E149" s="1">
        <v>38000</v>
      </c>
      <c r="F149">
        <v>74</v>
      </c>
      <c r="G149" t="str" cm="1">
        <f t="array" ref="G149">_xlfn.IFS(Table2[[#This Row],[Spending Score (1-100)]]&lt;=25,"Low",Table2[[#This Row],[Spending Score (1-100)]]&lt;=50,"Medium",Table2[[#This Row],[Spending Score (1-100)]]&lt;=75,"High",Table2[[#This Row],[Spending Score (1-100)]]&lt;=100,"Very High")</f>
        <v>High</v>
      </c>
      <c r="H149" t="s">
        <v>12</v>
      </c>
      <c r="I149">
        <v>1</v>
      </c>
      <c r="J149" t="str">
        <f>CONCATENATE(Table2[[#This Row],[Work Experience]],"years")</f>
        <v>1years</v>
      </c>
      <c r="K149" t="str">
        <f>CONCATENATE(Table2[[#This Row],[Family Size2]],"members")</f>
        <v>1members</v>
      </c>
      <c r="L149" t="str">
        <f>CONCATENATE(Table2[[#This Row],[Family Size2]],"members")</f>
        <v>1members</v>
      </c>
      <c r="M149">
        <v>1</v>
      </c>
    </row>
    <row r="150" spans="1:13">
      <c r="A150">
        <v>149</v>
      </c>
      <c r="B150" t="s">
        <v>11</v>
      </c>
      <c r="C150">
        <v>34</v>
      </c>
      <c r="D150" t="str" cm="1">
        <f t="array" ref="D150">_xlfn.IFS(Table2[[#This Row],[Age]]&lt;=11,"Gen A",Table2[[#This Row],[Age]]&lt;=27,"Gen Z",Table2[[#This Row],[Age]]&lt;=43,"Millenials",Table2[[#This Row],[Age]]&lt;=59,"Gen X",Table2[[#This Row],[Age]]&lt;=78,"Baby Boomers",Table2[[#This Row],[Age]]&lt;=96,"Silent",Table2[[#This Row],[Age]]&gt;=97,"Greatest")</f>
        <v>Millenials</v>
      </c>
      <c r="E150" s="1">
        <v>51000</v>
      </c>
      <c r="F150">
        <v>22</v>
      </c>
      <c r="G150" t="str" cm="1">
        <f t="array" ref="G150">_xlfn.IFS(Table2[[#This Row],[Spending Score (1-100)]]&lt;=25,"Low",Table2[[#This Row],[Spending Score (1-100)]]&lt;=50,"Medium",Table2[[#This Row],[Spending Score (1-100)]]&lt;=75,"High",Table2[[#This Row],[Spending Score (1-100)]]&lt;=100,"Very High")</f>
        <v>Low</v>
      </c>
      <c r="H150" t="s">
        <v>9</v>
      </c>
      <c r="I150">
        <v>7</v>
      </c>
      <c r="J150" t="str">
        <f>CONCATENATE(Table2[[#This Row],[Work Experience]],"years")</f>
        <v>7years</v>
      </c>
      <c r="K150" t="str">
        <f>CONCATENATE(Table2[[#This Row],[Family Size2]],"members")</f>
        <v>4members</v>
      </c>
      <c r="L150" t="str">
        <f>CONCATENATE(Table2[[#This Row],[Family Size2]],"members")</f>
        <v>4members</v>
      </c>
      <c r="M150">
        <v>4</v>
      </c>
    </row>
    <row r="151" spans="1:13">
      <c r="A151">
        <v>150</v>
      </c>
      <c r="B151" t="s">
        <v>8</v>
      </c>
      <c r="C151">
        <v>34</v>
      </c>
      <c r="D151" t="str" cm="1">
        <f t="array" ref="D151">_xlfn.IFS(Table2[[#This Row],[Age]]&lt;=11,"Gen A",Table2[[#This Row],[Age]]&lt;=27,"Gen Z",Table2[[#This Row],[Age]]&lt;=43,"Millenials",Table2[[#This Row],[Age]]&lt;=59,"Gen X",Table2[[#This Row],[Age]]&lt;=78,"Baby Boomers",Table2[[#This Row],[Age]]&lt;=96,"Silent",Table2[[#This Row],[Age]]&gt;=97,"Greatest")</f>
        <v>Millenials</v>
      </c>
      <c r="E151" s="1">
        <v>90000</v>
      </c>
      <c r="F151">
        <v>90</v>
      </c>
      <c r="G151" t="str" cm="1">
        <f t="array" ref="G151">_xlfn.IFS(Table2[[#This Row],[Spending Score (1-100)]]&lt;=25,"Low",Table2[[#This Row],[Spending Score (1-100)]]&lt;=50,"Medium",Table2[[#This Row],[Spending Score (1-100)]]&lt;=75,"High",Table2[[#This Row],[Spending Score (1-100)]]&lt;=100,"Very High")</f>
        <v>Very High</v>
      </c>
      <c r="H151" t="s">
        <v>14</v>
      </c>
      <c r="I151">
        <v>6</v>
      </c>
      <c r="J151" t="str">
        <f>CONCATENATE(Table2[[#This Row],[Work Experience]],"years")</f>
        <v>6years</v>
      </c>
      <c r="K151" t="str">
        <f>CONCATENATE(Table2[[#This Row],[Family Size2]],"members")</f>
        <v>3members</v>
      </c>
      <c r="L151" t="str">
        <f>CONCATENATE(Table2[[#This Row],[Family Size2]],"members")</f>
        <v>3members</v>
      </c>
      <c r="M151">
        <v>3</v>
      </c>
    </row>
    <row r="152" spans="1:13">
      <c r="A152">
        <v>151</v>
      </c>
      <c r="B152" t="s">
        <v>8</v>
      </c>
      <c r="C152">
        <v>43</v>
      </c>
      <c r="D152" t="str" cm="1">
        <f t="array" ref="D152">_xlfn.IFS(Table2[[#This Row],[Age]]&lt;=11,"Gen A",Table2[[#This Row],[Age]]&lt;=27,"Gen Z",Table2[[#This Row],[Age]]&lt;=43,"Millenials",Table2[[#This Row],[Age]]&lt;=59,"Gen X",Table2[[#This Row],[Age]]&lt;=78,"Baby Boomers",Table2[[#This Row],[Age]]&lt;=96,"Silent",Table2[[#This Row],[Age]]&gt;=97,"Greatest")</f>
        <v>Millenials</v>
      </c>
      <c r="E152" s="1">
        <v>30000</v>
      </c>
      <c r="F152">
        <v>17</v>
      </c>
      <c r="G152" t="str" cm="1">
        <f t="array" ref="G152">_xlfn.IFS(Table2[[#This Row],[Spending Score (1-100)]]&lt;=25,"Low",Table2[[#This Row],[Spending Score (1-100)]]&lt;=50,"Medium",Table2[[#This Row],[Spending Score (1-100)]]&lt;=75,"High",Table2[[#This Row],[Spending Score (1-100)]]&lt;=100,"Very High")</f>
        <v>Low</v>
      </c>
      <c r="H152" t="s">
        <v>12</v>
      </c>
      <c r="I152">
        <v>0</v>
      </c>
      <c r="J152" t="str">
        <f>CONCATENATE(Table2[[#This Row],[Work Experience]],"years")</f>
        <v>0years</v>
      </c>
      <c r="K152" t="str">
        <f>CONCATENATE(Table2[[#This Row],[Family Size2]],"members")</f>
        <v>9members</v>
      </c>
      <c r="L152" t="str">
        <f>CONCATENATE(Table2[[#This Row],[Family Size2]],"members")</f>
        <v>9members</v>
      </c>
      <c r="M152">
        <v>9</v>
      </c>
    </row>
    <row r="153" spans="1:13">
      <c r="A153">
        <v>152</v>
      </c>
      <c r="B153" t="s">
        <v>8</v>
      </c>
      <c r="C153">
        <v>39</v>
      </c>
      <c r="D153" t="str" cm="1">
        <f t="array" ref="D153">_xlfn.IFS(Table2[[#This Row],[Age]]&lt;=11,"Gen A",Table2[[#This Row],[Age]]&lt;=27,"Gen Z",Table2[[#This Row],[Age]]&lt;=43,"Millenials",Table2[[#This Row],[Age]]&lt;=59,"Gen X",Table2[[#This Row],[Age]]&lt;=78,"Baby Boomers",Table2[[#This Row],[Age]]&lt;=96,"Silent",Table2[[#This Row],[Age]]&gt;=97,"Greatest")</f>
        <v>Millenials</v>
      </c>
      <c r="E153" s="1">
        <v>41000</v>
      </c>
      <c r="F153">
        <v>88</v>
      </c>
      <c r="G153" t="str" cm="1">
        <f t="array" ref="G153">_xlfn.IFS(Table2[[#This Row],[Spending Score (1-100)]]&lt;=25,"Low",Table2[[#This Row],[Spending Score (1-100)]]&lt;=50,"Medium",Table2[[#This Row],[Spending Score (1-100)]]&lt;=75,"High",Table2[[#This Row],[Spending Score (1-100)]]&lt;=100,"Very High")</f>
        <v>Very High</v>
      </c>
      <c r="H153" t="s">
        <v>10</v>
      </c>
      <c r="I153">
        <v>0</v>
      </c>
      <c r="J153" t="str">
        <f>CONCATENATE(Table2[[#This Row],[Work Experience]],"years")</f>
        <v>0years</v>
      </c>
      <c r="K153" t="str">
        <f>CONCATENATE(Table2[[#This Row],[Family Size2]],"members")</f>
        <v>1members</v>
      </c>
      <c r="L153" t="str">
        <f>CONCATENATE(Table2[[#This Row],[Family Size2]],"members")</f>
        <v>1members</v>
      </c>
      <c r="M153">
        <v>1</v>
      </c>
    </row>
    <row r="154" spans="1:13">
      <c r="A154">
        <v>153</v>
      </c>
      <c r="B154" t="s">
        <v>11</v>
      </c>
      <c r="C154">
        <v>44</v>
      </c>
      <c r="D154" t="str" cm="1">
        <f t="array" ref="D154">_xlfn.IFS(Table2[[#This Row],[Age]]&lt;=11,"Gen A",Table2[[#This Row],[Age]]&lt;=27,"Gen Z",Table2[[#This Row],[Age]]&lt;=43,"Millenials",Table2[[#This Row],[Age]]&lt;=59,"Gen X",Table2[[#This Row],[Age]]&lt;=78,"Baby Boomers",Table2[[#This Row],[Age]]&lt;=96,"Silent",Table2[[#This Row],[Age]]&gt;=97,"Greatest")</f>
        <v>Gen X</v>
      </c>
      <c r="E154" s="1">
        <v>17000</v>
      </c>
      <c r="F154">
        <v>20</v>
      </c>
      <c r="G154" t="str" cm="1">
        <f t="array" ref="G154">_xlfn.IFS(Table2[[#This Row],[Spending Score (1-100)]]&lt;=25,"Low",Table2[[#This Row],[Spending Score (1-100)]]&lt;=50,"Medium",Table2[[#This Row],[Spending Score (1-100)]]&lt;=75,"High",Table2[[#This Row],[Spending Score (1-100)]]&lt;=100,"Very High")</f>
        <v>Low</v>
      </c>
      <c r="H154" t="s">
        <v>10</v>
      </c>
      <c r="I154">
        <v>0</v>
      </c>
      <c r="J154" t="str">
        <f>CONCATENATE(Table2[[#This Row],[Work Experience]],"years")</f>
        <v>0years</v>
      </c>
      <c r="K154" t="str">
        <f>CONCATENATE(Table2[[#This Row],[Family Size2]],"members")</f>
        <v>2members</v>
      </c>
      <c r="L154" t="str">
        <f>CONCATENATE(Table2[[#This Row],[Family Size2]],"members")</f>
        <v>2members</v>
      </c>
      <c r="M154">
        <v>2</v>
      </c>
    </row>
    <row r="155" spans="1:13">
      <c r="A155">
        <v>154</v>
      </c>
      <c r="B155" t="s">
        <v>11</v>
      </c>
      <c r="C155">
        <v>38</v>
      </c>
      <c r="D155" t="str" cm="1">
        <f t="array" ref="D155">_xlfn.IFS(Table2[[#This Row],[Age]]&lt;=11,"Gen A",Table2[[#This Row],[Age]]&lt;=27,"Gen Z",Table2[[#This Row],[Age]]&lt;=43,"Millenials",Table2[[#This Row],[Age]]&lt;=59,"Gen X",Table2[[#This Row],[Age]]&lt;=78,"Baby Boomers",Table2[[#This Row],[Age]]&lt;=96,"Silent",Table2[[#This Row],[Age]]&gt;=97,"Greatest")</f>
        <v>Millenials</v>
      </c>
      <c r="E155" s="1">
        <v>92000</v>
      </c>
      <c r="F155">
        <v>76</v>
      </c>
      <c r="G155" t="str" cm="1">
        <f t="array" ref="G155">_xlfn.IFS(Table2[[#This Row],[Spending Score (1-100)]]&lt;=25,"Low",Table2[[#This Row],[Spending Score (1-100)]]&lt;=50,"Medium",Table2[[#This Row],[Spending Score (1-100)]]&lt;=75,"High",Table2[[#This Row],[Spending Score (1-100)]]&lt;=100,"Very High")</f>
        <v>Very High</v>
      </c>
      <c r="H155" t="s">
        <v>14</v>
      </c>
      <c r="I155">
        <v>2</v>
      </c>
      <c r="J155" t="str">
        <f>CONCATENATE(Table2[[#This Row],[Work Experience]],"years")</f>
        <v>2years</v>
      </c>
      <c r="K155" t="str">
        <f>CONCATENATE(Table2[[#This Row],[Family Size2]],"members")</f>
        <v>2members</v>
      </c>
      <c r="L155" t="str">
        <f>CONCATENATE(Table2[[#This Row],[Family Size2]],"members")</f>
        <v>2members</v>
      </c>
      <c r="M155">
        <v>2</v>
      </c>
    </row>
    <row r="156" spans="1:13">
      <c r="A156">
        <v>155</v>
      </c>
      <c r="B156" t="s">
        <v>11</v>
      </c>
      <c r="C156">
        <v>47</v>
      </c>
      <c r="D156" t="str" cm="1">
        <f t="array" ref="D156">_xlfn.IFS(Table2[[#This Row],[Age]]&lt;=11,"Gen A",Table2[[#This Row],[Age]]&lt;=27,"Gen Z",Table2[[#This Row],[Age]]&lt;=43,"Millenials",Table2[[#This Row],[Age]]&lt;=59,"Gen X",Table2[[#This Row],[Age]]&lt;=78,"Baby Boomers",Table2[[#This Row],[Age]]&lt;=96,"Silent",Table2[[#This Row],[Age]]&gt;=97,"Greatest")</f>
        <v>Gen X</v>
      </c>
      <c r="E156" s="1">
        <v>80000</v>
      </c>
      <c r="F156">
        <v>16</v>
      </c>
      <c r="G156" t="str" cm="1">
        <f t="array" ref="G156">_xlfn.IFS(Table2[[#This Row],[Spending Score (1-100)]]&lt;=25,"Low",Table2[[#This Row],[Spending Score (1-100)]]&lt;=50,"Medium",Table2[[#This Row],[Spending Score (1-100)]]&lt;=75,"High",Table2[[#This Row],[Spending Score (1-100)]]&lt;=100,"Very High")</f>
        <v>Low</v>
      </c>
      <c r="H156" t="s">
        <v>9</v>
      </c>
      <c r="I156">
        <v>0</v>
      </c>
      <c r="J156" t="str">
        <f>CONCATENATE(Table2[[#This Row],[Work Experience]],"years")</f>
        <v>0years</v>
      </c>
      <c r="K156" t="str">
        <f>CONCATENATE(Table2[[#This Row],[Family Size2]],"members")</f>
        <v>4members</v>
      </c>
      <c r="L156" t="str">
        <f>CONCATENATE(Table2[[#This Row],[Family Size2]],"members")</f>
        <v>4members</v>
      </c>
      <c r="M156">
        <v>4</v>
      </c>
    </row>
    <row r="157" spans="1:13">
      <c r="A157">
        <v>156</v>
      </c>
      <c r="B157" t="s">
        <v>11</v>
      </c>
      <c r="C157">
        <v>27</v>
      </c>
      <c r="D157" t="str" cm="1">
        <f t="array" ref="D157">_xlfn.IFS(Table2[[#This Row],[Age]]&lt;=11,"Gen A",Table2[[#This Row],[Age]]&lt;=27,"Gen Z",Table2[[#This Row],[Age]]&lt;=43,"Millenials",Table2[[#This Row],[Age]]&lt;=59,"Gen X",Table2[[#This Row],[Age]]&lt;=78,"Baby Boomers",Table2[[#This Row],[Age]]&lt;=96,"Silent",Table2[[#This Row],[Age]]&gt;=97,"Greatest")</f>
        <v>Gen Z</v>
      </c>
      <c r="E157" s="1">
        <v>10000</v>
      </c>
      <c r="F157">
        <v>89</v>
      </c>
      <c r="G157" t="str" cm="1">
        <f t="array" ref="G157">_xlfn.IFS(Table2[[#This Row],[Spending Score (1-100)]]&lt;=25,"Low",Table2[[#This Row],[Spending Score (1-100)]]&lt;=50,"Medium",Table2[[#This Row],[Spending Score (1-100)]]&lt;=75,"High",Table2[[#This Row],[Spending Score (1-100)]]&lt;=100,"Very High")</f>
        <v>Very High</v>
      </c>
      <c r="H157" t="s">
        <v>18</v>
      </c>
      <c r="I157">
        <v>8</v>
      </c>
      <c r="J157" t="str">
        <f>CONCATENATE(Table2[[#This Row],[Work Experience]],"years")</f>
        <v>8years</v>
      </c>
      <c r="K157" t="str">
        <f>CONCATENATE(Table2[[#This Row],[Family Size2]],"members")</f>
        <v>4members</v>
      </c>
      <c r="L157" t="str">
        <f>CONCATENATE(Table2[[#This Row],[Family Size2]],"members")</f>
        <v>4members</v>
      </c>
      <c r="M157">
        <v>4</v>
      </c>
    </row>
    <row r="158" spans="1:13">
      <c r="A158">
        <v>157</v>
      </c>
      <c r="B158" t="s">
        <v>8</v>
      </c>
      <c r="C158">
        <v>37</v>
      </c>
      <c r="D158" t="str" cm="1">
        <f t="array" ref="D158">_xlfn.IFS(Table2[[#This Row],[Age]]&lt;=11,"Gen A",Table2[[#This Row],[Age]]&lt;=27,"Gen Z",Table2[[#This Row],[Age]]&lt;=43,"Millenials",Table2[[#This Row],[Age]]&lt;=59,"Gen X",Table2[[#This Row],[Age]]&lt;=78,"Baby Boomers",Table2[[#This Row],[Age]]&lt;=96,"Silent",Table2[[#This Row],[Age]]&gt;=97,"Greatest")</f>
        <v>Millenials</v>
      </c>
      <c r="E158" s="1">
        <v>16000</v>
      </c>
      <c r="F158">
        <v>1</v>
      </c>
      <c r="G158" t="str" cm="1">
        <f t="array" ref="G158">_xlfn.IFS(Table2[[#This Row],[Spending Score (1-100)]]&lt;=25,"Low",Table2[[#This Row],[Spending Score (1-100)]]&lt;=50,"Medium",Table2[[#This Row],[Spending Score (1-100)]]&lt;=75,"High",Table2[[#This Row],[Spending Score (1-100)]]&lt;=100,"Very High")</f>
        <v>Low</v>
      </c>
      <c r="H158" t="s">
        <v>15</v>
      </c>
      <c r="I158">
        <v>1</v>
      </c>
      <c r="J158" t="str">
        <f>CONCATENATE(Table2[[#This Row],[Work Experience]],"years")</f>
        <v>1years</v>
      </c>
      <c r="K158" t="str">
        <f>CONCATENATE(Table2[[#This Row],[Family Size2]],"members")</f>
        <v>1members</v>
      </c>
      <c r="L158" t="str">
        <f>CONCATENATE(Table2[[#This Row],[Family Size2]],"members")</f>
        <v>1members</v>
      </c>
      <c r="M158">
        <v>1</v>
      </c>
    </row>
    <row r="159" spans="1:13">
      <c r="A159">
        <v>158</v>
      </c>
      <c r="B159" t="s">
        <v>11</v>
      </c>
      <c r="C159">
        <v>30</v>
      </c>
      <c r="D159" t="str" cm="1">
        <f t="array" ref="D159">_xlfn.IFS(Table2[[#This Row],[Age]]&lt;=11,"Gen A",Table2[[#This Row],[Age]]&lt;=27,"Gen Z",Table2[[#This Row],[Age]]&lt;=43,"Millenials",Table2[[#This Row],[Age]]&lt;=59,"Gen X",Table2[[#This Row],[Age]]&lt;=78,"Baby Boomers",Table2[[#This Row],[Age]]&lt;=96,"Silent",Table2[[#This Row],[Age]]&gt;=97,"Greatest")</f>
        <v>Millenials</v>
      </c>
      <c r="E159" s="1">
        <v>87000</v>
      </c>
      <c r="F159">
        <v>78</v>
      </c>
      <c r="G159" t="str" cm="1">
        <f t="array" ref="G159">_xlfn.IFS(Table2[[#This Row],[Spending Score (1-100)]]&lt;=25,"Low",Table2[[#This Row],[Spending Score (1-100)]]&lt;=50,"Medium",Table2[[#This Row],[Spending Score (1-100)]]&lt;=75,"High",Table2[[#This Row],[Spending Score (1-100)]]&lt;=100,"Very High")</f>
        <v>Very High</v>
      </c>
      <c r="H159" t="s">
        <v>14</v>
      </c>
      <c r="I159">
        <v>3</v>
      </c>
      <c r="J159" t="str">
        <f>CONCATENATE(Table2[[#This Row],[Work Experience]],"years")</f>
        <v>3years</v>
      </c>
      <c r="K159" t="str">
        <f>CONCATENATE(Table2[[#This Row],[Family Size2]],"members")</f>
        <v>4members</v>
      </c>
      <c r="L159" t="str">
        <f>CONCATENATE(Table2[[#This Row],[Family Size2]],"members")</f>
        <v>4members</v>
      </c>
      <c r="M159">
        <v>4</v>
      </c>
    </row>
    <row r="160" spans="1:13">
      <c r="A160">
        <v>159</v>
      </c>
      <c r="B160" t="s">
        <v>8</v>
      </c>
      <c r="C160">
        <v>34</v>
      </c>
      <c r="D160" t="str" cm="1">
        <f t="array" ref="D160">_xlfn.IFS(Table2[[#This Row],[Age]]&lt;=11,"Gen A",Table2[[#This Row],[Age]]&lt;=27,"Gen Z",Table2[[#This Row],[Age]]&lt;=43,"Millenials",Table2[[#This Row],[Age]]&lt;=59,"Gen X",Table2[[#This Row],[Age]]&lt;=78,"Baby Boomers",Table2[[#This Row],[Age]]&lt;=96,"Silent",Table2[[#This Row],[Age]]&gt;=97,"Greatest")</f>
        <v>Millenials</v>
      </c>
      <c r="E160" s="1">
        <v>66000</v>
      </c>
      <c r="F160">
        <v>1</v>
      </c>
      <c r="G160" t="str" cm="1">
        <f t="array" ref="G160">_xlfn.IFS(Table2[[#This Row],[Spending Score (1-100)]]&lt;=25,"Low",Table2[[#This Row],[Spending Score (1-100)]]&lt;=50,"Medium",Table2[[#This Row],[Spending Score (1-100)]]&lt;=75,"High",Table2[[#This Row],[Spending Score (1-100)]]&lt;=100,"Very High")</f>
        <v>Low</v>
      </c>
      <c r="H160" t="s">
        <v>12</v>
      </c>
      <c r="I160">
        <v>1</v>
      </c>
      <c r="J160" t="str">
        <f>CONCATENATE(Table2[[#This Row],[Work Experience]],"years")</f>
        <v>1years</v>
      </c>
      <c r="K160" t="str">
        <f>CONCATENATE(Table2[[#This Row],[Family Size2]],"members")</f>
        <v>2members</v>
      </c>
      <c r="L160" t="str">
        <f>CONCATENATE(Table2[[#This Row],[Family Size2]],"members")</f>
        <v>2members</v>
      </c>
      <c r="M160">
        <v>2</v>
      </c>
    </row>
    <row r="161" spans="1:13">
      <c r="A161">
        <v>160</v>
      </c>
      <c r="B161" t="s">
        <v>11</v>
      </c>
      <c r="C161">
        <v>30</v>
      </c>
      <c r="D161" t="str" cm="1">
        <f t="array" ref="D161">_xlfn.IFS(Table2[[#This Row],[Age]]&lt;=11,"Gen A",Table2[[#This Row],[Age]]&lt;=27,"Gen Z",Table2[[#This Row],[Age]]&lt;=43,"Millenials",Table2[[#This Row],[Age]]&lt;=59,"Gen X",Table2[[#This Row],[Age]]&lt;=78,"Baby Boomers",Table2[[#This Row],[Age]]&lt;=96,"Silent",Table2[[#This Row],[Age]]&gt;=97,"Greatest")</f>
        <v>Millenials</v>
      </c>
      <c r="E161" s="1">
        <v>86000</v>
      </c>
      <c r="F161">
        <v>73</v>
      </c>
      <c r="G161" t="str" cm="1">
        <f t="array" ref="G161">_xlfn.IFS(Table2[[#This Row],[Spending Score (1-100)]]&lt;=25,"Low",Table2[[#This Row],[Spending Score (1-100)]]&lt;=50,"Medium",Table2[[#This Row],[Spending Score (1-100)]]&lt;=75,"High",Table2[[#This Row],[Spending Score (1-100)]]&lt;=100,"Very High")</f>
        <v>High</v>
      </c>
      <c r="H161" t="s">
        <v>14</v>
      </c>
      <c r="I161">
        <v>3</v>
      </c>
      <c r="J161" t="str">
        <f>CONCATENATE(Table2[[#This Row],[Work Experience]],"years")</f>
        <v>3years</v>
      </c>
      <c r="K161" t="str">
        <f>CONCATENATE(Table2[[#This Row],[Family Size2]],"members")</f>
        <v>3members</v>
      </c>
      <c r="L161" t="str">
        <f>CONCATENATE(Table2[[#This Row],[Family Size2]],"members")</f>
        <v>3members</v>
      </c>
      <c r="M161">
        <v>3</v>
      </c>
    </row>
    <row r="162" spans="1:13">
      <c r="A162">
        <v>161</v>
      </c>
      <c r="B162" t="s">
        <v>11</v>
      </c>
      <c r="C162">
        <v>56</v>
      </c>
      <c r="D162" t="str" cm="1">
        <f t="array" ref="D162">_xlfn.IFS(Table2[[#This Row],[Age]]&lt;=11,"Gen A",Table2[[#This Row],[Age]]&lt;=27,"Gen Z",Table2[[#This Row],[Age]]&lt;=43,"Millenials",Table2[[#This Row],[Age]]&lt;=59,"Gen X",Table2[[#This Row],[Age]]&lt;=78,"Baby Boomers",Table2[[#This Row],[Age]]&lt;=96,"Silent",Table2[[#This Row],[Age]]&gt;=97,"Greatest")</f>
        <v>Gen X</v>
      </c>
      <c r="E162" s="1">
        <v>9000</v>
      </c>
      <c r="F162">
        <v>35</v>
      </c>
      <c r="G162" t="str" cm="1">
        <f t="array" ref="G162">_xlfn.IFS(Table2[[#This Row],[Spending Score (1-100)]]&lt;=25,"Low",Table2[[#This Row],[Spending Score (1-100)]]&lt;=50,"Medium",Table2[[#This Row],[Spending Score (1-100)]]&lt;=75,"High",Table2[[#This Row],[Spending Score (1-100)]]&lt;=100,"Very High")</f>
        <v>Medium</v>
      </c>
      <c r="H162" t="s">
        <v>14</v>
      </c>
      <c r="I162">
        <v>1</v>
      </c>
      <c r="J162" t="str">
        <f>CONCATENATE(Table2[[#This Row],[Work Experience]],"years")</f>
        <v>1years</v>
      </c>
      <c r="K162" t="str">
        <f>CONCATENATE(Table2[[#This Row],[Family Size2]],"members")</f>
        <v>1members</v>
      </c>
      <c r="L162" t="str">
        <f>CONCATENATE(Table2[[#This Row],[Family Size2]],"members")</f>
        <v>1members</v>
      </c>
      <c r="M162">
        <v>1</v>
      </c>
    </row>
    <row r="163" spans="1:13">
      <c r="A163">
        <v>162</v>
      </c>
      <c r="B163" t="s">
        <v>11</v>
      </c>
      <c r="C163">
        <v>29</v>
      </c>
      <c r="D163" t="str" cm="1">
        <f t="array" ref="D163">_xlfn.IFS(Table2[[#This Row],[Age]]&lt;=11,"Gen A",Table2[[#This Row],[Age]]&lt;=27,"Gen Z",Table2[[#This Row],[Age]]&lt;=43,"Millenials",Table2[[#This Row],[Age]]&lt;=59,"Gen X",Table2[[#This Row],[Age]]&lt;=78,"Baby Boomers",Table2[[#This Row],[Age]]&lt;=96,"Silent",Table2[[#This Row],[Age]]&gt;=97,"Greatest")</f>
        <v>Millenials</v>
      </c>
      <c r="E163" s="1">
        <v>50000</v>
      </c>
      <c r="F163">
        <v>83</v>
      </c>
      <c r="G163" t="str" cm="1">
        <f t="array" ref="G163">_xlfn.IFS(Table2[[#This Row],[Spending Score (1-100)]]&lt;=25,"Low",Table2[[#This Row],[Spending Score (1-100)]]&lt;=50,"Medium",Table2[[#This Row],[Spending Score (1-100)]]&lt;=75,"High",Table2[[#This Row],[Spending Score (1-100)]]&lt;=100,"Very High")</f>
        <v>Very High</v>
      </c>
      <c r="H163" t="s">
        <v>9</v>
      </c>
      <c r="I163">
        <v>1</v>
      </c>
      <c r="J163" t="str">
        <f>CONCATENATE(Table2[[#This Row],[Work Experience]],"years")</f>
        <v>1years</v>
      </c>
      <c r="K163" t="str">
        <f>CONCATENATE(Table2[[#This Row],[Family Size2]],"members")</f>
        <v>5members</v>
      </c>
      <c r="L163" t="str">
        <f>CONCATENATE(Table2[[#This Row],[Family Size2]],"members")</f>
        <v>5members</v>
      </c>
      <c r="M163">
        <v>5</v>
      </c>
    </row>
    <row r="164" spans="1:13">
      <c r="A164">
        <v>163</v>
      </c>
      <c r="B164" t="s">
        <v>8</v>
      </c>
      <c r="C164">
        <v>19</v>
      </c>
      <c r="D164" t="str" cm="1">
        <f t="array" ref="D164">_xlfn.IFS(Table2[[#This Row],[Age]]&lt;=11,"Gen A",Table2[[#This Row],[Age]]&lt;=27,"Gen Z",Table2[[#This Row],[Age]]&lt;=43,"Millenials",Table2[[#This Row],[Age]]&lt;=59,"Gen X",Table2[[#This Row],[Age]]&lt;=78,"Baby Boomers",Table2[[#This Row],[Age]]&lt;=96,"Silent",Table2[[#This Row],[Age]]&gt;=97,"Greatest")</f>
        <v>Gen Z</v>
      </c>
      <c r="E164" s="1">
        <v>35000</v>
      </c>
      <c r="F164">
        <v>5</v>
      </c>
      <c r="G164" t="str" cm="1">
        <f t="array" ref="G164">_xlfn.IFS(Table2[[#This Row],[Spending Score (1-100)]]&lt;=25,"Low",Table2[[#This Row],[Spending Score (1-100)]]&lt;=50,"Medium",Table2[[#This Row],[Spending Score (1-100)]]&lt;=75,"High",Table2[[#This Row],[Spending Score (1-100)]]&lt;=100,"Very High")</f>
        <v>Low</v>
      </c>
      <c r="H164" t="s">
        <v>15</v>
      </c>
      <c r="I164">
        <v>0</v>
      </c>
      <c r="J164" t="str">
        <f>CONCATENATE(Table2[[#This Row],[Work Experience]],"years")</f>
        <v>0years</v>
      </c>
      <c r="K164" t="str">
        <f>CONCATENATE(Table2[[#This Row],[Family Size2]],"members")</f>
        <v>5members</v>
      </c>
      <c r="L164" t="str">
        <f>CONCATENATE(Table2[[#This Row],[Family Size2]],"members")</f>
        <v>5members</v>
      </c>
      <c r="M164">
        <v>5</v>
      </c>
    </row>
    <row r="165" spans="1:13">
      <c r="A165">
        <v>164</v>
      </c>
      <c r="B165" t="s">
        <v>11</v>
      </c>
      <c r="C165">
        <v>31</v>
      </c>
      <c r="D165" t="str" cm="1">
        <f t="array" ref="D165">_xlfn.IFS(Table2[[#This Row],[Age]]&lt;=11,"Gen A",Table2[[#This Row],[Age]]&lt;=27,"Gen Z",Table2[[#This Row],[Age]]&lt;=43,"Millenials",Table2[[#This Row],[Age]]&lt;=59,"Gen X",Table2[[#This Row],[Age]]&lt;=78,"Baby Boomers",Table2[[#This Row],[Age]]&lt;=96,"Silent",Table2[[#This Row],[Age]]&gt;=97,"Greatest")</f>
        <v>Millenials</v>
      </c>
      <c r="E165" s="1">
        <v>58000</v>
      </c>
      <c r="F165">
        <v>93</v>
      </c>
      <c r="G165" t="str" cm="1">
        <f t="array" ref="G165">_xlfn.IFS(Table2[[#This Row],[Spending Score (1-100)]]&lt;=25,"Low",Table2[[#This Row],[Spending Score (1-100)]]&lt;=50,"Medium",Table2[[#This Row],[Spending Score (1-100)]]&lt;=75,"High",Table2[[#This Row],[Spending Score (1-100)]]&lt;=100,"Very High")</f>
        <v>Very High</v>
      </c>
      <c r="H165" t="s">
        <v>9</v>
      </c>
      <c r="I165">
        <v>1</v>
      </c>
      <c r="J165" t="str">
        <f>CONCATENATE(Table2[[#This Row],[Work Experience]],"years")</f>
        <v>1years</v>
      </c>
      <c r="K165" t="str">
        <f>CONCATENATE(Table2[[#This Row],[Family Size2]],"members")</f>
        <v>5members</v>
      </c>
      <c r="L165" t="str">
        <f>CONCATENATE(Table2[[#This Row],[Family Size2]],"members")</f>
        <v>5members</v>
      </c>
      <c r="M165">
        <v>5</v>
      </c>
    </row>
    <row r="166" spans="1:13">
      <c r="A166">
        <v>165</v>
      </c>
      <c r="B166" t="s">
        <v>8</v>
      </c>
      <c r="C166">
        <v>50</v>
      </c>
      <c r="D166" t="str" cm="1">
        <f t="array" ref="D166">_xlfn.IFS(Table2[[#This Row],[Age]]&lt;=11,"Gen A",Table2[[#This Row],[Age]]&lt;=27,"Gen Z",Table2[[#This Row],[Age]]&lt;=43,"Millenials",Table2[[#This Row],[Age]]&lt;=59,"Gen X",Table2[[#This Row],[Age]]&lt;=78,"Baby Boomers",Table2[[#This Row],[Age]]&lt;=96,"Silent",Table2[[#This Row],[Age]]&gt;=97,"Greatest")</f>
        <v>Gen X</v>
      </c>
      <c r="E166" s="1">
        <v>47000</v>
      </c>
      <c r="F166">
        <v>26</v>
      </c>
      <c r="G166" t="str" cm="1">
        <f t="array" ref="G166">_xlfn.IFS(Table2[[#This Row],[Spending Score (1-100)]]&lt;=25,"Low",Table2[[#This Row],[Spending Score (1-100)]]&lt;=50,"Medium",Table2[[#This Row],[Spending Score (1-100)]]&lt;=75,"High",Table2[[#This Row],[Spending Score (1-100)]]&lt;=100,"Very High")</f>
        <v>Medium</v>
      </c>
      <c r="H166" t="s">
        <v>16</v>
      </c>
      <c r="I166">
        <v>0</v>
      </c>
      <c r="J166" t="str">
        <f>CONCATENATE(Table2[[#This Row],[Work Experience]],"years")</f>
        <v>0years</v>
      </c>
      <c r="K166" t="str">
        <f>CONCATENATE(Table2[[#This Row],[Family Size2]],"members")</f>
        <v>2members</v>
      </c>
      <c r="L166" t="str">
        <f>CONCATENATE(Table2[[#This Row],[Family Size2]],"members")</f>
        <v>2members</v>
      </c>
      <c r="M166">
        <v>2</v>
      </c>
    </row>
    <row r="167" spans="1:13">
      <c r="A167">
        <v>166</v>
      </c>
      <c r="B167" t="s">
        <v>11</v>
      </c>
      <c r="C167">
        <v>36</v>
      </c>
      <c r="D167" t="str" cm="1">
        <f t="array" ref="D167">_xlfn.IFS(Table2[[#This Row],[Age]]&lt;=11,"Gen A",Table2[[#This Row],[Age]]&lt;=27,"Gen Z",Table2[[#This Row],[Age]]&lt;=43,"Millenials",Table2[[#This Row],[Age]]&lt;=59,"Gen X",Table2[[#This Row],[Age]]&lt;=78,"Baby Boomers",Table2[[#This Row],[Age]]&lt;=96,"Silent",Table2[[#This Row],[Age]]&gt;=97,"Greatest")</f>
        <v>Millenials</v>
      </c>
      <c r="E167" s="1">
        <v>54000</v>
      </c>
      <c r="F167">
        <v>75</v>
      </c>
      <c r="G167" t="str" cm="1">
        <f t="array" ref="G167">_xlfn.IFS(Table2[[#This Row],[Spending Score (1-100)]]&lt;=25,"Low",Table2[[#This Row],[Spending Score (1-100)]]&lt;=50,"Medium",Table2[[#This Row],[Spending Score (1-100)]]&lt;=75,"High",Table2[[#This Row],[Spending Score (1-100)]]&lt;=100,"Very High")</f>
        <v>High</v>
      </c>
      <c r="H167" t="s">
        <v>14</v>
      </c>
      <c r="I167">
        <v>5</v>
      </c>
      <c r="J167" t="str">
        <f>CONCATENATE(Table2[[#This Row],[Work Experience]],"years")</f>
        <v>5years</v>
      </c>
      <c r="K167" t="str">
        <f>CONCATENATE(Table2[[#This Row],[Family Size2]],"members")</f>
        <v>3members</v>
      </c>
      <c r="L167" t="str">
        <f>CONCATENATE(Table2[[#This Row],[Family Size2]],"members")</f>
        <v>3members</v>
      </c>
      <c r="M167">
        <v>3</v>
      </c>
    </row>
    <row r="168" spans="1:13">
      <c r="A168">
        <v>167</v>
      </c>
      <c r="B168" t="s">
        <v>8</v>
      </c>
      <c r="C168">
        <v>42</v>
      </c>
      <c r="D168" t="str" cm="1">
        <f t="array" ref="D168">_xlfn.IFS(Table2[[#This Row],[Age]]&lt;=11,"Gen A",Table2[[#This Row],[Age]]&lt;=27,"Gen Z",Table2[[#This Row],[Age]]&lt;=43,"Millenials",Table2[[#This Row],[Age]]&lt;=59,"Gen X",Table2[[#This Row],[Age]]&lt;=78,"Baby Boomers",Table2[[#This Row],[Age]]&lt;=96,"Silent",Table2[[#This Row],[Age]]&gt;=97,"Greatest")</f>
        <v>Millenials</v>
      </c>
      <c r="E168" s="1">
        <v>79000</v>
      </c>
      <c r="F168">
        <v>20</v>
      </c>
      <c r="G168" t="str" cm="1">
        <f t="array" ref="G168">_xlfn.IFS(Table2[[#This Row],[Spending Score (1-100)]]&lt;=25,"Low",Table2[[#This Row],[Spending Score (1-100)]]&lt;=50,"Medium",Table2[[#This Row],[Spending Score (1-100)]]&lt;=75,"High",Table2[[#This Row],[Spending Score (1-100)]]&lt;=100,"Very High")</f>
        <v>Low</v>
      </c>
      <c r="H168" t="s">
        <v>17</v>
      </c>
      <c r="I168">
        <v>9</v>
      </c>
      <c r="J168" t="str">
        <f>CONCATENATE(Table2[[#This Row],[Work Experience]],"years")</f>
        <v>9years</v>
      </c>
      <c r="K168" t="str">
        <f>CONCATENATE(Table2[[#This Row],[Family Size2]],"members")</f>
        <v>3members</v>
      </c>
      <c r="L168" t="str">
        <f>CONCATENATE(Table2[[#This Row],[Family Size2]],"members")</f>
        <v>3members</v>
      </c>
      <c r="M168">
        <v>3</v>
      </c>
    </row>
    <row r="169" spans="1:13">
      <c r="A169">
        <v>168</v>
      </c>
      <c r="B169" t="s">
        <v>11</v>
      </c>
      <c r="C169">
        <v>33</v>
      </c>
      <c r="D169" t="str" cm="1">
        <f t="array" ref="D169">_xlfn.IFS(Table2[[#This Row],[Age]]&lt;=11,"Gen A",Table2[[#This Row],[Age]]&lt;=27,"Gen Z",Table2[[#This Row],[Age]]&lt;=43,"Millenials",Table2[[#This Row],[Age]]&lt;=59,"Gen X",Table2[[#This Row],[Age]]&lt;=78,"Baby Boomers",Table2[[#This Row],[Age]]&lt;=96,"Silent",Table2[[#This Row],[Age]]&gt;=97,"Greatest")</f>
        <v>Millenials</v>
      </c>
      <c r="E169" s="1">
        <v>83000</v>
      </c>
      <c r="F169">
        <v>95</v>
      </c>
      <c r="G169" t="str" cm="1">
        <f t="array" ref="G169">_xlfn.IFS(Table2[[#This Row],[Spending Score (1-100)]]&lt;=25,"Low",Table2[[#This Row],[Spending Score (1-100)]]&lt;=50,"Medium",Table2[[#This Row],[Spending Score (1-100)]]&lt;=75,"High",Table2[[#This Row],[Spending Score (1-100)]]&lt;=100,"Very High")</f>
        <v>Very High</v>
      </c>
      <c r="H169" t="s">
        <v>14</v>
      </c>
      <c r="I169">
        <v>0</v>
      </c>
      <c r="J169" t="str">
        <f>CONCATENATE(Table2[[#This Row],[Work Experience]],"years")</f>
        <v>0years</v>
      </c>
      <c r="K169" t="str">
        <f>CONCATENATE(Table2[[#This Row],[Family Size2]],"members")</f>
        <v>5members</v>
      </c>
      <c r="L169" t="str">
        <f>CONCATENATE(Table2[[#This Row],[Family Size2]],"members")</f>
        <v>5members</v>
      </c>
      <c r="M169">
        <v>5</v>
      </c>
    </row>
    <row r="170" spans="1:13">
      <c r="A170">
        <v>169</v>
      </c>
      <c r="B170" t="s">
        <v>11</v>
      </c>
      <c r="C170">
        <v>36</v>
      </c>
      <c r="D170" t="str" cm="1">
        <f t="array" ref="D170">_xlfn.IFS(Table2[[#This Row],[Age]]&lt;=11,"Gen A",Table2[[#This Row],[Age]]&lt;=27,"Gen Z",Table2[[#This Row],[Age]]&lt;=43,"Millenials",Table2[[#This Row],[Age]]&lt;=59,"Gen X",Table2[[#This Row],[Age]]&lt;=78,"Baby Boomers",Table2[[#This Row],[Age]]&lt;=96,"Silent",Table2[[#This Row],[Age]]&gt;=97,"Greatest")</f>
        <v>Millenials</v>
      </c>
      <c r="E170" s="1">
        <v>57000</v>
      </c>
      <c r="F170">
        <v>27</v>
      </c>
      <c r="G170" t="str" cm="1">
        <f t="array" ref="G170">_xlfn.IFS(Table2[[#This Row],[Spending Score (1-100)]]&lt;=25,"Low",Table2[[#This Row],[Spending Score (1-100)]]&lt;=50,"Medium",Table2[[#This Row],[Spending Score (1-100)]]&lt;=75,"High",Table2[[#This Row],[Spending Score (1-100)]]&lt;=100,"Very High")</f>
        <v>Medium</v>
      </c>
      <c r="H170" t="s">
        <v>14</v>
      </c>
      <c r="I170">
        <v>0</v>
      </c>
      <c r="J170" t="str">
        <f>CONCATENATE(Table2[[#This Row],[Work Experience]],"years")</f>
        <v>0years</v>
      </c>
      <c r="K170" t="str">
        <f>CONCATENATE(Table2[[#This Row],[Family Size2]],"members")</f>
        <v>3members</v>
      </c>
      <c r="L170" t="str">
        <f>CONCATENATE(Table2[[#This Row],[Family Size2]],"members")</f>
        <v>3members</v>
      </c>
      <c r="M170">
        <v>3</v>
      </c>
    </row>
    <row r="171" spans="1:13">
      <c r="A171">
        <v>170</v>
      </c>
      <c r="B171" t="s">
        <v>8</v>
      </c>
      <c r="C171">
        <v>32</v>
      </c>
      <c r="D171" t="str" cm="1">
        <f t="array" ref="D171">_xlfn.IFS(Table2[[#This Row],[Age]]&lt;=11,"Gen A",Table2[[#This Row],[Age]]&lt;=27,"Gen Z",Table2[[#This Row],[Age]]&lt;=43,"Millenials",Table2[[#This Row],[Age]]&lt;=59,"Gen X",Table2[[#This Row],[Age]]&lt;=78,"Baby Boomers",Table2[[#This Row],[Age]]&lt;=96,"Silent",Table2[[#This Row],[Age]]&gt;=97,"Greatest")</f>
        <v>Millenials</v>
      </c>
      <c r="E171" s="1">
        <v>0</v>
      </c>
      <c r="F171">
        <v>63</v>
      </c>
      <c r="G171" t="str" cm="1">
        <f t="array" ref="G171">_xlfn.IFS(Table2[[#This Row],[Spending Score (1-100)]]&lt;=25,"Low",Table2[[#This Row],[Spending Score (1-100)]]&lt;=50,"Medium",Table2[[#This Row],[Spending Score (1-100)]]&lt;=75,"High",Table2[[#This Row],[Spending Score (1-100)]]&lt;=100,"Very High")</f>
        <v>High</v>
      </c>
      <c r="H171" t="s">
        <v>14</v>
      </c>
      <c r="I171">
        <v>2</v>
      </c>
      <c r="J171" t="str">
        <f>CONCATENATE(Table2[[#This Row],[Work Experience]],"years")</f>
        <v>2years</v>
      </c>
      <c r="K171" t="str">
        <f>CONCATENATE(Table2[[#This Row],[Family Size2]],"members")</f>
        <v>2members</v>
      </c>
      <c r="L171" t="str">
        <f>CONCATENATE(Table2[[#This Row],[Family Size2]],"members")</f>
        <v>2members</v>
      </c>
      <c r="M171">
        <v>2</v>
      </c>
    </row>
    <row r="172" spans="1:13">
      <c r="A172">
        <v>171</v>
      </c>
      <c r="B172" t="s">
        <v>8</v>
      </c>
      <c r="C172">
        <v>40</v>
      </c>
      <c r="D172" t="str" cm="1">
        <f t="array" ref="D172">_xlfn.IFS(Table2[[#This Row],[Age]]&lt;=11,"Gen A",Table2[[#This Row],[Age]]&lt;=27,"Gen Z",Table2[[#This Row],[Age]]&lt;=43,"Millenials",Table2[[#This Row],[Age]]&lt;=59,"Gen X",Table2[[#This Row],[Age]]&lt;=78,"Baby Boomers",Table2[[#This Row],[Age]]&lt;=96,"Silent",Table2[[#This Row],[Age]]&gt;=97,"Greatest")</f>
        <v>Millenials</v>
      </c>
      <c r="E172" s="1">
        <v>69000</v>
      </c>
      <c r="F172">
        <v>13</v>
      </c>
      <c r="G172" t="str" cm="1">
        <f t="array" ref="G172">_xlfn.IFS(Table2[[#This Row],[Spending Score (1-100)]]&lt;=25,"Low",Table2[[#This Row],[Spending Score (1-100)]]&lt;=50,"Medium",Table2[[#This Row],[Spending Score (1-100)]]&lt;=75,"High",Table2[[#This Row],[Spending Score (1-100)]]&lt;=100,"Very High")</f>
        <v>Low</v>
      </c>
      <c r="H172" t="s">
        <v>14</v>
      </c>
      <c r="I172">
        <v>3</v>
      </c>
      <c r="J172" t="str">
        <f>CONCATENATE(Table2[[#This Row],[Work Experience]],"years")</f>
        <v>3years</v>
      </c>
      <c r="K172" t="str">
        <f>CONCATENATE(Table2[[#This Row],[Family Size2]],"members")</f>
        <v>5members</v>
      </c>
      <c r="L172" t="str">
        <f>CONCATENATE(Table2[[#This Row],[Family Size2]],"members")</f>
        <v>5members</v>
      </c>
      <c r="M172">
        <v>5</v>
      </c>
    </row>
    <row r="173" spans="1:13">
      <c r="A173">
        <v>172</v>
      </c>
      <c r="B173" t="s">
        <v>8</v>
      </c>
      <c r="C173">
        <v>28</v>
      </c>
      <c r="D173" t="str" cm="1">
        <f t="array" ref="D173">_xlfn.IFS(Table2[[#This Row],[Age]]&lt;=11,"Gen A",Table2[[#This Row],[Age]]&lt;=27,"Gen Z",Table2[[#This Row],[Age]]&lt;=43,"Millenials",Table2[[#This Row],[Age]]&lt;=59,"Gen X",Table2[[#This Row],[Age]]&lt;=78,"Baby Boomers",Table2[[#This Row],[Age]]&lt;=96,"Silent",Table2[[#This Row],[Age]]&gt;=97,"Greatest")</f>
        <v>Millenials</v>
      </c>
      <c r="E173" s="1">
        <v>4000</v>
      </c>
      <c r="F173">
        <v>75</v>
      </c>
      <c r="G173" t="str" cm="1">
        <f t="array" ref="G173">_xlfn.IFS(Table2[[#This Row],[Spending Score (1-100)]]&lt;=25,"Low",Table2[[#This Row],[Spending Score (1-100)]]&lt;=50,"Medium",Table2[[#This Row],[Spending Score (1-100)]]&lt;=75,"High",Table2[[#This Row],[Spending Score (1-100)]]&lt;=100,"Very High")</f>
        <v>High</v>
      </c>
      <c r="H173" t="s">
        <v>15</v>
      </c>
      <c r="I173">
        <v>0</v>
      </c>
      <c r="J173" t="str">
        <f>CONCATENATE(Table2[[#This Row],[Work Experience]],"years")</f>
        <v>0years</v>
      </c>
      <c r="K173" t="str">
        <f>CONCATENATE(Table2[[#This Row],[Family Size2]],"members")</f>
        <v>2members</v>
      </c>
      <c r="L173" t="str">
        <f>CONCATENATE(Table2[[#This Row],[Family Size2]],"members")</f>
        <v>2members</v>
      </c>
      <c r="M173">
        <v>2</v>
      </c>
    </row>
    <row r="174" spans="1:13">
      <c r="A174">
        <v>173</v>
      </c>
      <c r="B174" t="s">
        <v>8</v>
      </c>
      <c r="C174">
        <v>36</v>
      </c>
      <c r="D174" t="str" cm="1">
        <f t="array" ref="D174">_xlfn.IFS(Table2[[#This Row],[Age]]&lt;=11,"Gen A",Table2[[#This Row],[Age]]&lt;=27,"Gen Z",Table2[[#This Row],[Age]]&lt;=43,"Millenials",Table2[[#This Row],[Age]]&lt;=59,"Gen X",Table2[[#This Row],[Age]]&lt;=78,"Baby Boomers",Table2[[#This Row],[Age]]&lt;=96,"Silent",Table2[[#This Row],[Age]]&gt;=97,"Greatest")</f>
        <v>Millenials</v>
      </c>
      <c r="E174" s="1">
        <v>79000</v>
      </c>
      <c r="F174">
        <v>10</v>
      </c>
      <c r="G174" t="str" cm="1">
        <f t="array" ref="G174">_xlfn.IFS(Table2[[#This Row],[Spending Score (1-100)]]&lt;=25,"Low",Table2[[#This Row],[Spending Score (1-100)]]&lt;=50,"Medium",Table2[[#This Row],[Spending Score (1-100)]]&lt;=75,"High",Table2[[#This Row],[Spending Score (1-100)]]&lt;=100,"Very High")</f>
        <v>Low</v>
      </c>
      <c r="H174" t="s">
        <v>12</v>
      </c>
      <c r="I174">
        <v>0</v>
      </c>
      <c r="J174" t="str">
        <f>CONCATENATE(Table2[[#This Row],[Work Experience]],"years")</f>
        <v>0years</v>
      </c>
      <c r="K174" t="str">
        <f>CONCATENATE(Table2[[#This Row],[Family Size2]],"members")</f>
        <v>2members</v>
      </c>
      <c r="L174" t="str">
        <f>CONCATENATE(Table2[[#This Row],[Family Size2]],"members")</f>
        <v>2members</v>
      </c>
      <c r="M174">
        <v>2</v>
      </c>
    </row>
    <row r="175" spans="1:13">
      <c r="A175">
        <v>174</v>
      </c>
      <c r="B175" t="s">
        <v>8</v>
      </c>
      <c r="C175">
        <v>36</v>
      </c>
      <c r="D175" t="str" cm="1">
        <f t="array" ref="D175">_xlfn.IFS(Table2[[#This Row],[Age]]&lt;=11,"Gen A",Table2[[#This Row],[Age]]&lt;=27,"Gen Z",Table2[[#This Row],[Age]]&lt;=43,"Millenials",Table2[[#This Row],[Age]]&lt;=59,"Gen X",Table2[[#This Row],[Age]]&lt;=78,"Baby Boomers",Table2[[#This Row],[Age]]&lt;=96,"Silent",Table2[[#This Row],[Age]]&gt;=97,"Greatest")</f>
        <v>Millenials</v>
      </c>
      <c r="E175" s="1">
        <v>99000</v>
      </c>
      <c r="F175">
        <v>92</v>
      </c>
      <c r="G175" t="str" cm="1">
        <f t="array" ref="G175">_xlfn.IFS(Table2[[#This Row],[Spending Score (1-100)]]&lt;=25,"Low",Table2[[#This Row],[Spending Score (1-100)]]&lt;=50,"Medium",Table2[[#This Row],[Spending Score (1-100)]]&lt;=75,"High",Table2[[#This Row],[Spending Score (1-100)]]&lt;=100,"Very High")</f>
        <v>Very High</v>
      </c>
      <c r="H175" t="s">
        <v>14</v>
      </c>
      <c r="I175">
        <v>5</v>
      </c>
      <c r="J175" t="str">
        <f>CONCATENATE(Table2[[#This Row],[Work Experience]],"years")</f>
        <v>5years</v>
      </c>
      <c r="K175" t="str">
        <f>CONCATENATE(Table2[[#This Row],[Family Size2]],"members")</f>
        <v>2members</v>
      </c>
      <c r="L175" t="str">
        <f>CONCATENATE(Table2[[#This Row],[Family Size2]],"members")</f>
        <v>2members</v>
      </c>
      <c r="M175">
        <v>2</v>
      </c>
    </row>
    <row r="176" spans="1:13">
      <c r="A176">
        <v>175</v>
      </c>
      <c r="B176" t="s">
        <v>11</v>
      </c>
      <c r="C176">
        <v>52</v>
      </c>
      <c r="D176" t="str" cm="1">
        <f t="array" ref="D176">_xlfn.IFS(Table2[[#This Row],[Age]]&lt;=11,"Gen A",Table2[[#This Row],[Age]]&lt;=27,"Gen Z",Table2[[#This Row],[Age]]&lt;=43,"Millenials",Table2[[#This Row],[Age]]&lt;=59,"Gen X",Table2[[#This Row],[Age]]&lt;=78,"Baby Boomers",Table2[[#This Row],[Age]]&lt;=96,"Silent",Table2[[#This Row],[Age]]&gt;=97,"Greatest")</f>
        <v>Gen X</v>
      </c>
      <c r="E176" s="1">
        <v>20000</v>
      </c>
      <c r="F176">
        <v>13</v>
      </c>
      <c r="G176" t="str" cm="1">
        <f t="array" ref="G176">_xlfn.IFS(Table2[[#This Row],[Spending Score (1-100)]]&lt;=25,"Low",Table2[[#This Row],[Spending Score (1-100)]]&lt;=50,"Medium",Table2[[#This Row],[Spending Score (1-100)]]&lt;=75,"High",Table2[[#This Row],[Spending Score (1-100)]]&lt;=100,"Very High")</f>
        <v>Low</v>
      </c>
      <c r="H176" t="s">
        <v>12</v>
      </c>
      <c r="I176">
        <v>0</v>
      </c>
      <c r="J176" t="str">
        <f>CONCATENATE(Table2[[#This Row],[Work Experience]],"years")</f>
        <v>0years</v>
      </c>
      <c r="K176" t="str">
        <f>CONCATENATE(Table2[[#This Row],[Family Size2]],"members")</f>
        <v>2members</v>
      </c>
      <c r="L176" t="str">
        <f>CONCATENATE(Table2[[#This Row],[Family Size2]],"members")</f>
        <v>2members</v>
      </c>
      <c r="M176">
        <v>2</v>
      </c>
    </row>
    <row r="177" spans="1:13">
      <c r="A177">
        <v>176</v>
      </c>
      <c r="B177" t="s">
        <v>11</v>
      </c>
      <c r="C177">
        <v>30</v>
      </c>
      <c r="D177" t="str" cm="1">
        <f t="array" ref="D177">_xlfn.IFS(Table2[[#This Row],[Age]]&lt;=11,"Gen A",Table2[[#This Row],[Age]]&lt;=27,"Gen Z",Table2[[#This Row],[Age]]&lt;=43,"Millenials",Table2[[#This Row],[Age]]&lt;=59,"Gen X",Table2[[#This Row],[Age]]&lt;=78,"Baby Boomers",Table2[[#This Row],[Age]]&lt;=96,"Silent",Table2[[#This Row],[Age]]&gt;=97,"Greatest")</f>
        <v>Millenials</v>
      </c>
      <c r="E177" s="1">
        <v>28000</v>
      </c>
      <c r="F177">
        <v>86</v>
      </c>
      <c r="G177" t="str" cm="1">
        <f t="array" ref="G177">_xlfn.IFS(Table2[[#This Row],[Spending Score (1-100)]]&lt;=25,"Low",Table2[[#This Row],[Spending Score (1-100)]]&lt;=50,"Medium",Table2[[#This Row],[Spending Score (1-100)]]&lt;=75,"High",Table2[[#This Row],[Spending Score (1-100)]]&lt;=100,"Very High")</f>
        <v>Very High</v>
      </c>
      <c r="H177" t="s">
        <v>14</v>
      </c>
      <c r="I177">
        <v>3</v>
      </c>
      <c r="J177" t="str">
        <f>CONCATENATE(Table2[[#This Row],[Work Experience]],"years")</f>
        <v>3years</v>
      </c>
      <c r="K177" t="str">
        <f>CONCATENATE(Table2[[#This Row],[Family Size2]],"members")</f>
        <v>4members</v>
      </c>
      <c r="L177" t="str">
        <f>CONCATENATE(Table2[[#This Row],[Family Size2]],"members")</f>
        <v>4members</v>
      </c>
      <c r="M177">
        <v>4</v>
      </c>
    </row>
    <row r="178" spans="1:13">
      <c r="A178">
        <v>177</v>
      </c>
      <c r="B178" t="s">
        <v>8</v>
      </c>
      <c r="C178">
        <v>58</v>
      </c>
      <c r="D178" t="str" cm="1">
        <f t="array" ref="D178">_xlfn.IFS(Table2[[#This Row],[Age]]&lt;=11,"Gen A",Table2[[#This Row],[Age]]&lt;=27,"Gen Z",Table2[[#This Row],[Age]]&lt;=43,"Millenials",Table2[[#This Row],[Age]]&lt;=59,"Gen X",Table2[[#This Row],[Age]]&lt;=78,"Baby Boomers",Table2[[#This Row],[Age]]&lt;=96,"Silent",Table2[[#This Row],[Age]]&gt;=97,"Greatest")</f>
        <v>Gen X</v>
      </c>
      <c r="E178" s="1">
        <v>29000</v>
      </c>
      <c r="F178">
        <v>15</v>
      </c>
      <c r="G178" t="str" cm="1">
        <f t="array" ref="G178">_xlfn.IFS(Table2[[#This Row],[Spending Score (1-100)]]&lt;=25,"Low",Table2[[#This Row],[Spending Score (1-100)]]&lt;=50,"Medium",Table2[[#This Row],[Spending Score (1-100)]]&lt;=75,"High",Table2[[#This Row],[Spending Score (1-100)]]&lt;=100,"Very High")</f>
        <v>Low</v>
      </c>
      <c r="H178" t="s">
        <v>10</v>
      </c>
      <c r="I178">
        <v>11</v>
      </c>
      <c r="J178" t="str">
        <f>CONCATENATE(Table2[[#This Row],[Work Experience]],"years")</f>
        <v>11years</v>
      </c>
      <c r="K178" t="str">
        <f>CONCATENATE(Table2[[#This Row],[Family Size2]],"members")</f>
        <v>1members</v>
      </c>
      <c r="L178" t="str">
        <f>CONCATENATE(Table2[[#This Row],[Family Size2]],"members")</f>
        <v>1members</v>
      </c>
      <c r="M178">
        <v>1</v>
      </c>
    </row>
    <row r="179" spans="1:13">
      <c r="A179">
        <v>178</v>
      </c>
      <c r="B179" t="s">
        <v>8</v>
      </c>
      <c r="C179">
        <v>27</v>
      </c>
      <c r="D179" t="str" cm="1">
        <f t="array" ref="D179">_xlfn.IFS(Table2[[#This Row],[Age]]&lt;=11,"Gen A",Table2[[#This Row],[Age]]&lt;=27,"Gen Z",Table2[[#This Row],[Age]]&lt;=43,"Millenials",Table2[[#This Row],[Age]]&lt;=59,"Gen X",Table2[[#This Row],[Age]]&lt;=78,"Baby Boomers",Table2[[#This Row],[Age]]&lt;=96,"Silent",Table2[[#This Row],[Age]]&gt;=97,"Greatest")</f>
        <v>Gen Z</v>
      </c>
      <c r="E179" s="1">
        <v>45000</v>
      </c>
      <c r="F179">
        <v>69</v>
      </c>
      <c r="G179" t="str" cm="1">
        <f t="array" ref="G179">_xlfn.IFS(Table2[[#This Row],[Spending Score (1-100)]]&lt;=25,"Low",Table2[[#This Row],[Spending Score (1-100)]]&lt;=50,"Medium",Table2[[#This Row],[Spending Score (1-100)]]&lt;=75,"High",Table2[[#This Row],[Spending Score (1-100)]]&lt;=100,"Very High")</f>
        <v>High</v>
      </c>
      <c r="H179" t="s">
        <v>9</v>
      </c>
      <c r="I179">
        <v>2</v>
      </c>
      <c r="J179" t="str">
        <f>CONCATENATE(Table2[[#This Row],[Work Experience]],"years")</f>
        <v>2years</v>
      </c>
      <c r="K179" t="str">
        <f>CONCATENATE(Table2[[#This Row],[Family Size2]],"members")</f>
        <v>6members</v>
      </c>
      <c r="L179" t="str">
        <f>CONCATENATE(Table2[[#This Row],[Family Size2]],"members")</f>
        <v>6members</v>
      </c>
      <c r="M179">
        <v>6</v>
      </c>
    </row>
    <row r="180" spans="1:13">
      <c r="A180">
        <v>179</v>
      </c>
      <c r="B180" t="s">
        <v>8</v>
      </c>
      <c r="C180">
        <v>59</v>
      </c>
      <c r="D180" t="str" cm="1">
        <f t="array" ref="D180">_xlfn.IFS(Table2[[#This Row],[Age]]&lt;=11,"Gen A",Table2[[#This Row],[Age]]&lt;=27,"Gen Z",Table2[[#This Row],[Age]]&lt;=43,"Millenials",Table2[[#This Row],[Age]]&lt;=59,"Gen X",Table2[[#This Row],[Age]]&lt;=78,"Baby Boomers",Table2[[#This Row],[Age]]&lt;=96,"Silent",Table2[[#This Row],[Age]]&gt;=97,"Greatest")</f>
        <v>Gen X</v>
      </c>
      <c r="E180" s="1">
        <v>86000</v>
      </c>
      <c r="F180">
        <v>14</v>
      </c>
      <c r="G180" t="str" cm="1">
        <f t="array" ref="G180">_xlfn.IFS(Table2[[#This Row],[Spending Score (1-100)]]&lt;=25,"Low",Table2[[#This Row],[Spending Score (1-100)]]&lt;=50,"Medium",Table2[[#This Row],[Spending Score (1-100)]]&lt;=75,"High",Table2[[#This Row],[Spending Score (1-100)]]&lt;=100,"Very High")</f>
        <v>Low</v>
      </c>
      <c r="H180" t="s">
        <v>9</v>
      </c>
      <c r="I180">
        <v>4</v>
      </c>
      <c r="J180" t="str">
        <f>CONCATENATE(Table2[[#This Row],[Work Experience]],"years")</f>
        <v>4years</v>
      </c>
      <c r="K180" t="str">
        <f>CONCATENATE(Table2[[#This Row],[Family Size2]],"members")</f>
        <v>3members</v>
      </c>
      <c r="L180" t="str">
        <f>CONCATENATE(Table2[[#This Row],[Family Size2]],"members")</f>
        <v>3members</v>
      </c>
      <c r="M180">
        <v>3</v>
      </c>
    </row>
    <row r="181" spans="1:13">
      <c r="A181">
        <v>180</v>
      </c>
      <c r="B181" t="s">
        <v>8</v>
      </c>
      <c r="C181">
        <v>35</v>
      </c>
      <c r="D181" t="str" cm="1">
        <f t="array" ref="D181">_xlfn.IFS(Table2[[#This Row],[Age]]&lt;=11,"Gen A",Table2[[#This Row],[Age]]&lt;=27,"Gen Z",Table2[[#This Row],[Age]]&lt;=43,"Millenials",Table2[[#This Row],[Age]]&lt;=59,"Gen X",Table2[[#This Row],[Age]]&lt;=78,"Baby Boomers",Table2[[#This Row],[Age]]&lt;=96,"Silent",Table2[[#This Row],[Age]]&gt;=97,"Greatest")</f>
        <v>Millenials</v>
      </c>
      <c r="E181" s="1">
        <v>42000</v>
      </c>
      <c r="F181">
        <v>90</v>
      </c>
      <c r="G181" t="str" cm="1">
        <f t="array" ref="G181">_xlfn.IFS(Table2[[#This Row],[Spending Score (1-100)]]&lt;=25,"Low",Table2[[#This Row],[Spending Score (1-100)]]&lt;=50,"Medium",Table2[[#This Row],[Spending Score (1-100)]]&lt;=75,"High",Table2[[#This Row],[Spending Score (1-100)]]&lt;=100,"Very High")</f>
        <v>Very High</v>
      </c>
      <c r="H181" t="s">
        <v>10</v>
      </c>
      <c r="I181">
        <v>8</v>
      </c>
      <c r="J181" t="str">
        <f>CONCATENATE(Table2[[#This Row],[Work Experience]],"years")</f>
        <v>8years</v>
      </c>
      <c r="K181" t="str">
        <f>CONCATENATE(Table2[[#This Row],[Family Size2]],"members")</f>
        <v>1members</v>
      </c>
      <c r="L181" t="str">
        <f>CONCATENATE(Table2[[#This Row],[Family Size2]],"members")</f>
        <v>1members</v>
      </c>
      <c r="M181">
        <v>1</v>
      </c>
    </row>
    <row r="182" spans="1:13">
      <c r="A182">
        <v>181</v>
      </c>
      <c r="B182" t="s">
        <v>11</v>
      </c>
      <c r="C182">
        <v>37</v>
      </c>
      <c r="D182" t="str" cm="1">
        <f t="array" ref="D182">_xlfn.IFS(Table2[[#This Row],[Age]]&lt;=11,"Gen A",Table2[[#This Row],[Age]]&lt;=27,"Gen Z",Table2[[#This Row],[Age]]&lt;=43,"Millenials",Table2[[#This Row],[Age]]&lt;=59,"Gen X",Table2[[#This Row],[Age]]&lt;=78,"Baby Boomers",Table2[[#This Row],[Age]]&lt;=96,"Silent",Table2[[#This Row],[Age]]&gt;=97,"Greatest")</f>
        <v>Millenials</v>
      </c>
      <c r="E182" s="1">
        <v>59000</v>
      </c>
      <c r="F182">
        <v>32</v>
      </c>
      <c r="G182" t="str" cm="1">
        <f t="array" ref="G182">_xlfn.IFS(Table2[[#This Row],[Spending Score (1-100)]]&lt;=25,"Low",Table2[[#This Row],[Spending Score (1-100)]]&lt;=50,"Medium",Table2[[#This Row],[Spending Score (1-100)]]&lt;=75,"High",Table2[[#This Row],[Spending Score (1-100)]]&lt;=100,"Very High")</f>
        <v>Medium</v>
      </c>
      <c r="H182" t="s">
        <v>14</v>
      </c>
      <c r="I182">
        <v>7</v>
      </c>
      <c r="J182" t="str">
        <f>CONCATENATE(Table2[[#This Row],[Work Experience]],"years")</f>
        <v>7years</v>
      </c>
      <c r="K182" t="str">
        <f>CONCATENATE(Table2[[#This Row],[Family Size2]],"members")</f>
        <v>2members</v>
      </c>
      <c r="L182" t="str">
        <f>CONCATENATE(Table2[[#This Row],[Family Size2]],"members")</f>
        <v>2members</v>
      </c>
      <c r="M182">
        <v>2</v>
      </c>
    </row>
    <row r="183" spans="1:13">
      <c r="A183">
        <v>182</v>
      </c>
      <c r="B183" t="s">
        <v>11</v>
      </c>
      <c r="C183">
        <v>32</v>
      </c>
      <c r="D183" t="str" cm="1">
        <f t="array" ref="D183">_xlfn.IFS(Table2[[#This Row],[Age]]&lt;=11,"Gen A",Table2[[#This Row],[Age]]&lt;=27,"Gen Z",Table2[[#This Row],[Age]]&lt;=43,"Millenials",Table2[[#This Row],[Age]]&lt;=59,"Gen X",Table2[[#This Row],[Age]]&lt;=78,"Baby Boomers",Table2[[#This Row],[Age]]&lt;=96,"Silent",Table2[[#This Row],[Age]]&gt;=97,"Greatest")</f>
        <v>Millenials</v>
      </c>
      <c r="E183" s="1">
        <v>61000</v>
      </c>
      <c r="F183">
        <v>86</v>
      </c>
      <c r="G183" t="str" cm="1">
        <f t="array" ref="G183">_xlfn.IFS(Table2[[#This Row],[Spending Score (1-100)]]&lt;=25,"Low",Table2[[#This Row],[Spending Score (1-100)]]&lt;=50,"Medium",Table2[[#This Row],[Spending Score (1-100)]]&lt;=75,"High",Table2[[#This Row],[Spending Score (1-100)]]&lt;=100,"Very High")</f>
        <v>Very High</v>
      </c>
      <c r="H183" t="s">
        <v>13</v>
      </c>
      <c r="I183">
        <v>7</v>
      </c>
      <c r="J183" t="str">
        <f>CONCATENATE(Table2[[#This Row],[Work Experience]],"years")</f>
        <v>7years</v>
      </c>
      <c r="K183" t="str">
        <f>CONCATENATE(Table2[[#This Row],[Family Size2]],"members")</f>
        <v>5members</v>
      </c>
      <c r="L183" t="str">
        <f>CONCATENATE(Table2[[#This Row],[Family Size2]],"members")</f>
        <v>5members</v>
      </c>
      <c r="M183">
        <v>5</v>
      </c>
    </row>
    <row r="184" spans="1:13">
      <c r="A184">
        <v>183</v>
      </c>
      <c r="B184" t="s">
        <v>8</v>
      </c>
      <c r="C184">
        <v>46</v>
      </c>
      <c r="D184" t="str" cm="1">
        <f t="array" ref="D184">_xlfn.IFS(Table2[[#This Row],[Age]]&lt;=11,"Gen A",Table2[[#This Row],[Age]]&lt;=27,"Gen Z",Table2[[#This Row],[Age]]&lt;=43,"Millenials",Table2[[#This Row],[Age]]&lt;=59,"Gen X",Table2[[#This Row],[Age]]&lt;=78,"Baby Boomers",Table2[[#This Row],[Age]]&lt;=96,"Silent",Table2[[#This Row],[Age]]&gt;=97,"Greatest")</f>
        <v>Gen X</v>
      </c>
      <c r="E184" s="1">
        <v>11000</v>
      </c>
      <c r="F184">
        <v>15</v>
      </c>
      <c r="G184" t="str" cm="1">
        <f t="array" ref="G184">_xlfn.IFS(Table2[[#This Row],[Spending Score (1-100)]]&lt;=25,"Low",Table2[[#This Row],[Spending Score (1-100)]]&lt;=50,"Medium",Table2[[#This Row],[Spending Score (1-100)]]&lt;=75,"High",Table2[[#This Row],[Spending Score (1-100)]]&lt;=100,"Very High")</f>
        <v>Low</v>
      </c>
      <c r="H184" t="s">
        <v>14</v>
      </c>
      <c r="I184">
        <v>7</v>
      </c>
      <c r="J184" t="str">
        <f>CONCATENATE(Table2[[#This Row],[Work Experience]],"years")</f>
        <v>7years</v>
      </c>
      <c r="K184" t="str">
        <f>CONCATENATE(Table2[[#This Row],[Family Size2]],"members")</f>
        <v>1members</v>
      </c>
      <c r="L184" t="str">
        <f>CONCATENATE(Table2[[#This Row],[Family Size2]],"members")</f>
        <v>1members</v>
      </c>
      <c r="M184">
        <v>1</v>
      </c>
    </row>
    <row r="185" spans="1:13">
      <c r="A185">
        <v>184</v>
      </c>
      <c r="B185" t="s">
        <v>11</v>
      </c>
      <c r="C185">
        <v>29</v>
      </c>
      <c r="D185" t="str" cm="1">
        <f t="array" ref="D185">_xlfn.IFS(Table2[[#This Row],[Age]]&lt;=11,"Gen A",Table2[[#This Row],[Age]]&lt;=27,"Gen Z",Table2[[#This Row],[Age]]&lt;=43,"Millenials",Table2[[#This Row],[Age]]&lt;=59,"Gen X",Table2[[#This Row],[Age]]&lt;=78,"Baby Boomers",Table2[[#This Row],[Age]]&lt;=96,"Silent",Table2[[#This Row],[Age]]&gt;=97,"Greatest")</f>
        <v>Millenials</v>
      </c>
      <c r="E185" s="1">
        <v>66000</v>
      </c>
      <c r="F185">
        <v>88</v>
      </c>
      <c r="G185" t="str" cm="1">
        <f t="array" ref="G185">_xlfn.IFS(Table2[[#This Row],[Spending Score (1-100)]]&lt;=25,"Low",Table2[[#This Row],[Spending Score (1-100)]]&lt;=50,"Medium",Table2[[#This Row],[Spending Score (1-100)]]&lt;=75,"High",Table2[[#This Row],[Spending Score (1-100)]]&lt;=100,"Very High")</f>
        <v>Very High</v>
      </c>
      <c r="H185" t="s">
        <v>14</v>
      </c>
      <c r="I185">
        <v>4</v>
      </c>
      <c r="J185" t="str">
        <f>CONCATENATE(Table2[[#This Row],[Work Experience]],"years")</f>
        <v>4years</v>
      </c>
      <c r="K185" t="str">
        <f>CONCATENATE(Table2[[#This Row],[Family Size2]],"members")</f>
        <v>4members</v>
      </c>
      <c r="L185" t="str">
        <f>CONCATENATE(Table2[[#This Row],[Family Size2]],"members")</f>
        <v>4members</v>
      </c>
      <c r="M185">
        <v>4</v>
      </c>
    </row>
    <row r="186" spans="1:13">
      <c r="A186">
        <v>185</v>
      </c>
      <c r="B186" t="s">
        <v>11</v>
      </c>
      <c r="C186">
        <v>41</v>
      </c>
      <c r="D186" t="str" cm="1">
        <f t="array" ref="D186">_xlfn.IFS(Table2[[#This Row],[Age]]&lt;=11,"Gen A",Table2[[#This Row],[Age]]&lt;=27,"Gen Z",Table2[[#This Row],[Age]]&lt;=43,"Millenials",Table2[[#This Row],[Age]]&lt;=59,"Gen X",Table2[[#This Row],[Age]]&lt;=78,"Baby Boomers",Table2[[#This Row],[Age]]&lt;=96,"Silent",Table2[[#This Row],[Age]]&gt;=97,"Greatest")</f>
        <v>Millenials</v>
      </c>
      <c r="E186" s="1">
        <v>39000</v>
      </c>
      <c r="F186">
        <v>39</v>
      </c>
      <c r="G186" t="str" cm="1">
        <f t="array" ref="G186">_xlfn.IFS(Table2[[#This Row],[Spending Score (1-100)]]&lt;=25,"Low",Table2[[#This Row],[Spending Score (1-100)]]&lt;=50,"Medium",Table2[[#This Row],[Spending Score (1-100)]]&lt;=75,"High",Table2[[#This Row],[Spending Score (1-100)]]&lt;=100,"Very High")</f>
        <v>Medium</v>
      </c>
      <c r="H186" t="s">
        <v>14</v>
      </c>
      <c r="I186">
        <v>1</v>
      </c>
      <c r="J186" t="str">
        <f>CONCATENATE(Table2[[#This Row],[Work Experience]],"years")</f>
        <v>1years</v>
      </c>
      <c r="K186" t="str">
        <f>CONCATENATE(Table2[[#This Row],[Family Size2]],"members")</f>
        <v>1members</v>
      </c>
      <c r="L186" t="str">
        <f>CONCATENATE(Table2[[#This Row],[Family Size2]],"members")</f>
        <v>1members</v>
      </c>
      <c r="M186">
        <v>1</v>
      </c>
    </row>
    <row r="187" spans="1:13">
      <c r="A187">
        <v>186</v>
      </c>
      <c r="B187" t="s">
        <v>8</v>
      </c>
      <c r="C187">
        <v>30</v>
      </c>
      <c r="D187" t="str" cm="1">
        <f t="array" ref="D187">_xlfn.IFS(Table2[[#This Row],[Age]]&lt;=11,"Gen A",Table2[[#This Row],[Age]]&lt;=27,"Gen Z",Table2[[#This Row],[Age]]&lt;=43,"Millenials",Table2[[#This Row],[Age]]&lt;=59,"Gen X",Table2[[#This Row],[Age]]&lt;=78,"Baby Boomers",Table2[[#This Row],[Age]]&lt;=96,"Silent",Table2[[#This Row],[Age]]&gt;=97,"Greatest")</f>
        <v>Millenials</v>
      </c>
      <c r="E187" s="1">
        <v>72000</v>
      </c>
      <c r="F187">
        <v>97</v>
      </c>
      <c r="G187" t="str" cm="1">
        <f t="array" ref="G187">_xlfn.IFS(Table2[[#This Row],[Spending Score (1-100)]]&lt;=25,"Low",Table2[[#This Row],[Spending Score (1-100)]]&lt;=50,"Medium",Table2[[#This Row],[Spending Score (1-100)]]&lt;=75,"High",Table2[[#This Row],[Spending Score (1-100)]]&lt;=100,"Very High")</f>
        <v>Very High</v>
      </c>
      <c r="H187" t="s">
        <v>14</v>
      </c>
      <c r="I187">
        <v>6</v>
      </c>
      <c r="J187" t="str">
        <f>CONCATENATE(Table2[[#This Row],[Work Experience]],"years")</f>
        <v>6years</v>
      </c>
      <c r="K187" t="str">
        <f>CONCATENATE(Table2[[#This Row],[Family Size2]],"members")</f>
        <v>2members</v>
      </c>
      <c r="L187" t="str">
        <f>CONCATENATE(Table2[[#This Row],[Family Size2]],"members")</f>
        <v>2members</v>
      </c>
      <c r="M187">
        <v>2</v>
      </c>
    </row>
    <row r="188" spans="1:13">
      <c r="A188">
        <v>187</v>
      </c>
      <c r="B188" t="s">
        <v>11</v>
      </c>
      <c r="C188">
        <v>54</v>
      </c>
      <c r="D188" t="str" cm="1">
        <f t="array" ref="D188">_xlfn.IFS(Table2[[#This Row],[Age]]&lt;=11,"Gen A",Table2[[#This Row],[Age]]&lt;=27,"Gen Z",Table2[[#This Row],[Age]]&lt;=43,"Millenials",Table2[[#This Row],[Age]]&lt;=59,"Gen X",Table2[[#This Row],[Age]]&lt;=78,"Baby Boomers",Table2[[#This Row],[Age]]&lt;=96,"Silent",Table2[[#This Row],[Age]]&gt;=97,"Greatest")</f>
        <v>Gen X</v>
      </c>
      <c r="E188" s="1">
        <v>14000</v>
      </c>
      <c r="F188">
        <v>24</v>
      </c>
      <c r="G188" t="str" cm="1">
        <f t="array" ref="G188">_xlfn.IFS(Table2[[#This Row],[Spending Score (1-100)]]&lt;=25,"Low",Table2[[#This Row],[Spending Score (1-100)]]&lt;=50,"Medium",Table2[[#This Row],[Spending Score (1-100)]]&lt;=75,"High",Table2[[#This Row],[Spending Score (1-100)]]&lt;=100,"Very High")</f>
        <v>Low</v>
      </c>
      <c r="H188" t="s">
        <v>12</v>
      </c>
      <c r="I188">
        <v>1</v>
      </c>
      <c r="J188" t="str">
        <f>CONCATENATE(Table2[[#This Row],[Work Experience]],"years")</f>
        <v>1years</v>
      </c>
      <c r="K188" t="str">
        <f>CONCATENATE(Table2[[#This Row],[Family Size2]],"members")</f>
        <v>2members</v>
      </c>
      <c r="L188" t="str">
        <f>CONCATENATE(Table2[[#This Row],[Family Size2]],"members")</f>
        <v>2members</v>
      </c>
      <c r="M188">
        <v>2</v>
      </c>
    </row>
    <row r="189" spans="1:13">
      <c r="A189">
        <v>188</v>
      </c>
      <c r="B189" t="s">
        <v>8</v>
      </c>
      <c r="C189">
        <v>28</v>
      </c>
      <c r="D189" t="str" cm="1">
        <f t="array" ref="D189">_xlfn.IFS(Table2[[#This Row],[Age]]&lt;=11,"Gen A",Table2[[#This Row],[Age]]&lt;=27,"Gen Z",Table2[[#This Row],[Age]]&lt;=43,"Millenials",Table2[[#This Row],[Age]]&lt;=59,"Gen X",Table2[[#This Row],[Age]]&lt;=78,"Baby Boomers",Table2[[#This Row],[Age]]&lt;=96,"Silent",Table2[[#This Row],[Age]]&gt;=97,"Greatest")</f>
        <v>Millenials</v>
      </c>
      <c r="E189" s="1">
        <v>44000</v>
      </c>
      <c r="F189">
        <v>68</v>
      </c>
      <c r="G189" t="str" cm="1">
        <f t="array" ref="G189">_xlfn.IFS(Table2[[#This Row],[Spending Score (1-100)]]&lt;=25,"Low",Table2[[#This Row],[Spending Score (1-100)]]&lt;=50,"Medium",Table2[[#This Row],[Spending Score (1-100)]]&lt;=75,"High",Table2[[#This Row],[Spending Score (1-100)]]&lt;=100,"Very High")</f>
        <v>High</v>
      </c>
      <c r="H189" t="s">
        <v>16</v>
      </c>
      <c r="I189">
        <v>5</v>
      </c>
      <c r="J189" t="str">
        <f>CONCATENATE(Table2[[#This Row],[Work Experience]],"years")</f>
        <v>5years</v>
      </c>
      <c r="K189" t="str">
        <f>CONCATENATE(Table2[[#This Row],[Family Size2]],"members")</f>
        <v>3members</v>
      </c>
      <c r="L189" t="str">
        <f>CONCATENATE(Table2[[#This Row],[Family Size2]],"members")</f>
        <v>3members</v>
      </c>
      <c r="M189">
        <v>3</v>
      </c>
    </row>
    <row r="190" spans="1:13">
      <c r="A190">
        <v>189</v>
      </c>
      <c r="B190" t="s">
        <v>11</v>
      </c>
      <c r="C190">
        <v>41</v>
      </c>
      <c r="D190" t="str" cm="1">
        <f t="array" ref="D190">_xlfn.IFS(Table2[[#This Row],[Age]]&lt;=11,"Gen A",Table2[[#This Row],[Age]]&lt;=27,"Gen Z",Table2[[#This Row],[Age]]&lt;=43,"Millenials",Table2[[#This Row],[Age]]&lt;=59,"Gen X",Table2[[#This Row],[Age]]&lt;=78,"Baby Boomers",Table2[[#This Row],[Age]]&lt;=96,"Silent",Table2[[#This Row],[Age]]&gt;=97,"Greatest")</f>
        <v>Millenials</v>
      </c>
      <c r="E190" s="1">
        <v>76000</v>
      </c>
      <c r="F190">
        <v>17</v>
      </c>
      <c r="G190" t="str" cm="1">
        <f t="array" ref="G190">_xlfn.IFS(Table2[[#This Row],[Spending Score (1-100)]]&lt;=25,"Low",Table2[[#This Row],[Spending Score (1-100)]]&lt;=50,"Medium",Table2[[#This Row],[Spending Score (1-100)]]&lt;=75,"High",Table2[[#This Row],[Spending Score (1-100)]]&lt;=100,"Very High")</f>
        <v>Low</v>
      </c>
      <c r="H190" t="s">
        <v>10</v>
      </c>
      <c r="I190">
        <v>8</v>
      </c>
      <c r="J190" t="str">
        <f>CONCATENATE(Table2[[#This Row],[Work Experience]],"years")</f>
        <v>8years</v>
      </c>
      <c r="K190" t="str">
        <f>CONCATENATE(Table2[[#This Row],[Family Size2]],"members")</f>
        <v>2members</v>
      </c>
      <c r="L190" t="str">
        <f>CONCATENATE(Table2[[#This Row],[Family Size2]],"members")</f>
        <v>2members</v>
      </c>
      <c r="M190">
        <v>2</v>
      </c>
    </row>
    <row r="191" spans="1:13">
      <c r="A191">
        <v>190</v>
      </c>
      <c r="B191" t="s">
        <v>11</v>
      </c>
      <c r="C191">
        <v>36</v>
      </c>
      <c r="D191" t="str" cm="1">
        <f t="array" ref="D191">_xlfn.IFS(Table2[[#This Row],[Age]]&lt;=11,"Gen A",Table2[[#This Row],[Age]]&lt;=27,"Gen Z",Table2[[#This Row],[Age]]&lt;=43,"Millenials",Table2[[#This Row],[Age]]&lt;=59,"Gen X",Table2[[#This Row],[Age]]&lt;=78,"Baby Boomers",Table2[[#This Row],[Age]]&lt;=96,"Silent",Table2[[#This Row],[Age]]&gt;=97,"Greatest")</f>
        <v>Millenials</v>
      </c>
      <c r="E191" s="1">
        <v>95000</v>
      </c>
      <c r="F191">
        <v>85</v>
      </c>
      <c r="G191" t="str" cm="1">
        <f t="array" ref="G191">_xlfn.IFS(Table2[[#This Row],[Spending Score (1-100)]]&lt;=25,"Low",Table2[[#This Row],[Spending Score (1-100)]]&lt;=50,"Medium",Table2[[#This Row],[Spending Score (1-100)]]&lt;=75,"High",Table2[[#This Row],[Spending Score (1-100)]]&lt;=100,"Very High")</f>
        <v>Very High</v>
      </c>
      <c r="H191" t="s">
        <v>14</v>
      </c>
      <c r="I191">
        <v>4</v>
      </c>
      <c r="J191" t="str">
        <f>CONCATENATE(Table2[[#This Row],[Work Experience]],"years")</f>
        <v>4years</v>
      </c>
      <c r="K191" t="str">
        <f>CONCATENATE(Table2[[#This Row],[Family Size2]],"members")</f>
        <v>2members</v>
      </c>
      <c r="L191" t="str">
        <f>CONCATENATE(Table2[[#This Row],[Family Size2]],"members")</f>
        <v>2members</v>
      </c>
      <c r="M191">
        <v>2</v>
      </c>
    </row>
    <row r="192" spans="1:13">
      <c r="A192">
        <v>191</v>
      </c>
      <c r="B192" t="s">
        <v>11</v>
      </c>
      <c r="C192">
        <v>34</v>
      </c>
      <c r="D192" t="str" cm="1">
        <f t="array" ref="D192">_xlfn.IFS(Table2[[#This Row],[Age]]&lt;=11,"Gen A",Table2[[#This Row],[Age]]&lt;=27,"Gen Z",Table2[[#This Row],[Age]]&lt;=43,"Millenials",Table2[[#This Row],[Age]]&lt;=59,"Gen X",Table2[[#This Row],[Age]]&lt;=78,"Baby Boomers",Table2[[#This Row],[Age]]&lt;=96,"Silent",Table2[[#This Row],[Age]]&gt;=97,"Greatest")</f>
        <v>Millenials</v>
      </c>
      <c r="E192" s="1">
        <v>92000</v>
      </c>
      <c r="F192">
        <v>23</v>
      </c>
      <c r="G192" t="str" cm="1">
        <f t="array" ref="G192">_xlfn.IFS(Table2[[#This Row],[Spending Score (1-100)]]&lt;=25,"Low",Table2[[#This Row],[Spending Score (1-100)]]&lt;=50,"Medium",Table2[[#This Row],[Spending Score (1-100)]]&lt;=75,"High",Table2[[#This Row],[Spending Score (1-100)]]&lt;=100,"Very High")</f>
        <v>Low</v>
      </c>
      <c r="H192" t="s">
        <v>14</v>
      </c>
      <c r="I192">
        <v>5</v>
      </c>
      <c r="J192" t="str">
        <f>CONCATENATE(Table2[[#This Row],[Work Experience]],"years")</f>
        <v>5years</v>
      </c>
      <c r="K192" t="str">
        <f>CONCATENATE(Table2[[#This Row],[Family Size2]],"members")</f>
        <v>3members</v>
      </c>
      <c r="L192" t="str">
        <f>CONCATENATE(Table2[[#This Row],[Family Size2]],"members")</f>
        <v>3members</v>
      </c>
      <c r="M192">
        <v>3</v>
      </c>
    </row>
    <row r="193" spans="1:13">
      <c r="A193">
        <v>192</v>
      </c>
      <c r="B193" t="s">
        <v>11</v>
      </c>
      <c r="C193">
        <v>32</v>
      </c>
      <c r="D193" t="str" cm="1">
        <f t="array" ref="D193">_xlfn.IFS(Table2[[#This Row],[Age]]&lt;=11,"Gen A",Table2[[#This Row],[Age]]&lt;=27,"Gen Z",Table2[[#This Row],[Age]]&lt;=43,"Millenials",Table2[[#This Row],[Age]]&lt;=59,"Gen X",Table2[[#This Row],[Age]]&lt;=78,"Baby Boomers",Table2[[#This Row],[Age]]&lt;=96,"Silent",Table2[[#This Row],[Age]]&gt;=97,"Greatest")</f>
        <v>Millenials</v>
      </c>
      <c r="E193" s="1">
        <v>98000</v>
      </c>
      <c r="F193">
        <v>69</v>
      </c>
      <c r="G193" t="str" cm="1">
        <f t="array" ref="G193">_xlfn.IFS(Table2[[#This Row],[Spending Score (1-100)]]&lt;=25,"Low",Table2[[#This Row],[Spending Score (1-100)]]&lt;=50,"Medium",Table2[[#This Row],[Spending Score (1-100)]]&lt;=75,"High",Table2[[#This Row],[Spending Score (1-100)]]&lt;=100,"Very High")</f>
        <v>High</v>
      </c>
      <c r="H193" t="s">
        <v>14</v>
      </c>
      <c r="I193">
        <v>8</v>
      </c>
      <c r="J193" t="str">
        <f>CONCATENATE(Table2[[#This Row],[Work Experience]],"years")</f>
        <v>8years</v>
      </c>
      <c r="K193" t="str">
        <f>CONCATENATE(Table2[[#This Row],[Family Size2]],"members")</f>
        <v>2members</v>
      </c>
      <c r="L193" t="str">
        <f>CONCATENATE(Table2[[#This Row],[Family Size2]],"members")</f>
        <v>2members</v>
      </c>
      <c r="M193">
        <v>2</v>
      </c>
    </row>
    <row r="194" spans="1:13">
      <c r="A194">
        <v>193</v>
      </c>
      <c r="B194" t="s">
        <v>8</v>
      </c>
      <c r="C194">
        <v>33</v>
      </c>
      <c r="D194" t="str" cm="1">
        <f t="array" ref="D194">_xlfn.IFS(Table2[[#This Row],[Age]]&lt;=11,"Gen A",Table2[[#This Row],[Age]]&lt;=27,"Gen Z",Table2[[#This Row],[Age]]&lt;=43,"Millenials",Table2[[#This Row],[Age]]&lt;=59,"Gen X",Table2[[#This Row],[Age]]&lt;=78,"Baby Boomers",Table2[[#This Row],[Age]]&lt;=96,"Silent",Table2[[#This Row],[Age]]&gt;=97,"Greatest")</f>
        <v>Millenials</v>
      </c>
      <c r="E194" s="1">
        <v>96000</v>
      </c>
      <c r="F194">
        <v>8</v>
      </c>
      <c r="G194" t="str" cm="1">
        <f t="array" ref="G194">_xlfn.IFS(Table2[[#This Row],[Spending Score (1-100)]]&lt;=25,"Low",Table2[[#This Row],[Spending Score (1-100)]]&lt;=50,"Medium",Table2[[#This Row],[Spending Score (1-100)]]&lt;=75,"High",Table2[[#This Row],[Spending Score (1-100)]]&lt;=100,"Very High")</f>
        <v>Low</v>
      </c>
      <c r="H194" t="s">
        <v>15</v>
      </c>
      <c r="I194">
        <v>9</v>
      </c>
      <c r="J194" t="str">
        <f>CONCATENATE(Table2[[#This Row],[Work Experience]],"years")</f>
        <v>9years</v>
      </c>
      <c r="K194" t="str">
        <f>CONCATENATE(Table2[[#This Row],[Family Size2]],"members")</f>
        <v>2members</v>
      </c>
      <c r="L194" t="str">
        <f>CONCATENATE(Table2[[#This Row],[Family Size2]],"members")</f>
        <v>2members</v>
      </c>
      <c r="M194">
        <v>2</v>
      </c>
    </row>
    <row r="195" spans="1:13">
      <c r="A195">
        <v>194</v>
      </c>
      <c r="B195" t="s">
        <v>11</v>
      </c>
      <c r="C195">
        <v>38</v>
      </c>
      <c r="D195" t="str" cm="1">
        <f t="array" ref="D195">_xlfn.IFS(Table2[[#This Row],[Age]]&lt;=11,"Gen A",Table2[[#This Row],[Age]]&lt;=27,"Gen Z",Table2[[#This Row],[Age]]&lt;=43,"Millenials",Table2[[#This Row],[Age]]&lt;=59,"Gen X",Table2[[#This Row],[Age]]&lt;=78,"Baby Boomers",Table2[[#This Row],[Age]]&lt;=96,"Silent",Table2[[#This Row],[Age]]&gt;=97,"Greatest")</f>
        <v>Millenials</v>
      </c>
      <c r="E195" s="1">
        <v>45000</v>
      </c>
      <c r="F195">
        <v>91</v>
      </c>
      <c r="G195" t="str" cm="1">
        <f t="array" ref="G195">_xlfn.IFS(Table2[[#This Row],[Spending Score (1-100)]]&lt;=25,"Low",Table2[[#This Row],[Spending Score (1-100)]]&lt;=50,"Medium",Table2[[#This Row],[Spending Score (1-100)]]&lt;=75,"High",Table2[[#This Row],[Spending Score (1-100)]]&lt;=100,"Very High")</f>
        <v>Very High</v>
      </c>
      <c r="H195" t="s">
        <v>14</v>
      </c>
      <c r="I195">
        <v>10</v>
      </c>
      <c r="J195" t="str">
        <f>CONCATENATE(Table2[[#This Row],[Work Experience]],"years")</f>
        <v>10years</v>
      </c>
      <c r="K195" t="str">
        <f>CONCATENATE(Table2[[#This Row],[Family Size2]],"members")</f>
        <v>4members</v>
      </c>
      <c r="L195" t="str">
        <f>CONCATENATE(Table2[[#This Row],[Family Size2]],"members")</f>
        <v>4members</v>
      </c>
      <c r="M195">
        <v>4</v>
      </c>
    </row>
    <row r="196" spans="1:13">
      <c r="A196">
        <v>195</v>
      </c>
      <c r="B196" t="s">
        <v>11</v>
      </c>
      <c r="C196">
        <v>47</v>
      </c>
      <c r="D196" t="str" cm="1">
        <f t="array" ref="D196">_xlfn.IFS(Table2[[#This Row],[Age]]&lt;=11,"Gen A",Table2[[#This Row],[Age]]&lt;=27,"Gen Z",Table2[[#This Row],[Age]]&lt;=43,"Millenials",Table2[[#This Row],[Age]]&lt;=59,"Gen X",Table2[[#This Row],[Age]]&lt;=78,"Baby Boomers",Table2[[#This Row],[Age]]&lt;=96,"Silent",Table2[[#This Row],[Age]]&gt;=97,"Greatest")</f>
        <v>Gen X</v>
      </c>
      <c r="E196" s="1">
        <v>8000</v>
      </c>
      <c r="F196">
        <v>16</v>
      </c>
      <c r="G196" t="str" cm="1">
        <f t="array" ref="G196">_xlfn.IFS(Table2[[#This Row],[Spending Score (1-100)]]&lt;=25,"Low",Table2[[#This Row],[Spending Score (1-100)]]&lt;=50,"Medium",Table2[[#This Row],[Spending Score (1-100)]]&lt;=75,"High",Table2[[#This Row],[Spending Score (1-100)]]&lt;=100,"Very High")</f>
        <v>Low</v>
      </c>
      <c r="H196" t="s">
        <v>14</v>
      </c>
      <c r="I196">
        <v>7</v>
      </c>
      <c r="J196" t="str">
        <f>CONCATENATE(Table2[[#This Row],[Work Experience]],"years")</f>
        <v>7years</v>
      </c>
      <c r="K196" t="str">
        <f>CONCATENATE(Table2[[#This Row],[Family Size2]],"members")</f>
        <v>2members</v>
      </c>
      <c r="L196" t="str">
        <f>CONCATENATE(Table2[[#This Row],[Family Size2]],"members")</f>
        <v>2members</v>
      </c>
      <c r="M196">
        <v>2</v>
      </c>
    </row>
    <row r="197" spans="1:13">
      <c r="A197">
        <v>196</v>
      </c>
      <c r="B197" t="s">
        <v>11</v>
      </c>
      <c r="C197">
        <v>35</v>
      </c>
      <c r="D197" t="str" cm="1">
        <f t="array" ref="D197">_xlfn.IFS(Table2[[#This Row],[Age]]&lt;=11,"Gen A",Table2[[#This Row],[Age]]&lt;=27,"Gen Z",Table2[[#This Row],[Age]]&lt;=43,"Millenials",Table2[[#This Row],[Age]]&lt;=59,"Gen X",Table2[[#This Row],[Age]]&lt;=78,"Baby Boomers",Table2[[#This Row],[Age]]&lt;=96,"Silent",Table2[[#This Row],[Age]]&gt;=97,"Greatest")</f>
        <v>Millenials</v>
      </c>
      <c r="E197" s="1">
        <v>46000</v>
      </c>
      <c r="F197">
        <v>79</v>
      </c>
      <c r="G197" t="str" cm="1">
        <f t="array" ref="G197">_xlfn.IFS(Table2[[#This Row],[Spending Score (1-100)]]&lt;=25,"Low",Table2[[#This Row],[Spending Score (1-100)]]&lt;=50,"Medium",Table2[[#This Row],[Spending Score (1-100)]]&lt;=75,"High",Table2[[#This Row],[Spending Score (1-100)]]&lt;=100,"Very High")</f>
        <v>Very High</v>
      </c>
      <c r="H197" t="s">
        <v>15</v>
      </c>
      <c r="I197">
        <v>1</v>
      </c>
      <c r="J197" t="str">
        <f>CONCATENATE(Table2[[#This Row],[Work Experience]],"years")</f>
        <v>1years</v>
      </c>
      <c r="K197" t="str">
        <f>CONCATENATE(Table2[[#This Row],[Family Size2]],"members")</f>
        <v>3members</v>
      </c>
      <c r="L197" t="str">
        <f>CONCATENATE(Table2[[#This Row],[Family Size2]],"members")</f>
        <v>3members</v>
      </c>
      <c r="M197">
        <v>3</v>
      </c>
    </row>
    <row r="198" spans="1:13">
      <c r="A198">
        <v>197</v>
      </c>
      <c r="B198" t="s">
        <v>11</v>
      </c>
      <c r="C198">
        <v>45</v>
      </c>
      <c r="D198" t="str" cm="1">
        <f t="array" ref="D198">_xlfn.IFS(Table2[[#This Row],[Age]]&lt;=11,"Gen A",Table2[[#This Row],[Age]]&lt;=27,"Gen Z",Table2[[#This Row],[Age]]&lt;=43,"Millenials",Table2[[#This Row],[Age]]&lt;=59,"Gen X",Table2[[#This Row],[Age]]&lt;=78,"Baby Boomers",Table2[[#This Row],[Age]]&lt;=96,"Silent",Table2[[#This Row],[Age]]&gt;=97,"Greatest")</f>
        <v>Gen X</v>
      </c>
      <c r="E198" s="1">
        <v>78000</v>
      </c>
      <c r="F198">
        <v>28</v>
      </c>
      <c r="G198" t="str" cm="1">
        <f t="array" ref="G198">_xlfn.IFS(Table2[[#This Row],[Spending Score (1-100)]]&lt;=25,"Low",Table2[[#This Row],[Spending Score (1-100)]]&lt;=50,"Medium",Table2[[#This Row],[Spending Score (1-100)]]&lt;=75,"High",Table2[[#This Row],[Spending Score (1-100)]]&lt;=100,"Very High")</f>
        <v>Medium</v>
      </c>
      <c r="H198" t="s">
        <v>14</v>
      </c>
      <c r="I198">
        <v>0</v>
      </c>
      <c r="J198" t="str">
        <f>CONCATENATE(Table2[[#This Row],[Work Experience]],"years")</f>
        <v>0years</v>
      </c>
      <c r="K198" t="str">
        <f>CONCATENATE(Table2[[#This Row],[Family Size2]],"members")</f>
        <v>2members</v>
      </c>
      <c r="L198" t="str">
        <f>CONCATENATE(Table2[[#This Row],[Family Size2]],"members")</f>
        <v>2members</v>
      </c>
      <c r="M198">
        <v>2</v>
      </c>
    </row>
    <row r="199" spans="1:13">
      <c r="A199">
        <v>198</v>
      </c>
      <c r="B199" t="s">
        <v>8</v>
      </c>
      <c r="C199">
        <v>32</v>
      </c>
      <c r="D199" t="str" cm="1">
        <f t="array" ref="D199">_xlfn.IFS(Table2[[#This Row],[Age]]&lt;=11,"Gen A",Table2[[#This Row],[Age]]&lt;=27,"Gen Z",Table2[[#This Row],[Age]]&lt;=43,"Millenials",Table2[[#This Row],[Age]]&lt;=59,"Gen X",Table2[[#This Row],[Age]]&lt;=78,"Baby Boomers",Table2[[#This Row],[Age]]&lt;=96,"Silent",Table2[[#This Row],[Age]]&gt;=97,"Greatest")</f>
        <v>Millenials</v>
      </c>
      <c r="E199" s="1">
        <v>4000</v>
      </c>
      <c r="F199">
        <v>74</v>
      </c>
      <c r="G199" t="str" cm="1">
        <f t="array" ref="G199">_xlfn.IFS(Table2[[#This Row],[Spending Score (1-100)]]&lt;=25,"Low",Table2[[#This Row],[Spending Score (1-100)]]&lt;=50,"Medium",Table2[[#This Row],[Spending Score (1-100)]]&lt;=75,"High",Table2[[#This Row],[Spending Score (1-100)]]&lt;=100,"Very High")</f>
        <v>High</v>
      </c>
      <c r="H199" t="s">
        <v>14</v>
      </c>
      <c r="I199">
        <v>1</v>
      </c>
      <c r="J199" t="str">
        <f>CONCATENATE(Table2[[#This Row],[Work Experience]],"years")</f>
        <v>1years</v>
      </c>
      <c r="K199" t="str">
        <f>CONCATENATE(Table2[[#This Row],[Family Size2]],"members")</f>
        <v>5members</v>
      </c>
      <c r="L199" t="str">
        <f>CONCATENATE(Table2[[#This Row],[Family Size2]],"members")</f>
        <v>5members</v>
      </c>
      <c r="M199">
        <v>5</v>
      </c>
    </row>
    <row r="200" spans="1:13">
      <c r="A200">
        <v>199</v>
      </c>
      <c r="B200" t="s">
        <v>8</v>
      </c>
      <c r="C200">
        <v>32</v>
      </c>
      <c r="D200" t="str" cm="1">
        <f t="array" ref="D200">_xlfn.IFS(Table2[[#This Row],[Age]]&lt;=11,"Gen A",Table2[[#This Row],[Age]]&lt;=27,"Gen Z",Table2[[#This Row],[Age]]&lt;=43,"Millenials",Table2[[#This Row],[Age]]&lt;=59,"Gen X",Table2[[#This Row],[Age]]&lt;=78,"Baby Boomers",Table2[[#This Row],[Age]]&lt;=96,"Silent",Table2[[#This Row],[Age]]&gt;=97,"Greatest")</f>
        <v>Millenials</v>
      </c>
      <c r="E200" s="1">
        <v>81000</v>
      </c>
      <c r="F200">
        <v>18</v>
      </c>
      <c r="G200" t="str" cm="1">
        <f t="array" ref="G200">_xlfn.IFS(Table2[[#This Row],[Spending Score (1-100)]]&lt;=25,"Low",Table2[[#This Row],[Spending Score (1-100)]]&lt;=50,"Medium",Table2[[#This Row],[Spending Score (1-100)]]&lt;=75,"High",Table2[[#This Row],[Spending Score (1-100)]]&lt;=100,"Very High")</f>
        <v>Low</v>
      </c>
      <c r="H200" t="s">
        <v>15</v>
      </c>
      <c r="I200">
        <v>1</v>
      </c>
      <c r="J200" t="str">
        <f>CONCATENATE(Table2[[#This Row],[Work Experience]],"years")</f>
        <v>1years</v>
      </c>
      <c r="K200" t="str">
        <f>CONCATENATE(Table2[[#This Row],[Family Size2]],"members")</f>
        <v>2members</v>
      </c>
      <c r="L200" t="str">
        <f>CONCATENATE(Table2[[#This Row],[Family Size2]],"members")</f>
        <v>2members</v>
      </c>
      <c r="M200">
        <v>2</v>
      </c>
    </row>
    <row r="201" spans="1:13">
      <c r="A201">
        <v>200</v>
      </c>
      <c r="B201" t="s">
        <v>8</v>
      </c>
      <c r="C201">
        <v>30</v>
      </c>
      <c r="D201" t="str" cm="1">
        <f t="array" ref="D201">_xlfn.IFS(Table2[[#This Row],[Age]]&lt;=11,"Gen A",Table2[[#This Row],[Age]]&lt;=27,"Gen Z",Table2[[#This Row],[Age]]&lt;=43,"Millenials",Table2[[#This Row],[Age]]&lt;=59,"Gen X",Table2[[#This Row],[Age]]&lt;=78,"Baby Boomers",Table2[[#This Row],[Age]]&lt;=96,"Silent",Table2[[#This Row],[Age]]&gt;=97,"Greatest")</f>
        <v>Millenials</v>
      </c>
      <c r="E201" s="1">
        <v>33000</v>
      </c>
      <c r="F201">
        <v>83</v>
      </c>
      <c r="G201" t="str" cm="1">
        <f t="array" ref="G201">_xlfn.IFS(Table2[[#This Row],[Spending Score (1-100)]]&lt;=25,"Low",Table2[[#This Row],[Spending Score (1-100)]]&lt;=50,"Medium",Table2[[#This Row],[Spending Score (1-100)]]&lt;=75,"High",Table2[[#This Row],[Spending Score (1-100)]]&lt;=100,"Very High")</f>
        <v>Very High</v>
      </c>
      <c r="H201" t="s">
        <v>14</v>
      </c>
      <c r="I201">
        <v>4</v>
      </c>
      <c r="J201" t="str">
        <f>CONCATENATE(Table2[[#This Row],[Work Experience]],"years")</f>
        <v>4years</v>
      </c>
      <c r="K201" t="str">
        <f>CONCATENATE(Table2[[#This Row],[Family Size2]],"members")</f>
        <v>2members</v>
      </c>
      <c r="L201" t="str">
        <f>CONCATENATE(Table2[[#This Row],[Family Size2]],"members")</f>
        <v>2members</v>
      </c>
      <c r="M201">
        <v>2</v>
      </c>
    </row>
    <row r="202" spans="1:13">
      <c r="A202">
        <v>201</v>
      </c>
      <c r="B202" t="s">
        <v>11</v>
      </c>
      <c r="C202">
        <v>21</v>
      </c>
      <c r="D202" t="str" cm="1">
        <f t="array" ref="D202">_xlfn.IFS(Table2[[#This Row],[Age]]&lt;=11,"Gen A",Table2[[#This Row],[Age]]&lt;=27,"Gen Z",Table2[[#This Row],[Age]]&lt;=43,"Millenials",Table2[[#This Row],[Age]]&lt;=59,"Gen X",Table2[[#This Row],[Age]]&lt;=78,"Baby Boomers",Table2[[#This Row],[Age]]&lt;=96,"Silent",Table2[[#This Row],[Age]]&gt;=97,"Greatest")</f>
        <v>Gen Z</v>
      </c>
      <c r="E202" s="1">
        <v>40000</v>
      </c>
      <c r="F202">
        <v>10</v>
      </c>
      <c r="G202" t="str" cm="1">
        <f t="array" ref="G202">_xlfn.IFS(Table2[[#This Row],[Spending Score (1-100)]]&lt;=25,"Low",Table2[[#This Row],[Spending Score (1-100)]]&lt;=50,"Medium",Table2[[#This Row],[Spending Score (1-100)]]&lt;=75,"High",Table2[[#This Row],[Spending Score (1-100)]]&lt;=100,"Very High")</f>
        <v>Low</v>
      </c>
      <c r="H202" t="s">
        <v>9</v>
      </c>
      <c r="I202">
        <v>0</v>
      </c>
      <c r="J202" t="str">
        <f>CONCATENATE(Table2[[#This Row],[Work Experience]],"years")</f>
        <v>0years</v>
      </c>
      <c r="K202" t="str">
        <f>CONCATENATE(Table2[[#This Row],[Family Size2]],"members")</f>
        <v>3members</v>
      </c>
      <c r="L202" t="str">
        <f>CONCATENATE(Table2[[#This Row],[Family Size2]],"members")</f>
        <v>3members</v>
      </c>
      <c r="M202">
        <v>3</v>
      </c>
    </row>
    <row r="203" spans="1:13">
      <c r="A203">
        <v>202</v>
      </c>
      <c r="B203" t="s">
        <v>8</v>
      </c>
      <c r="C203">
        <v>34</v>
      </c>
      <c r="D203" t="str" cm="1">
        <f t="array" ref="D203">_xlfn.IFS(Table2[[#This Row],[Age]]&lt;=11,"Gen A",Table2[[#This Row],[Age]]&lt;=27,"Gen Z",Table2[[#This Row],[Age]]&lt;=43,"Millenials",Table2[[#This Row],[Age]]&lt;=59,"Gen X",Table2[[#This Row],[Age]]&lt;=78,"Baby Boomers",Table2[[#This Row],[Age]]&lt;=96,"Silent",Table2[[#This Row],[Age]]&gt;=97,"Greatest")</f>
        <v>Millenials</v>
      </c>
      <c r="E203" s="1">
        <v>85000</v>
      </c>
      <c r="F203">
        <v>16</v>
      </c>
      <c r="G203" t="str" cm="1">
        <f t="array" ref="G203">_xlfn.IFS(Table2[[#This Row],[Spending Score (1-100)]]&lt;=25,"Low",Table2[[#This Row],[Spending Score (1-100)]]&lt;=50,"Medium",Table2[[#This Row],[Spending Score (1-100)]]&lt;=75,"High",Table2[[#This Row],[Spending Score (1-100)]]&lt;=100,"Very High")</f>
        <v>Low</v>
      </c>
      <c r="H203" t="s">
        <v>9</v>
      </c>
      <c r="I203">
        <v>9</v>
      </c>
      <c r="J203" t="str">
        <f>CONCATENATE(Table2[[#This Row],[Work Experience]],"years")</f>
        <v>9years</v>
      </c>
      <c r="K203" t="str">
        <f>CONCATENATE(Table2[[#This Row],[Family Size2]],"members")</f>
        <v>3members</v>
      </c>
      <c r="L203" t="str">
        <f>CONCATENATE(Table2[[#This Row],[Family Size2]],"members")</f>
        <v>3members</v>
      </c>
      <c r="M203">
        <v>3</v>
      </c>
    </row>
    <row r="204" spans="1:13">
      <c r="A204">
        <v>203</v>
      </c>
      <c r="B204" t="s">
        <v>11</v>
      </c>
      <c r="C204">
        <v>16</v>
      </c>
      <c r="D204" t="str" cm="1">
        <f t="array" ref="D204">_xlfn.IFS(Table2[[#This Row],[Age]]&lt;=11,"Gen A",Table2[[#This Row],[Age]]&lt;=27,"Gen Z",Table2[[#This Row],[Age]]&lt;=43,"Millenials",Table2[[#This Row],[Age]]&lt;=59,"Gen X",Table2[[#This Row],[Age]]&lt;=78,"Baby Boomers",Table2[[#This Row],[Age]]&lt;=96,"Silent",Table2[[#This Row],[Age]]&gt;=97,"Greatest")</f>
        <v>Gen Z</v>
      </c>
      <c r="E204" s="1">
        <v>60000</v>
      </c>
      <c r="F204">
        <v>0</v>
      </c>
      <c r="G204" t="str" cm="1">
        <f t="array" ref="G204">_xlfn.IFS(Table2[[#This Row],[Spending Score (1-100)]]&lt;=25,"Low",Table2[[#This Row],[Spending Score (1-100)]]&lt;=50,"Medium",Table2[[#This Row],[Spending Score (1-100)]]&lt;=75,"High",Table2[[#This Row],[Spending Score (1-100)]]&lt;=100,"Very High")</f>
        <v>Low</v>
      </c>
      <c r="H204" t="s">
        <v>10</v>
      </c>
      <c r="I204">
        <v>6</v>
      </c>
      <c r="J204" t="str">
        <f>CONCATENATE(Table2[[#This Row],[Work Experience]],"years")</f>
        <v>6years</v>
      </c>
      <c r="K204" t="str">
        <f>CONCATENATE(Table2[[#This Row],[Family Size2]],"members")</f>
        <v>8members</v>
      </c>
      <c r="L204" t="str">
        <f>CONCATENATE(Table2[[#This Row],[Family Size2]],"members")</f>
        <v>8members</v>
      </c>
      <c r="M204">
        <v>8</v>
      </c>
    </row>
    <row r="205" spans="1:13">
      <c r="A205">
        <v>204</v>
      </c>
      <c r="B205" t="s">
        <v>11</v>
      </c>
      <c r="C205">
        <v>76</v>
      </c>
      <c r="D205" t="str" cm="1">
        <f t="array" ref="D205">_xlfn.IFS(Table2[[#This Row],[Age]]&lt;=11,"Gen A",Table2[[#This Row],[Age]]&lt;=27,"Gen Z",Table2[[#This Row],[Age]]&lt;=43,"Millenials",Table2[[#This Row],[Age]]&lt;=59,"Gen X",Table2[[#This Row],[Age]]&lt;=78,"Baby Boomers",Table2[[#This Row],[Age]]&lt;=96,"Silent",Table2[[#This Row],[Age]]&gt;=97,"Greatest")</f>
        <v>Baby Boomers</v>
      </c>
      <c r="E205" s="1">
        <v>60000</v>
      </c>
      <c r="F205">
        <v>39</v>
      </c>
      <c r="G205" t="str" cm="1">
        <f t="array" ref="G205">_xlfn.IFS(Table2[[#This Row],[Spending Score (1-100)]]&lt;=25,"Low",Table2[[#This Row],[Spending Score (1-100)]]&lt;=50,"Medium",Table2[[#This Row],[Spending Score (1-100)]]&lt;=75,"High",Table2[[#This Row],[Spending Score (1-100)]]&lt;=100,"Very High")</f>
        <v>Medium</v>
      </c>
      <c r="H205" t="s">
        <v>9</v>
      </c>
      <c r="I205">
        <v>4</v>
      </c>
      <c r="J205" t="str">
        <f>CONCATENATE(Table2[[#This Row],[Work Experience]],"years")</f>
        <v>4years</v>
      </c>
      <c r="K205" t="str">
        <f>CONCATENATE(Table2[[#This Row],[Family Size2]],"members")</f>
        <v>2members</v>
      </c>
      <c r="L205" t="str">
        <f>CONCATENATE(Table2[[#This Row],[Family Size2]],"members")</f>
        <v>2members</v>
      </c>
      <c r="M205">
        <v>2</v>
      </c>
    </row>
    <row r="206" spans="1:13">
      <c r="A206">
        <v>205</v>
      </c>
      <c r="B206" t="s">
        <v>11</v>
      </c>
      <c r="C206">
        <v>62</v>
      </c>
      <c r="D206" t="str" cm="1">
        <f t="array" ref="D206">_xlfn.IFS(Table2[[#This Row],[Age]]&lt;=11,"Gen A",Table2[[#This Row],[Age]]&lt;=27,"Gen Z",Table2[[#This Row],[Age]]&lt;=43,"Millenials",Table2[[#This Row],[Age]]&lt;=59,"Gen X",Table2[[#This Row],[Age]]&lt;=78,"Baby Boomers",Table2[[#This Row],[Age]]&lt;=96,"Silent",Table2[[#This Row],[Age]]&gt;=97,"Greatest")</f>
        <v>Baby Boomers</v>
      </c>
      <c r="E206" s="1">
        <v>63000</v>
      </c>
      <c r="F206">
        <v>59</v>
      </c>
      <c r="G206" t="str" cm="1">
        <f t="array" ref="G206">_xlfn.IFS(Table2[[#This Row],[Spending Score (1-100)]]&lt;=25,"Low",Table2[[#This Row],[Spending Score (1-100)]]&lt;=50,"Medium",Table2[[#This Row],[Spending Score (1-100)]]&lt;=75,"High",Table2[[#This Row],[Spending Score (1-100)]]&lt;=100,"Very High")</f>
        <v>High</v>
      </c>
      <c r="H206" t="s">
        <v>13</v>
      </c>
      <c r="I206">
        <v>0</v>
      </c>
      <c r="J206" t="str">
        <f>CONCATENATE(Table2[[#This Row],[Work Experience]],"years")</f>
        <v>0years</v>
      </c>
      <c r="K206" t="str">
        <f>CONCATENATE(Table2[[#This Row],[Family Size2]],"members")</f>
        <v>2members</v>
      </c>
      <c r="L206" t="str">
        <f>CONCATENATE(Table2[[#This Row],[Family Size2]],"members")</f>
        <v>2members</v>
      </c>
      <c r="M206">
        <v>2</v>
      </c>
    </row>
    <row r="207" spans="1:13">
      <c r="A207">
        <v>206</v>
      </c>
      <c r="B207" t="s">
        <v>11</v>
      </c>
      <c r="C207">
        <v>63</v>
      </c>
      <c r="D207" t="str" cm="1">
        <f t="array" ref="D207">_xlfn.IFS(Table2[[#This Row],[Age]]&lt;=11,"Gen A",Table2[[#This Row],[Age]]&lt;=27,"Gen Z",Table2[[#This Row],[Age]]&lt;=43,"Millenials",Table2[[#This Row],[Age]]&lt;=59,"Gen X",Table2[[#This Row],[Age]]&lt;=78,"Baby Boomers",Table2[[#This Row],[Age]]&lt;=96,"Silent",Table2[[#This Row],[Age]]&gt;=97,"Greatest")</f>
        <v>Baby Boomers</v>
      </c>
      <c r="E207" s="1">
        <v>10000</v>
      </c>
      <c r="F207">
        <v>52</v>
      </c>
      <c r="G207" t="str" cm="1">
        <f t="array" ref="G207">_xlfn.IFS(Table2[[#This Row],[Spending Score (1-100)]]&lt;=25,"Low",Table2[[#This Row],[Spending Score (1-100)]]&lt;=50,"Medium",Table2[[#This Row],[Spending Score (1-100)]]&lt;=75,"High",Table2[[#This Row],[Spending Score (1-100)]]&lt;=100,"Very High")</f>
        <v>High</v>
      </c>
      <c r="H207" t="s">
        <v>9</v>
      </c>
      <c r="I207">
        <v>8</v>
      </c>
      <c r="J207" t="str">
        <f>CONCATENATE(Table2[[#This Row],[Work Experience]],"years")</f>
        <v>8years</v>
      </c>
      <c r="K207" t="str">
        <f>CONCATENATE(Table2[[#This Row],[Family Size2]],"members")</f>
        <v>3members</v>
      </c>
      <c r="L207" t="str">
        <f>CONCATENATE(Table2[[#This Row],[Family Size2]],"members")</f>
        <v>3members</v>
      </c>
      <c r="M207">
        <v>3</v>
      </c>
    </row>
    <row r="208" spans="1:13">
      <c r="A208">
        <v>207</v>
      </c>
      <c r="B208" t="s">
        <v>11</v>
      </c>
      <c r="C208">
        <v>19</v>
      </c>
      <c r="D208" t="str" cm="1">
        <f t="array" ref="D208">_xlfn.IFS(Table2[[#This Row],[Age]]&lt;=11,"Gen A",Table2[[#This Row],[Age]]&lt;=27,"Gen Z",Table2[[#This Row],[Age]]&lt;=43,"Millenials",Table2[[#This Row],[Age]]&lt;=59,"Gen X",Table2[[#This Row],[Age]]&lt;=78,"Baby Boomers",Table2[[#This Row],[Age]]&lt;=96,"Silent",Table2[[#This Row],[Age]]&gt;=97,"Greatest")</f>
        <v>Gen Z</v>
      </c>
      <c r="E208" s="1">
        <v>55000</v>
      </c>
      <c r="F208">
        <v>61</v>
      </c>
      <c r="G208" t="str" cm="1">
        <f t="array" ref="G208">_xlfn.IFS(Table2[[#This Row],[Spending Score (1-100)]]&lt;=25,"Low",Table2[[#This Row],[Spending Score (1-100)]]&lt;=50,"Medium",Table2[[#This Row],[Spending Score (1-100)]]&lt;=75,"High",Table2[[#This Row],[Spending Score (1-100)]]&lt;=100,"Very High")</f>
        <v>High</v>
      </c>
      <c r="H208" t="s">
        <v>9</v>
      </c>
      <c r="I208">
        <v>0</v>
      </c>
      <c r="J208" t="str">
        <f>CONCATENATE(Table2[[#This Row],[Work Experience]],"years")</f>
        <v>0years</v>
      </c>
      <c r="K208" t="str">
        <f>CONCATENATE(Table2[[#This Row],[Family Size2]],"members")</f>
        <v>3members</v>
      </c>
      <c r="L208" t="str">
        <f>CONCATENATE(Table2[[#This Row],[Family Size2]],"members")</f>
        <v>3members</v>
      </c>
      <c r="M208">
        <v>3</v>
      </c>
    </row>
    <row r="209" spans="1:13">
      <c r="A209">
        <v>208</v>
      </c>
      <c r="B209" t="s">
        <v>8</v>
      </c>
      <c r="C209">
        <v>46</v>
      </c>
      <c r="D209" t="str" cm="1">
        <f t="array" ref="D209">_xlfn.IFS(Table2[[#This Row],[Age]]&lt;=11,"Gen A",Table2[[#This Row],[Age]]&lt;=27,"Gen Z",Table2[[#This Row],[Age]]&lt;=43,"Millenials",Table2[[#This Row],[Age]]&lt;=59,"Gen X",Table2[[#This Row],[Age]]&lt;=78,"Baby Boomers",Table2[[#This Row],[Age]]&lt;=96,"Silent",Table2[[#This Row],[Age]]&gt;=97,"Greatest")</f>
        <v>Gen X</v>
      </c>
      <c r="E209" s="1">
        <v>93000</v>
      </c>
      <c r="F209">
        <v>12</v>
      </c>
      <c r="G209" t="str" cm="1">
        <f t="array" ref="G209">_xlfn.IFS(Table2[[#This Row],[Spending Score (1-100)]]&lt;=25,"Low",Table2[[#This Row],[Spending Score (1-100)]]&lt;=50,"Medium",Table2[[#This Row],[Spending Score (1-100)]]&lt;=75,"High",Table2[[#This Row],[Spending Score (1-100)]]&lt;=100,"Very High")</f>
        <v>Low</v>
      </c>
      <c r="H209" t="s">
        <v>14</v>
      </c>
      <c r="I209">
        <v>2</v>
      </c>
      <c r="J209" t="str">
        <f>CONCATENATE(Table2[[#This Row],[Work Experience]],"years")</f>
        <v>2years</v>
      </c>
      <c r="K209" t="str">
        <f>CONCATENATE(Table2[[#This Row],[Family Size2]],"members")</f>
        <v>1members</v>
      </c>
      <c r="L209" t="str">
        <f>CONCATENATE(Table2[[#This Row],[Family Size2]],"members")</f>
        <v>1members</v>
      </c>
      <c r="M209">
        <v>1</v>
      </c>
    </row>
    <row r="210" spans="1:13">
      <c r="A210">
        <v>209</v>
      </c>
      <c r="B210" t="s">
        <v>11</v>
      </c>
      <c r="C210">
        <v>48</v>
      </c>
      <c r="D210" t="str" cm="1">
        <f t="array" ref="D210">_xlfn.IFS(Table2[[#This Row],[Age]]&lt;=11,"Gen A",Table2[[#This Row],[Age]]&lt;=27,"Gen Z",Table2[[#This Row],[Age]]&lt;=43,"Millenials",Table2[[#This Row],[Age]]&lt;=59,"Gen X",Table2[[#This Row],[Age]]&lt;=78,"Baby Boomers",Table2[[#This Row],[Age]]&lt;=96,"Silent",Table2[[#This Row],[Age]]&gt;=97,"Greatest")</f>
        <v>Gen X</v>
      </c>
      <c r="E210" s="1">
        <v>15000</v>
      </c>
      <c r="F210">
        <v>7</v>
      </c>
      <c r="G210" t="str" cm="1">
        <f t="array" ref="G210">_xlfn.IFS(Table2[[#This Row],[Spending Score (1-100)]]&lt;=25,"Low",Table2[[#This Row],[Spending Score (1-100)]]&lt;=50,"Medium",Table2[[#This Row],[Spending Score (1-100)]]&lt;=75,"High",Table2[[#This Row],[Spending Score (1-100)]]&lt;=100,"Very High")</f>
        <v>Low</v>
      </c>
      <c r="H210" t="s">
        <v>16</v>
      </c>
      <c r="I210">
        <v>0</v>
      </c>
      <c r="J210" t="str">
        <f>CONCATENATE(Table2[[#This Row],[Work Experience]],"years")</f>
        <v>0years</v>
      </c>
      <c r="K210" t="str">
        <f>CONCATENATE(Table2[[#This Row],[Family Size2]],"members")</f>
        <v>2members</v>
      </c>
      <c r="L210" t="str">
        <f>CONCATENATE(Table2[[#This Row],[Family Size2]],"members")</f>
        <v>2members</v>
      </c>
      <c r="M210">
        <v>2</v>
      </c>
    </row>
    <row r="211" spans="1:13">
      <c r="A211">
        <v>210</v>
      </c>
      <c r="B211" t="s">
        <v>11</v>
      </c>
      <c r="C211">
        <v>80</v>
      </c>
      <c r="D211" t="str" cm="1">
        <f t="array" ref="D211">_xlfn.IFS(Table2[[#This Row],[Age]]&lt;=11,"Gen A",Table2[[#This Row],[Age]]&lt;=27,"Gen Z",Table2[[#This Row],[Age]]&lt;=43,"Millenials",Table2[[#This Row],[Age]]&lt;=59,"Gen X",Table2[[#This Row],[Age]]&lt;=78,"Baby Boomers",Table2[[#This Row],[Age]]&lt;=96,"Silent",Table2[[#This Row],[Age]]&gt;=97,"Greatest")</f>
        <v>Silent</v>
      </c>
      <c r="E211" s="1">
        <v>39000</v>
      </c>
      <c r="F211">
        <v>33</v>
      </c>
      <c r="G211" t="str" cm="1">
        <f t="array" ref="G211">_xlfn.IFS(Table2[[#This Row],[Spending Score (1-100)]]&lt;=25,"Low",Table2[[#This Row],[Spending Score (1-100)]]&lt;=50,"Medium",Table2[[#This Row],[Spending Score (1-100)]]&lt;=75,"High",Table2[[#This Row],[Spending Score (1-100)]]&lt;=100,"Very High")</f>
        <v>Medium</v>
      </c>
      <c r="H211" t="s">
        <v>10</v>
      </c>
      <c r="I211">
        <v>9</v>
      </c>
      <c r="J211" t="str">
        <f>CONCATENATE(Table2[[#This Row],[Work Experience]],"years")</f>
        <v>9years</v>
      </c>
      <c r="K211" t="str">
        <f>CONCATENATE(Table2[[#This Row],[Family Size2]],"members")</f>
        <v>4members</v>
      </c>
      <c r="L211" t="str">
        <f>CONCATENATE(Table2[[#This Row],[Family Size2]],"members")</f>
        <v>4members</v>
      </c>
      <c r="M211">
        <v>4</v>
      </c>
    </row>
    <row r="212" spans="1:13">
      <c r="A212">
        <v>211</v>
      </c>
      <c r="B212" t="s">
        <v>11</v>
      </c>
      <c r="C212">
        <v>1</v>
      </c>
      <c r="D212" t="str" cm="1">
        <f t="array" ref="D212">_xlfn.IFS(Table2[[#This Row],[Age]]&lt;=11,"Gen A",Table2[[#This Row],[Age]]&lt;=27,"Gen Z",Table2[[#This Row],[Age]]&lt;=43,"Millenials",Table2[[#This Row],[Age]]&lt;=59,"Gen X",Table2[[#This Row],[Age]]&lt;=78,"Baby Boomers",Table2[[#This Row],[Age]]&lt;=96,"Silent",Table2[[#This Row],[Age]]&gt;=97,"Greatest")</f>
        <v>Gen A</v>
      </c>
      <c r="E212" s="1">
        <v>57000</v>
      </c>
      <c r="F212">
        <v>93</v>
      </c>
      <c r="G212" t="str" cm="1">
        <f t="array" ref="G212">_xlfn.IFS(Table2[[#This Row],[Spending Score (1-100)]]&lt;=25,"Low",Table2[[#This Row],[Spending Score (1-100)]]&lt;=50,"Medium",Table2[[#This Row],[Spending Score (1-100)]]&lt;=75,"High",Table2[[#This Row],[Spending Score (1-100)]]&lt;=100,"Very High")</f>
        <v>Very High</v>
      </c>
      <c r="H212" t="s">
        <v>10</v>
      </c>
      <c r="I212">
        <v>1</v>
      </c>
      <c r="J212" t="str">
        <f>CONCATENATE(Table2[[#This Row],[Work Experience]],"years")</f>
        <v>1years</v>
      </c>
      <c r="K212" t="str">
        <f>CONCATENATE(Table2[[#This Row],[Family Size2]],"members")</f>
        <v>2members</v>
      </c>
      <c r="L212" t="str">
        <f>CONCATENATE(Table2[[#This Row],[Family Size2]],"members")</f>
        <v>2members</v>
      </c>
      <c r="M212">
        <v>2</v>
      </c>
    </row>
    <row r="213" spans="1:13">
      <c r="A213">
        <v>212</v>
      </c>
      <c r="B213" t="s">
        <v>11</v>
      </c>
      <c r="C213">
        <v>0</v>
      </c>
      <c r="D213" t="str" cm="1">
        <f t="array" ref="D213">_xlfn.IFS(Table2[[#This Row],[Age]]&lt;=11,"Gen A",Table2[[#This Row],[Age]]&lt;=27,"Gen Z",Table2[[#This Row],[Age]]&lt;=43,"Millenials",Table2[[#This Row],[Age]]&lt;=59,"Gen X",Table2[[#This Row],[Age]]&lt;=78,"Baby Boomers",Table2[[#This Row],[Age]]&lt;=96,"Silent",Table2[[#This Row],[Age]]&gt;=97,"Greatest")</f>
        <v>Gen A</v>
      </c>
      <c r="E213" s="1">
        <v>22000</v>
      </c>
      <c r="F213">
        <v>92</v>
      </c>
      <c r="G213" t="str" cm="1">
        <f t="array" ref="G213">_xlfn.IFS(Table2[[#This Row],[Spending Score (1-100)]]&lt;=25,"Low",Table2[[#This Row],[Spending Score (1-100)]]&lt;=50,"Medium",Table2[[#This Row],[Spending Score (1-100)]]&lt;=75,"High",Table2[[#This Row],[Spending Score (1-100)]]&lt;=100,"Very High")</f>
        <v>Very High</v>
      </c>
      <c r="H213" t="s">
        <v>14</v>
      </c>
      <c r="I213">
        <v>2</v>
      </c>
      <c r="J213" t="str">
        <f>CONCATENATE(Table2[[#This Row],[Work Experience]],"years")</f>
        <v>2years</v>
      </c>
      <c r="K213" t="str">
        <f>CONCATENATE(Table2[[#This Row],[Family Size2]],"members")</f>
        <v>1members</v>
      </c>
      <c r="L213" t="str">
        <f>CONCATENATE(Table2[[#This Row],[Family Size2]],"members")</f>
        <v>1members</v>
      </c>
      <c r="M213">
        <v>1</v>
      </c>
    </row>
    <row r="214" spans="1:13">
      <c r="A214">
        <v>213</v>
      </c>
      <c r="B214" t="s">
        <v>8</v>
      </c>
      <c r="C214">
        <v>86</v>
      </c>
      <c r="D214" t="str" cm="1">
        <f t="array" ref="D214">_xlfn.IFS(Table2[[#This Row],[Age]]&lt;=11,"Gen A",Table2[[#This Row],[Age]]&lt;=27,"Gen Z",Table2[[#This Row],[Age]]&lt;=43,"Millenials",Table2[[#This Row],[Age]]&lt;=59,"Gen X",Table2[[#This Row],[Age]]&lt;=78,"Baby Boomers",Table2[[#This Row],[Age]]&lt;=96,"Silent",Table2[[#This Row],[Age]]&gt;=97,"Greatest")</f>
        <v>Silent</v>
      </c>
      <c r="E214" s="1">
        <v>12000</v>
      </c>
      <c r="F214">
        <v>70</v>
      </c>
      <c r="G214" t="str" cm="1">
        <f t="array" ref="G214">_xlfn.IFS(Table2[[#This Row],[Spending Score (1-100)]]&lt;=25,"Low",Table2[[#This Row],[Spending Score (1-100)]]&lt;=50,"Medium",Table2[[#This Row],[Spending Score (1-100)]]&lt;=75,"High",Table2[[#This Row],[Spending Score (1-100)]]&lt;=100,"Very High")</f>
        <v>High</v>
      </c>
      <c r="H214" t="s">
        <v>18</v>
      </c>
      <c r="I214">
        <v>2</v>
      </c>
      <c r="J214" t="str">
        <f>CONCATENATE(Table2[[#This Row],[Work Experience]],"years")</f>
        <v>2years</v>
      </c>
      <c r="K214" t="str">
        <f>CONCATENATE(Table2[[#This Row],[Family Size2]],"members")</f>
        <v>4members</v>
      </c>
      <c r="L214" t="str">
        <f>CONCATENATE(Table2[[#This Row],[Family Size2]],"members")</f>
        <v>4members</v>
      </c>
      <c r="M214">
        <v>4</v>
      </c>
    </row>
    <row r="215" spans="1:13">
      <c r="A215">
        <v>214</v>
      </c>
      <c r="B215" t="s">
        <v>8</v>
      </c>
      <c r="C215">
        <v>49</v>
      </c>
      <c r="D215" t="str" cm="1">
        <f t="array" ref="D215">_xlfn.IFS(Table2[[#This Row],[Age]]&lt;=11,"Gen A",Table2[[#This Row],[Age]]&lt;=27,"Gen Z",Table2[[#This Row],[Age]]&lt;=43,"Millenials",Table2[[#This Row],[Age]]&lt;=59,"Gen X",Table2[[#This Row],[Age]]&lt;=78,"Baby Boomers",Table2[[#This Row],[Age]]&lt;=96,"Silent",Table2[[#This Row],[Age]]&gt;=97,"Greatest")</f>
        <v>Gen X</v>
      </c>
      <c r="E215" s="1">
        <v>50000</v>
      </c>
      <c r="F215">
        <v>82</v>
      </c>
      <c r="G215" t="str" cm="1">
        <f t="array" ref="G215">_xlfn.IFS(Table2[[#This Row],[Spending Score (1-100)]]&lt;=25,"Low",Table2[[#This Row],[Spending Score (1-100)]]&lt;=50,"Medium",Table2[[#This Row],[Spending Score (1-100)]]&lt;=75,"High",Table2[[#This Row],[Spending Score (1-100)]]&lt;=100,"Very High")</f>
        <v>Very High</v>
      </c>
      <c r="H215" t="s">
        <v>12</v>
      </c>
      <c r="I215">
        <v>8</v>
      </c>
      <c r="J215" t="str">
        <f>CONCATENATE(Table2[[#This Row],[Work Experience]],"years")</f>
        <v>8years</v>
      </c>
      <c r="K215" t="str">
        <f>CONCATENATE(Table2[[#This Row],[Family Size2]],"members")</f>
        <v>1members</v>
      </c>
      <c r="L215" t="str">
        <f>CONCATENATE(Table2[[#This Row],[Family Size2]],"members")</f>
        <v>1members</v>
      </c>
      <c r="M215">
        <v>1</v>
      </c>
    </row>
    <row r="216" spans="1:13">
      <c r="A216">
        <v>215</v>
      </c>
      <c r="B216" t="s">
        <v>8</v>
      </c>
      <c r="C216">
        <v>48</v>
      </c>
      <c r="D216" t="str" cm="1">
        <f t="array" ref="D216">_xlfn.IFS(Table2[[#This Row],[Age]]&lt;=11,"Gen A",Table2[[#This Row],[Age]]&lt;=27,"Gen Z",Table2[[#This Row],[Age]]&lt;=43,"Millenials",Table2[[#This Row],[Age]]&lt;=59,"Gen X",Table2[[#This Row],[Age]]&lt;=78,"Baby Boomers",Table2[[#This Row],[Age]]&lt;=96,"Silent",Table2[[#This Row],[Age]]&gt;=97,"Greatest")</f>
        <v>Gen X</v>
      </c>
      <c r="E216" s="1">
        <v>95000</v>
      </c>
      <c r="F216">
        <v>68</v>
      </c>
      <c r="G216" t="str" cm="1">
        <f t="array" ref="G216">_xlfn.IFS(Table2[[#This Row],[Spending Score (1-100)]]&lt;=25,"Low",Table2[[#This Row],[Spending Score (1-100)]]&lt;=50,"Medium",Table2[[#This Row],[Spending Score (1-100)]]&lt;=75,"High",Table2[[#This Row],[Spending Score (1-100)]]&lt;=100,"Very High")</f>
        <v>High</v>
      </c>
      <c r="H216" t="s">
        <v>16</v>
      </c>
      <c r="I216">
        <v>2</v>
      </c>
      <c r="J216" t="str">
        <f>CONCATENATE(Table2[[#This Row],[Work Experience]],"years")</f>
        <v>2years</v>
      </c>
      <c r="K216" t="str">
        <f>CONCATENATE(Table2[[#This Row],[Family Size2]],"members")</f>
        <v>4members</v>
      </c>
      <c r="L216" t="str">
        <f>CONCATENATE(Table2[[#This Row],[Family Size2]],"members")</f>
        <v>4members</v>
      </c>
      <c r="M216">
        <v>4</v>
      </c>
    </row>
    <row r="217" spans="1:13">
      <c r="A217">
        <v>216</v>
      </c>
      <c r="B217" t="s">
        <v>11</v>
      </c>
      <c r="C217">
        <v>46</v>
      </c>
      <c r="D217" t="str" cm="1">
        <f t="array" ref="D217">_xlfn.IFS(Table2[[#This Row],[Age]]&lt;=11,"Gen A",Table2[[#This Row],[Age]]&lt;=27,"Gen Z",Table2[[#This Row],[Age]]&lt;=43,"Millenials",Table2[[#This Row],[Age]]&lt;=59,"Gen X",Table2[[#This Row],[Age]]&lt;=78,"Baby Boomers",Table2[[#This Row],[Age]]&lt;=96,"Silent",Table2[[#This Row],[Age]]&gt;=97,"Greatest")</f>
        <v>Gen X</v>
      </c>
      <c r="E217" s="1">
        <v>66000</v>
      </c>
      <c r="F217">
        <v>70</v>
      </c>
      <c r="G217" t="str" cm="1">
        <f t="array" ref="G217">_xlfn.IFS(Table2[[#This Row],[Spending Score (1-100)]]&lt;=25,"Low",Table2[[#This Row],[Spending Score (1-100)]]&lt;=50,"Medium",Table2[[#This Row],[Spending Score (1-100)]]&lt;=75,"High",Table2[[#This Row],[Spending Score (1-100)]]&lt;=100,"Very High")</f>
        <v>High</v>
      </c>
      <c r="H217" t="s">
        <v>9</v>
      </c>
      <c r="I217">
        <v>3</v>
      </c>
      <c r="J217" t="str">
        <f>CONCATENATE(Table2[[#This Row],[Work Experience]],"years")</f>
        <v>3years</v>
      </c>
      <c r="K217" t="str">
        <f>CONCATENATE(Table2[[#This Row],[Family Size2]],"members")</f>
        <v>3members</v>
      </c>
      <c r="L217" t="str">
        <f>CONCATENATE(Table2[[#This Row],[Family Size2]],"members")</f>
        <v>3members</v>
      </c>
      <c r="M217">
        <v>3</v>
      </c>
    </row>
    <row r="218" spans="1:13">
      <c r="A218">
        <v>217</v>
      </c>
      <c r="B218" t="s">
        <v>8</v>
      </c>
      <c r="C218">
        <v>79</v>
      </c>
      <c r="D218" t="str" cm="1">
        <f t="array" ref="D218">_xlfn.IFS(Table2[[#This Row],[Age]]&lt;=11,"Gen A",Table2[[#This Row],[Age]]&lt;=27,"Gen Z",Table2[[#This Row],[Age]]&lt;=43,"Millenials",Table2[[#This Row],[Age]]&lt;=59,"Gen X",Table2[[#This Row],[Age]]&lt;=78,"Baby Boomers",Table2[[#This Row],[Age]]&lt;=96,"Silent",Table2[[#This Row],[Age]]&gt;=97,"Greatest")</f>
        <v>Silent</v>
      </c>
      <c r="E218" s="1">
        <v>20000</v>
      </c>
      <c r="F218">
        <v>40</v>
      </c>
      <c r="G218" t="str" cm="1">
        <f t="array" ref="G218">_xlfn.IFS(Table2[[#This Row],[Spending Score (1-100)]]&lt;=25,"Low",Table2[[#This Row],[Spending Score (1-100)]]&lt;=50,"Medium",Table2[[#This Row],[Spending Score (1-100)]]&lt;=75,"High",Table2[[#This Row],[Spending Score (1-100)]]&lt;=100,"Very High")</f>
        <v>Medium</v>
      </c>
      <c r="H218" t="s">
        <v>16</v>
      </c>
      <c r="I218">
        <v>6</v>
      </c>
      <c r="J218" t="str">
        <f>CONCATENATE(Table2[[#This Row],[Work Experience]],"years")</f>
        <v>6years</v>
      </c>
      <c r="K218" t="str">
        <f>CONCATENATE(Table2[[#This Row],[Family Size2]],"members")</f>
        <v>2members</v>
      </c>
      <c r="L218" t="str">
        <f>CONCATENATE(Table2[[#This Row],[Family Size2]],"members")</f>
        <v>2members</v>
      </c>
      <c r="M218">
        <v>2</v>
      </c>
    </row>
    <row r="219" spans="1:13">
      <c r="A219">
        <v>218</v>
      </c>
      <c r="B219" t="s">
        <v>11</v>
      </c>
      <c r="C219">
        <v>83</v>
      </c>
      <c r="D219" t="str" cm="1">
        <f t="array" ref="D219">_xlfn.IFS(Table2[[#This Row],[Age]]&lt;=11,"Gen A",Table2[[#This Row],[Age]]&lt;=27,"Gen Z",Table2[[#This Row],[Age]]&lt;=43,"Millenials",Table2[[#This Row],[Age]]&lt;=59,"Gen X",Table2[[#This Row],[Age]]&lt;=78,"Baby Boomers",Table2[[#This Row],[Age]]&lt;=96,"Silent",Table2[[#This Row],[Age]]&gt;=97,"Greatest")</f>
        <v>Silent</v>
      </c>
      <c r="E219" s="1">
        <v>35000</v>
      </c>
      <c r="F219">
        <v>99</v>
      </c>
      <c r="G219" t="str" cm="1">
        <f t="array" ref="G219">_xlfn.IFS(Table2[[#This Row],[Spending Score (1-100)]]&lt;=25,"Low",Table2[[#This Row],[Spending Score (1-100)]]&lt;=50,"Medium",Table2[[#This Row],[Spending Score (1-100)]]&lt;=75,"High",Table2[[#This Row],[Spending Score (1-100)]]&lt;=100,"Very High")</f>
        <v>Very High</v>
      </c>
      <c r="H219" t="s">
        <v>16</v>
      </c>
      <c r="I219">
        <v>8</v>
      </c>
      <c r="J219" t="str">
        <f>CONCATENATE(Table2[[#This Row],[Work Experience]],"years")</f>
        <v>8years</v>
      </c>
      <c r="K219" t="str">
        <f>CONCATENATE(Table2[[#This Row],[Family Size2]],"members")</f>
        <v>2members</v>
      </c>
      <c r="L219" t="str">
        <f>CONCATENATE(Table2[[#This Row],[Family Size2]],"members")</f>
        <v>2members</v>
      </c>
      <c r="M219">
        <v>2</v>
      </c>
    </row>
    <row r="220" spans="1:13">
      <c r="A220">
        <v>219</v>
      </c>
      <c r="B220" t="s">
        <v>11</v>
      </c>
      <c r="C220">
        <v>66</v>
      </c>
      <c r="D220" t="str" cm="1">
        <f t="array" ref="D220">_xlfn.IFS(Table2[[#This Row],[Age]]&lt;=11,"Gen A",Table2[[#This Row],[Age]]&lt;=27,"Gen Z",Table2[[#This Row],[Age]]&lt;=43,"Millenials",Table2[[#This Row],[Age]]&lt;=59,"Gen X",Table2[[#This Row],[Age]]&lt;=78,"Baby Boomers",Table2[[#This Row],[Age]]&lt;=96,"Silent",Table2[[#This Row],[Age]]&gt;=97,"Greatest")</f>
        <v>Baby Boomers</v>
      </c>
      <c r="E220" s="1">
        <v>71000</v>
      </c>
      <c r="F220">
        <v>34</v>
      </c>
      <c r="G220" t="str" cm="1">
        <f t="array" ref="G220">_xlfn.IFS(Table2[[#This Row],[Spending Score (1-100)]]&lt;=25,"Low",Table2[[#This Row],[Spending Score (1-100)]]&lt;=50,"Medium",Table2[[#This Row],[Spending Score (1-100)]]&lt;=75,"High",Table2[[#This Row],[Spending Score (1-100)]]&lt;=100,"Very High")</f>
        <v>Medium</v>
      </c>
      <c r="H220" t="s">
        <v>15</v>
      </c>
      <c r="I220">
        <v>9</v>
      </c>
      <c r="J220" t="str">
        <f>CONCATENATE(Table2[[#This Row],[Work Experience]],"years")</f>
        <v>9years</v>
      </c>
      <c r="K220" t="str">
        <f>CONCATENATE(Table2[[#This Row],[Family Size2]],"members")</f>
        <v>2members</v>
      </c>
      <c r="L220" t="str">
        <f>CONCATENATE(Table2[[#This Row],[Family Size2]],"members")</f>
        <v>2members</v>
      </c>
      <c r="M220">
        <v>2</v>
      </c>
    </row>
    <row r="221" spans="1:13">
      <c r="A221">
        <v>220</v>
      </c>
      <c r="B221" t="s">
        <v>11</v>
      </c>
      <c r="C221">
        <v>59</v>
      </c>
      <c r="D221" t="str" cm="1">
        <f t="array" ref="D221">_xlfn.IFS(Table2[[#This Row],[Age]]&lt;=11,"Gen A",Table2[[#This Row],[Age]]&lt;=27,"Gen Z",Table2[[#This Row],[Age]]&lt;=43,"Millenials",Table2[[#This Row],[Age]]&lt;=59,"Gen X",Table2[[#This Row],[Age]]&lt;=78,"Baby Boomers",Table2[[#This Row],[Age]]&lt;=96,"Silent",Table2[[#This Row],[Age]]&gt;=97,"Greatest")</f>
        <v>Gen X</v>
      </c>
      <c r="E221" s="1">
        <v>76000</v>
      </c>
      <c r="F221">
        <v>61</v>
      </c>
      <c r="G221" t="str" cm="1">
        <f t="array" ref="G221">_xlfn.IFS(Table2[[#This Row],[Spending Score (1-100)]]&lt;=25,"Low",Table2[[#This Row],[Spending Score (1-100)]]&lt;=50,"Medium",Table2[[#This Row],[Spending Score (1-100)]]&lt;=75,"High",Table2[[#This Row],[Spending Score (1-100)]]&lt;=100,"Very High")</f>
        <v>High</v>
      </c>
      <c r="H221" t="s">
        <v>19</v>
      </c>
      <c r="I221">
        <v>9</v>
      </c>
      <c r="J221" t="str">
        <f>CONCATENATE(Table2[[#This Row],[Work Experience]],"years")</f>
        <v>9years</v>
      </c>
      <c r="K221" t="str">
        <f>CONCATENATE(Table2[[#This Row],[Family Size2]],"members")</f>
        <v>1members</v>
      </c>
      <c r="L221" t="str">
        <f>CONCATENATE(Table2[[#This Row],[Family Size2]],"members")</f>
        <v>1members</v>
      </c>
      <c r="M221">
        <v>1</v>
      </c>
    </row>
    <row r="222" spans="1:13">
      <c r="A222">
        <v>221</v>
      </c>
      <c r="B222" t="s">
        <v>11</v>
      </c>
      <c r="C222">
        <v>39</v>
      </c>
      <c r="D222" t="str" cm="1">
        <f t="array" ref="D222">_xlfn.IFS(Table2[[#This Row],[Age]]&lt;=11,"Gen A",Table2[[#This Row],[Age]]&lt;=27,"Gen Z",Table2[[#This Row],[Age]]&lt;=43,"Millenials",Table2[[#This Row],[Age]]&lt;=59,"Gen X",Table2[[#This Row],[Age]]&lt;=78,"Baby Boomers",Table2[[#This Row],[Age]]&lt;=96,"Silent",Table2[[#This Row],[Age]]&gt;=97,"Greatest")</f>
        <v>Millenials</v>
      </c>
      <c r="E222" s="1">
        <v>84000</v>
      </c>
      <c r="F222">
        <v>33</v>
      </c>
      <c r="G222" t="str" cm="1">
        <f t="array" ref="G222">_xlfn.IFS(Table2[[#This Row],[Spending Score (1-100)]]&lt;=25,"Low",Table2[[#This Row],[Spending Score (1-100)]]&lt;=50,"Medium",Table2[[#This Row],[Spending Score (1-100)]]&lt;=75,"High",Table2[[#This Row],[Spending Score (1-100)]]&lt;=100,"Very High")</f>
        <v>Medium</v>
      </c>
      <c r="H222" t="s">
        <v>14</v>
      </c>
      <c r="I222">
        <v>5</v>
      </c>
      <c r="J222" t="str">
        <f>CONCATENATE(Table2[[#This Row],[Work Experience]],"years")</f>
        <v>5years</v>
      </c>
      <c r="K222" t="str">
        <f>CONCATENATE(Table2[[#This Row],[Family Size2]],"members")</f>
        <v>3members</v>
      </c>
      <c r="L222" t="str">
        <f>CONCATENATE(Table2[[#This Row],[Family Size2]],"members")</f>
        <v>3members</v>
      </c>
      <c r="M222">
        <v>3</v>
      </c>
    </row>
    <row r="223" spans="1:13">
      <c r="A223">
        <v>222</v>
      </c>
      <c r="B223" t="s">
        <v>11</v>
      </c>
      <c r="C223">
        <v>95</v>
      </c>
      <c r="D223" t="str" cm="1">
        <f t="array" ref="D223">_xlfn.IFS(Table2[[#This Row],[Age]]&lt;=11,"Gen A",Table2[[#This Row],[Age]]&lt;=27,"Gen Z",Table2[[#This Row],[Age]]&lt;=43,"Millenials",Table2[[#This Row],[Age]]&lt;=59,"Gen X",Table2[[#This Row],[Age]]&lt;=78,"Baby Boomers",Table2[[#This Row],[Age]]&lt;=96,"Silent",Table2[[#This Row],[Age]]&gt;=97,"Greatest")</f>
        <v>Silent</v>
      </c>
      <c r="E223" s="1">
        <v>72000</v>
      </c>
      <c r="F223">
        <v>51</v>
      </c>
      <c r="G223" t="str" cm="1">
        <f t="array" ref="G223">_xlfn.IFS(Table2[[#This Row],[Spending Score (1-100)]]&lt;=25,"Low",Table2[[#This Row],[Spending Score (1-100)]]&lt;=50,"Medium",Table2[[#This Row],[Spending Score (1-100)]]&lt;=75,"High",Table2[[#This Row],[Spending Score (1-100)]]&lt;=100,"Very High")</f>
        <v>High</v>
      </c>
      <c r="H223" t="s">
        <v>10</v>
      </c>
      <c r="I223">
        <v>4</v>
      </c>
      <c r="J223" t="str">
        <f>CONCATENATE(Table2[[#This Row],[Work Experience]],"years")</f>
        <v>4years</v>
      </c>
      <c r="K223" t="str">
        <f>CONCATENATE(Table2[[#This Row],[Family Size2]],"members")</f>
        <v>2members</v>
      </c>
      <c r="L223" t="str">
        <f>CONCATENATE(Table2[[#This Row],[Family Size2]],"members")</f>
        <v>2members</v>
      </c>
      <c r="M223">
        <v>2</v>
      </c>
    </row>
    <row r="224" spans="1:13">
      <c r="A224">
        <v>223</v>
      </c>
      <c r="B224" t="s">
        <v>8</v>
      </c>
      <c r="C224">
        <v>43</v>
      </c>
      <c r="D224" t="str" cm="1">
        <f t="array" ref="D224">_xlfn.IFS(Table2[[#This Row],[Age]]&lt;=11,"Gen A",Table2[[#This Row],[Age]]&lt;=27,"Gen Z",Table2[[#This Row],[Age]]&lt;=43,"Millenials",Table2[[#This Row],[Age]]&lt;=59,"Gen X",Table2[[#This Row],[Age]]&lt;=78,"Baby Boomers",Table2[[#This Row],[Age]]&lt;=96,"Silent",Table2[[#This Row],[Age]]&gt;=97,"Greatest")</f>
        <v>Millenials</v>
      </c>
      <c r="E224" s="1">
        <v>33000</v>
      </c>
      <c r="F224">
        <v>55</v>
      </c>
      <c r="G224" t="str" cm="1">
        <f t="array" ref="G224">_xlfn.IFS(Table2[[#This Row],[Spending Score (1-100)]]&lt;=25,"Low",Table2[[#This Row],[Spending Score (1-100)]]&lt;=50,"Medium",Table2[[#This Row],[Spending Score (1-100)]]&lt;=75,"High",Table2[[#This Row],[Spending Score (1-100)]]&lt;=100,"Very High")</f>
        <v>High</v>
      </c>
      <c r="H224" t="s">
        <v>14</v>
      </c>
      <c r="I224">
        <v>4</v>
      </c>
      <c r="J224" t="str">
        <f>CONCATENATE(Table2[[#This Row],[Work Experience]],"years")</f>
        <v>4years</v>
      </c>
      <c r="K224" t="str">
        <f>CONCATENATE(Table2[[#This Row],[Family Size2]],"members")</f>
        <v>3members</v>
      </c>
      <c r="L224" t="str">
        <f>CONCATENATE(Table2[[#This Row],[Family Size2]],"members")</f>
        <v>3members</v>
      </c>
      <c r="M224">
        <v>3</v>
      </c>
    </row>
    <row r="225" spans="1:13">
      <c r="A225">
        <v>224</v>
      </c>
      <c r="B225" t="s">
        <v>11</v>
      </c>
      <c r="C225">
        <v>93</v>
      </c>
      <c r="D225" t="str" cm="1">
        <f t="array" ref="D225">_xlfn.IFS(Table2[[#This Row],[Age]]&lt;=11,"Gen A",Table2[[#This Row],[Age]]&lt;=27,"Gen Z",Table2[[#This Row],[Age]]&lt;=43,"Millenials",Table2[[#This Row],[Age]]&lt;=59,"Gen X",Table2[[#This Row],[Age]]&lt;=78,"Baby Boomers",Table2[[#This Row],[Age]]&lt;=96,"Silent",Table2[[#This Row],[Age]]&gt;=97,"Greatest")</f>
        <v>Silent</v>
      </c>
      <c r="E225" s="1">
        <v>93000</v>
      </c>
      <c r="F225">
        <v>37</v>
      </c>
      <c r="G225" t="str" cm="1">
        <f t="array" ref="G225">_xlfn.IFS(Table2[[#This Row],[Spending Score (1-100)]]&lt;=25,"Low",Table2[[#This Row],[Spending Score (1-100)]]&lt;=50,"Medium",Table2[[#This Row],[Spending Score (1-100)]]&lt;=75,"High",Table2[[#This Row],[Spending Score (1-100)]]&lt;=100,"Very High")</f>
        <v>Medium</v>
      </c>
      <c r="H225" t="s">
        <v>9</v>
      </c>
      <c r="I225">
        <v>1</v>
      </c>
      <c r="J225" t="str">
        <f>CONCATENATE(Table2[[#This Row],[Work Experience]],"years")</f>
        <v>1years</v>
      </c>
      <c r="K225" t="str">
        <f>CONCATENATE(Table2[[#This Row],[Family Size2]],"members")</f>
        <v>5members</v>
      </c>
      <c r="L225" t="str">
        <f>CONCATENATE(Table2[[#This Row],[Family Size2]],"members")</f>
        <v>5members</v>
      </c>
      <c r="M225">
        <v>5</v>
      </c>
    </row>
    <row r="226" spans="1:13">
      <c r="A226">
        <v>225</v>
      </c>
      <c r="B226" t="s">
        <v>11</v>
      </c>
      <c r="C226">
        <v>40</v>
      </c>
      <c r="D226" t="str" cm="1">
        <f t="array" ref="D226">_xlfn.IFS(Table2[[#This Row],[Age]]&lt;=11,"Gen A",Table2[[#This Row],[Age]]&lt;=27,"Gen Z",Table2[[#This Row],[Age]]&lt;=43,"Millenials",Table2[[#This Row],[Age]]&lt;=59,"Gen X",Table2[[#This Row],[Age]]&lt;=78,"Baby Boomers",Table2[[#This Row],[Age]]&lt;=96,"Silent",Table2[[#This Row],[Age]]&gt;=97,"Greatest")</f>
        <v>Millenials</v>
      </c>
      <c r="E226" s="1">
        <v>83000</v>
      </c>
      <c r="F226">
        <v>48</v>
      </c>
      <c r="G226" t="str" cm="1">
        <f t="array" ref="G226">_xlfn.IFS(Table2[[#This Row],[Spending Score (1-100)]]&lt;=25,"Low",Table2[[#This Row],[Spending Score (1-100)]]&lt;=50,"Medium",Table2[[#This Row],[Spending Score (1-100)]]&lt;=75,"High",Table2[[#This Row],[Spending Score (1-100)]]&lt;=100,"Very High")</f>
        <v>Medium</v>
      </c>
      <c r="H226" t="s">
        <v>17</v>
      </c>
      <c r="I226">
        <v>4</v>
      </c>
      <c r="J226" t="str">
        <f>CONCATENATE(Table2[[#This Row],[Work Experience]],"years")</f>
        <v>4years</v>
      </c>
      <c r="K226" t="str">
        <f>CONCATENATE(Table2[[#This Row],[Family Size2]],"members")</f>
        <v>1members</v>
      </c>
      <c r="L226" t="str">
        <f>CONCATENATE(Table2[[#This Row],[Family Size2]],"members")</f>
        <v>1members</v>
      </c>
      <c r="M226">
        <v>1</v>
      </c>
    </row>
    <row r="227" spans="1:13">
      <c r="A227">
        <v>226</v>
      </c>
      <c r="B227" t="s">
        <v>11</v>
      </c>
      <c r="C227">
        <v>78</v>
      </c>
      <c r="D227" t="str" cm="1">
        <f t="array" ref="D227">_xlfn.IFS(Table2[[#This Row],[Age]]&lt;=11,"Gen A",Table2[[#This Row],[Age]]&lt;=27,"Gen Z",Table2[[#This Row],[Age]]&lt;=43,"Millenials",Table2[[#This Row],[Age]]&lt;=59,"Gen X",Table2[[#This Row],[Age]]&lt;=78,"Baby Boomers",Table2[[#This Row],[Age]]&lt;=96,"Silent",Table2[[#This Row],[Age]]&gt;=97,"Greatest")</f>
        <v>Baby Boomers</v>
      </c>
      <c r="E227" s="1">
        <v>23000</v>
      </c>
      <c r="F227">
        <v>8</v>
      </c>
      <c r="G227" t="str" cm="1">
        <f t="array" ref="G227">_xlfn.IFS(Table2[[#This Row],[Spending Score (1-100)]]&lt;=25,"Low",Table2[[#This Row],[Spending Score (1-100)]]&lt;=50,"Medium",Table2[[#This Row],[Spending Score (1-100)]]&lt;=75,"High",Table2[[#This Row],[Spending Score (1-100)]]&lt;=100,"Very High")</f>
        <v>Low</v>
      </c>
      <c r="H227" t="s">
        <v>10</v>
      </c>
      <c r="I227">
        <v>1</v>
      </c>
      <c r="J227" t="str">
        <f>CONCATENATE(Table2[[#This Row],[Work Experience]],"years")</f>
        <v>1years</v>
      </c>
      <c r="K227" t="str">
        <f>CONCATENATE(Table2[[#This Row],[Family Size2]],"members")</f>
        <v>1members</v>
      </c>
      <c r="L227" t="str">
        <f>CONCATENATE(Table2[[#This Row],[Family Size2]],"members")</f>
        <v>1members</v>
      </c>
      <c r="M227">
        <v>1</v>
      </c>
    </row>
    <row r="228" spans="1:13">
      <c r="A228">
        <v>227</v>
      </c>
      <c r="B228" t="s">
        <v>11</v>
      </c>
      <c r="C228">
        <v>25</v>
      </c>
      <c r="D228" t="str" cm="1">
        <f t="array" ref="D228">_xlfn.IFS(Table2[[#This Row],[Age]]&lt;=11,"Gen A",Table2[[#This Row],[Age]]&lt;=27,"Gen Z",Table2[[#This Row],[Age]]&lt;=43,"Millenials",Table2[[#This Row],[Age]]&lt;=59,"Gen X",Table2[[#This Row],[Age]]&lt;=78,"Baby Boomers",Table2[[#This Row],[Age]]&lt;=96,"Silent",Table2[[#This Row],[Age]]&gt;=97,"Greatest")</f>
        <v>Gen Z</v>
      </c>
      <c r="E228" s="1">
        <v>40000</v>
      </c>
      <c r="F228">
        <v>77</v>
      </c>
      <c r="G228" t="str" cm="1">
        <f t="array" ref="G228">_xlfn.IFS(Table2[[#This Row],[Spending Score (1-100)]]&lt;=25,"Low",Table2[[#This Row],[Spending Score (1-100)]]&lt;=50,"Medium",Table2[[#This Row],[Spending Score (1-100)]]&lt;=75,"High",Table2[[#This Row],[Spending Score (1-100)]]&lt;=100,"Very High")</f>
        <v>Very High</v>
      </c>
      <c r="H228" t="s">
        <v>14</v>
      </c>
      <c r="I228">
        <v>5</v>
      </c>
      <c r="J228" t="str">
        <f>CONCATENATE(Table2[[#This Row],[Work Experience]],"years")</f>
        <v>5years</v>
      </c>
      <c r="K228" t="str">
        <f>CONCATENATE(Table2[[#This Row],[Family Size2]],"members")</f>
        <v>4members</v>
      </c>
      <c r="L228" t="str">
        <f>CONCATENATE(Table2[[#This Row],[Family Size2]],"members")</f>
        <v>4members</v>
      </c>
      <c r="M228">
        <v>4</v>
      </c>
    </row>
    <row r="229" spans="1:13">
      <c r="A229">
        <v>228</v>
      </c>
      <c r="B229" t="s">
        <v>8</v>
      </c>
      <c r="C229">
        <v>76</v>
      </c>
      <c r="D229" t="str" cm="1">
        <f t="array" ref="D229">_xlfn.IFS(Table2[[#This Row],[Age]]&lt;=11,"Gen A",Table2[[#This Row],[Age]]&lt;=27,"Gen Z",Table2[[#This Row],[Age]]&lt;=43,"Millenials",Table2[[#This Row],[Age]]&lt;=59,"Gen X",Table2[[#This Row],[Age]]&lt;=78,"Baby Boomers",Table2[[#This Row],[Age]]&lt;=96,"Silent",Table2[[#This Row],[Age]]&gt;=97,"Greatest")</f>
        <v>Baby Boomers</v>
      </c>
      <c r="E229" s="1">
        <v>89000</v>
      </c>
      <c r="F229">
        <v>86</v>
      </c>
      <c r="G229" t="str" cm="1">
        <f t="array" ref="G229">_xlfn.IFS(Table2[[#This Row],[Spending Score (1-100)]]&lt;=25,"Low",Table2[[#This Row],[Spending Score (1-100)]]&lt;=50,"Medium",Table2[[#This Row],[Spending Score (1-100)]]&lt;=75,"High",Table2[[#This Row],[Spending Score (1-100)]]&lt;=100,"Very High")</f>
        <v>Very High</v>
      </c>
      <c r="H229" t="s">
        <v>9</v>
      </c>
      <c r="I229">
        <v>9</v>
      </c>
      <c r="J229" t="str">
        <f>CONCATENATE(Table2[[#This Row],[Work Experience]],"years")</f>
        <v>9years</v>
      </c>
      <c r="K229" t="str">
        <f>CONCATENATE(Table2[[#This Row],[Family Size2]],"members")</f>
        <v>4members</v>
      </c>
      <c r="L229" t="str">
        <f>CONCATENATE(Table2[[#This Row],[Family Size2]],"members")</f>
        <v>4members</v>
      </c>
      <c r="M229">
        <v>4</v>
      </c>
    </row>
    <row r="230" spans="1:13">
      <c r="A230">
        <v>229</v>
      </c>
      <c r="B230" t="s">
        <v>8</v>
      </c>
      <c r="C230">
        <v>0</v>
      </c>
      <c r="D230" t="str" cm="1">
        <f t="array" ref="D230">_xlfn.IFS(Table2[[#This Row],[Age]]&lt;=11,"Gen A",Table2[[#This Row],[Age]]&lt;=27,"Gen Z",Table2[[#This Row],[Age]]&lt;=43,"Millenials",Table2[[#This Row],[Age]]&lt;=59,"Gen X",Table2[[#This Row],[Age]]&lt;=78,"Baby Boomers",Table2[[#This Row],[Age]]&lt;=96,"Silent",Table2[[#This Row],[Age]]&gt;=97,"Greatest")</f>
        <v>Gen A</v>
      </c>
      <c r="E230" s="1">
        <v>33000</v>
      </c>
      <c r="F230">
        <v>64</v>
      </c>
      <c r="G230" t="str" cm="1">
        <f t="array" ref="G230">_xlfn.IFS(Table2[[#This Row],[Spending Score (1-100)]]&lt;=25,"Low",Table2[[#This Row],[Spending Score (1-100)]]&lt;=50,"Medium",Table2[[#This Row],[Spending Score (1-100)]]&lt;=75,"High",Table2[[#This Row],[Spending Score (1-100)]]&lt;=100,"Very High")</f>
        <v>High</v>
      </c>
      <c r="H230" t="s">
        <v>18</v>
      </c>
      <c r="I230">
        <v>1</v>
      </c>
      <c r="J230" t="str">
        <f>CONCATENATE(Table2[[#This Row],[Work Experience]],"years")</f>
        <v>1years</v>
      </c>
      <c r="K230" t="str">
        <f>CONCATENATE(Table2[[#This Row],[Family Size2]],"members")</f>
        <v>1members</v>
      </c>
      <c r="L230" t="str">
        <f>CONCATENATE(Table2[[#This Row],[Family Size2]],"members")</f>
        <v>1members</v>
      </c>
      <c r="M230">
        <v>1</v>
      </c>
    </row>
    <row r="231" spans="1:13">
      <c r="A231">
        <v>230</v>
      </c>
      <c r="B231" t="s">
        <v>8</v>
      </c>
      <c r="C231">
        <v>15</v>
      </c>
      <c r="D231" t="str" cm="1">
        <f t="array" ref="D231">_xlfn.IFS(Table2[[#This Row],[Age]]&lt;=11,"Gen A",Table2[[#This Row],[Age]]&lt;=27,"Gen Z",Table2[[#This Row],[Age]]&lt;=43,"Millenials",Table2[[#This Row],[Age]]&lt;=59,"Gen X",Table2[[#This Row],[Age]]&lt;=78,"Baby Boomers",Table2[[#This Row],[Age]]&lt;=96,"Silent",Table2[[#This Row],[Age]]&gt;=97,"Greatest")</f>
        <v>Gen Z</v>
      </c>
      <c r="E231" s="1">
        <v>94000</v>
      </c>
      <c r="F231">
        <v>30</v>
      </c>
      <c r="G231" t="str" cm="1">
        <f t="array" ref="G231">_xlfn.IFS(Table2[[#This Row],[Spending Score (1-100)]]&lt;=25,"Low",Table2[[#This Row],[Spending Score (1-100)]]&lt;=50,"Medium",Table2[[#This Row],[Spending Score (1-100)]]&lt;=75,"High",Table2[[#This Row],[Spending Score (1-100)]]&lt;=100,"Very High")</f>
        <v>Medium</v>
      </c>
      <c r="H231" t="s">
        <v>9</v>
      </c>
      <c r="I231">
        <v>7</v>
      </c>
      <c r="J231" t="str">
        <f>CONCATENATE(Table2[[#This Row],[Work Experience]],"years")</f>
        <v>7years</v>
      </c>
      <c r="K231" t="str">
        <f>CONCATENATE(Table2[[#This Row],[Family Size2]],"members")</f>
        <v>2members</v>
      </c>
      <c r="L231" t="str">
        <f>CONCATENATE(Table2[[#This Row],[Family Size2]],"members")</f>
        <v>2members</v>
      </c>
      <c r="M231">
        <v>2</v>
      </c>
    </row>
    <row r="232" spans="1:13">
      <c r="A232">
        <v>231</v>
      </c>
      <c r="B232" t="s">
        <v>11</v>
      </c>
      <c r="C232">
        <v>6</v>
      </c>
      <c r="D232" t="str" cm="1">
        <f t="array" ref="D232">_xlfn.IFS(Table2[[#This Row],[Age]]&lt;=11,"Gen A",Table2[[#This Row],[Age]]&lt;=27,"Gen Z",Table2[[#This Row],[Age]]&lt;=43,"Millenials",Table2[[#This Row],[Age]]&lt;=59,"Gen X",Table2[[#This Row],[Age]]&lt;=78,"Baby Boomers",Table2[[#This Row],[Age]]&lt;=96,"Silent",Table2[[#This Row],[Age]]&gt;=97,"Greatest")</f>
        <v>Gen A</v>
      </c>
      <c r="E232" s="1">
        <v>93000</v>
      </c>
      <c r="F232">
        <v>53</v>
      </c>
      <c r="G232" t="str" cm="1">
        <f t="array" ref="G232">_xlfn.IFS(Table2[[#This Row],[Spending Score (1-100)]]&lt;=25,"Low",Table2[[#This Row],[Spending Score (1-100)]]&lt;=50,"Medium",Table2[[#This Row],[Spending Score (1-100)]]&lt;=75,"High",Table2[[#This Row],[Spending Score (1-100)]]&lt;=100,"Very High")</f>
        <v>High</v>
      </c>
      <c r="H232" t="s">
        <v>12</v>
      </c>
      <c r="I232">
        <v>8</v>
      </c>
      <c r="J232" t="str">
        <f>CONCATENATE(Table2[[#This Row],[Work Experience]],"years")</f>
        <v>8years</v>
      </c>
      <c r="K232" t="str">
        <f>CONCATENATE(Table2[[#This Row],[Family Size2]],"members")</f>
        <v>2members</v>
      </c>
      <c r="L232" t="str">
        <f>CONCATENATE(Table2[[#This Row],[Family Size2]],"members")</f>
        <v>2members</v>
      </c>
      <c r="M232">
        <v>2</v>
      </c>
    </row>
    <row r="233" spans="1:13">
      <c r="A233">
        <v>232</v>
      </c>
      <c r="B233" t="s">
        <v>8</v>
      </c>
      <c r="C233">
        <v>84</v>
      </c>
      <c r="D233" t="str" cm="1">
        <f t="array" ref="D233">_xlfn.IFS(Table2[[#This Row],[Age]]&lt;=11,"Gen A",Table2[[#This Row],[Age]]&lt;=27,"Gen Z",Table2[[#This Row],[Age]]&lt;=43,"Millenials",Table2[[#This Row],[Age]]&lt;=59,"Gen X",Table2[[#This Row],[Age]]&lt;=78,"Baby Boomers",Table2[[#This Row],[Age]]&lt;=96,"Silent",Table2[[#This Row],[Age]]&gt;=97,"Greatest")</f>
        <v>Silent</v>
      </c>
      <c r="E233" s="1">
        <v>7000</v>
      </c>
      <c r="F233">
        <v>28</v>
      </c>
      <c r="G233" t="str" cm="1">
        <f t="array" ref="G233">_xlfn.IFS(Table2[[#This Row],[Spending Score (1-100)]]&lt;=25,"Low",Table2[[#This Row],[Spending Score (1-100)]]&lt;=50,"Medium",Table2[[#This Row],[Spending Score (1-100)]]&lt;=75,"High",Table2[[#This Row],[Spending Score (1-100)]]&lt;=100,"Very High")</f>
        <v>Medium</v>
      </c>
      <c r="H233" t="s">
        <v>9</v>
      </c>
      <c r="I233">
        <v>0</v>
      </c>
      <c r="J233" t="str">
        <f>CONCATENATE(Table2[[#This Row],[Work Experience]],"years")</f>
        <v>0years</v>
      </c>
      <c r="K233" t="str">
        <f>CONCATENATE(Table2[[#This Row],[Family Size2]],"members")</f>
        <v>4members</v>
      </c>
      <c r="L233" t="str">
        <f>CONCATENATE(Table2[[#This Row],[Family Size2]],"members")</f>
        <v>4members</v>
      </c>
      <c r="M233">
        <v>4</v>
      </c>
    </row>
    <row r="234" spans="1:13">
      <c r="A234">
        <v>233</v>
      </c>
      <c r="B234" t="s">
        <v>11</v>
      </c>
      <c r="C234">
        <v>67</v>
      </c>
      <c r="D234" t="str" cm="1">
        <f t="array" ref="D234">_xlfn.IFS(Table2[[#This Row],[Age]]&lt;=11,"Gen A",Table2[[#This Row],[Age]]&lt;=27,"Gen Z",Table2[[#This Row],[Age]]&lt;=43,"Millenials",Table2[[#This Row],[Age]]&lt;=59,"Gen X",Table2[[#This Row],[Age]]&lt;=78,"Baby Boomers",Table2[[#This Row],[Age]]&lt;=96,"Silent",Table2[[#This Row],[Age]]&gt;=97,"Greatest")</f>
        <v>Baby Boomers</v>
      </c>
      <c r="E234" s="1">
        <v>18000</v>
      </c>
      <c r="F234">
        <v>88</v>
      </c>
      <c r="G234" t="str" cm="1">
        <f t="array" ref="G234">_xlfn.IFS(Table2[[#This Row],[Spending Score (1-100)]]&lt;=25,"Low",Table2[[#This Row],[Spending Score (1-100)]]&lt;=50,"Medium",Table2[[#This Row],[Spending Score (1-100)]]&lt;=75,"High",Table2[[#This Row],[Spending Score (1-100)]]&lt;=100,"Very High")</f>
        <v>Very High</v>
      </c>
      <c r="H234" t="s">
        <v>12</v>
      </c>
      <c r="I234">
        <v>0</v>
      </c>
      <c r="J234" t="str">
        <f>CONCATENATE(Table2[[#This Row],[Work Experience]],"years")</f>
        <v>0years</v>
      </c>
      <c r="K234" t="str">
        <f>CONCATENATE(Table2[[#This Row],[Family Size2]],"members")</f>
        <v>2members</v>
      </c>
      <c r="L234" t="str">
        <f>CONCATENATE(Table2[[#This Row],[Family Size2]],"members")</f>
        <v>2members</v>
      </c>
      <c r="M234">
        <v>2</v>
      </c>
    </row>
    <row r="235" spans="1:13">
      <c r="A235">
        <v>234</v>
      </c>
      <c r="B235" t="s">
        <v>11</v>
      </c>
      <c r="C235">
        <v>78</v>
      </c>
      <c r="D235" t="str" cm="1">
        <f t="array" ref="D235">_xlfn.IFS(Table2[[#This Row],[Age]]&lt;=11,"Gen A",Table2[[#This Row],[Age]]&lt;=27,"Gen Z",Table2[[#This Row],[Age]]&lt;=43,"Millenials",Table2[[#This Row],[Age]]&lt;=59,"Gen X",Table2[[#This Row],[Age]]&lt;=78,"Baby Boomers",Table2[[#This Row],[Age]]&lt;=96,"Silent",Table2[[#This Row],[Age]]&gt;=97,"Greatest")</f>
        <v>Baby Boomers</v>
      </c>
      <c r="E235" s="1">
        <v>3000</v>
      </c>
      <c r="F235">
        <v>14</v>
      </c>
      <c r="G235" t="str" cm="1">
        <f t="array" ref="G235">_xlfn.IFS(Table2[[#This Row],[Spending Score (1-100)]]&lt;=25,"Low",Table2[[#This Row],[Spending Score (1-100)]]&lt;=50,"Medium",Table2[[#This Row],[Spending Score (1-100)]]&lt;=75,"High",Table2[[#This Row],[Spending Score (1-100)]]&lt;=100,"Very High")</f>
        <v>Low</v>
      </c>
      <c r="H235" t="s">
        <v>9</v>
      </c>
      <c r="I235">
        <v>0</v>
      </c>
      <c r="J235" t="str">
        <f>CONCATENATE(Table2[[#This Row],[Work Experience]],"years")</f>
        <v>0years</v>
      </c>
      <c r="K235" t="str">
        <f>CONCATENATE(Table2[[#This Row],[Family Size2]],"members")</f>
        <v>4members</v>
      </c>
      <c r="L235" t="str">
        <f>CONCATENATE(Table2[[#This Row],[Family Size2]],"members")</f>
        <v>4members</v>
      </c>
      <c r="M235">
        <v>4</v>
      </c>
    </row>
    <row r="236" spans="1:13">
      <c r="A236">
        <v>235</v>
      </c>
      <c r="B236" t="s">
        <v>11</v>
      </c>
      <c r="C236">
        <v>4</v>
      </c>
      <c r="D236" t="str" cm="1">
        <f t="array" ref="D236">_xlfn.IFS(Table2[[#This Row],[Age]]&lt;=11,"Gen A",Table2[[#This Row],[Age]]&lt;=27,"Gen Z",Table2[[#This Row],[Age]]&lt;=43,"Millenials",Table2[[#This Row],[Age]]&lt;=59,"Gen X",Table2[[#This Row],[Age]]&lt;=78,"Baby Boomers",Table2[[#This Row],[Age]]&lt;=96,"Silent",Table2[[#This Row],[Age]]&gt;=97,"Greatest")</f>
        <v>Gen A</v>
      </c>
      <c r="E236" s="1">
        <v>84000</v>
      </c>
      <c r="F236">
        <v>54</v>
      </c>
      <c r="G236" t="str" cm="1">
        <f t="array" ref="G236">_xlfn.IFS(Table2[[#This Row],[Spending Score (1-100)]]&lt;=25,"Low",Table2[[#This Row],[Spending Score (1-100)]]&lt;=50,"Medium",Table2[[#This Row],[Spending Score (1-100)]]&lt;=75,"High",Table2[[#This Row],[Spending Score (1-100)]]&lt;=100,"Very High")</f>
        <v>High</v>
      </c>
      <c r="H236" t="s">
        <v>14</v>
      </c>
      <c r="I236">
        <v>9</v>
      </c>
      <c r="J236" t="str">
        <f>CONCATENATE(Table2[[#This Row],[Work Experience]],"years")</f>
        <v>9years</v>
      </c>
      <c r="K236" t="str">
        <f>CONCATENATE(Table2[[#This Row],[Family Size2]],"members")</f>
        <v>1members</v>
      </c>
      <c r="L236" t="str">
        <f>CONCATENATE(Table2[[#This Row],[Family Size2]],"members")</f>
        <v>1members</v>
      </c>
      <c r="M236">
        <v>1</v>
      </c>
    </row>
    <row r="237" spans="1:13">
      <c r="A237">
        <v>236</v>
      </c>
      <c r="B237" t="s">
        <v>11</v>
      </c>
      <c r="C237">
        <v>29</v>
      </c>
      <c r="D237" t="str" cm="1">
        <f t="array" ref="D237">_xlfn.IFS(Table2[[#This Row],[Age]]&lt;=11,"Gen A",Table2[[#This Row],[Age]]&lt;=27,"Gen Z",Table2[[#This Row],[Age]]&lt;=43,"Millenials",Table2[[#This Row],[Age]]&lt;=59,"Gen X",Table2[[#This Row],[Age]]&lt;=78,"Baby Boomers",Table2[[#This Row],[Age]]&lt;=96,"Silent",Table2[[#This Row],[Age]]&gt;=97,"Greatest")</f>
        <v>Millenials</v>
      </c>
      <c r="E237" s="1">
        <v>62000</v>
      </c>
      <c r="F237">
        <v>34</v>
      </c>
      <c r="G237" t="str" cm="1">
        <f t="array" ref="G237">_xlfn.IFS(Table2[[#This Row],[Spending Score (1-100)]]&lt;=25,"Low",Table2[[#This Row],[Spending Score (1-100)]]&lt;=50,"Medium",Table2[[#This Row],[Spending Score (1-100)]]&lt;=75,"High",Table2[[#This Row],[Spending Score (1-100)]]&lt;=100,"Very High")</f>
        <v>Medium</v>
      </c>
      <c r="H237" t="s">
        <v>9</v>
      </c>
      <c r="I237">
        <v>0</v>
      </c>
      <c r="J237" t="str">
        <f>CONCATENATE(Table2[[#This Row],[Work Experience]],"years")</f>
        <v>0years</v>
      </c>
      <c r="K237" t="str">
        <f>CONCATENATE(Table2[[#This Row],[Family Size2]],"members")</f>
        <v>4members</v>
      </c>
      <c r="L237" t="str">
        <f>CONCATENATE(Table2[[#This Row],[Family Size2]],"members")</f>
        <v>4members</v>
      </c>
      <c r="M237">
        <v>4</v>
      </c>
    </row>
    <row r="238" spans="1:13">
      <c r="A238">
        <v>237</v>
      </c>
      <c r="B238" t="s">
        <v>8</v>
      </c>
      <c r="C238">
        <v>91</v>
      </c>
      <c r="D238" t="str" cm="1">
        <f t="array" ref="D238">_xlfn.IFS(Table2[[#This Row],[Age]]&lt;=11,"Gen A",Table2[[#This Row],[Age]]&lt;=27,"Gen Z",Table2[[#This Row],[Age]]&lt;=43,"Millenials",Table2[[#This Row],[Age]]&lt;=59,"Gen X",Table2[[#This Row],[Age]]&lt;=78,"Baby Boomers",Table2[[#This Row],[Age]]&lt;=96,"Silent",Table2[[#This Row],[Age]]&gt;=97,"Greatest")</f>
        <v>Silent</v>
      </c>
      <c r="E238" s="1">
        <v>9000</v>
      </c>
      <c r="F238">
        <v>96</v>
      </c>
      <c r="G238" t="str" cm="1">
        <f t="array" ref="G238">_xlfn.IFS(Table2[[#This Row],[Spending Score (1-100)]]&lt;=25,"Low",Table2[[#This Row],[Spending Score (1-100)]]&lt;=50,"Medium",Table2[[#This Row],[Spending Score (1-100)]]&lt;=75,"High",Table2[[#This Row],[Spending Score (1-100)]]&lt;=100,"Very High")</f>
        <v>Very High</v>
      </c>
      <c r="H238" t="s">
        <v>9</v>
      </c>
      <c r="I238">
        <v>1</v>
      </c>
      <c r="J238" t="str">
        <f>CONCATENATE(Table2[[#This Row],[Work Experience]],"years")</f>
        <v>1years</v>
      </c>
      <c r="K238" t="str">
        <f>CONCATENATE(Table2[[#This Row],[Family Size2]],"members")</f>
        <v>5members</v>
      </c>
      <c r="L238" t="str">
        <f>CONCATENATE(Table2[[#This Row],[Family Size2]],"members")</f>
        <v>5members</v>
      </c>
      <c r="M238">
        <v>5</v>
      </c>
    </row>
    <row r="239" spans="1:13">
      <c r="A239">
        <v>238</v>
      </c>
      <c r="B239" t="s">
        <v>8</v>
      </c>
      <c r="C239">
        <v>95</v>
      </c>
      <c r="D239" t="str" cm="1">
        <f t="array" ref="D239">_xlfn.IFS(Table2[[#This Row],[Age]]&lt;=11,"Gen A",Table2[[#This Row],[Age]]&lt;=27,"Gen Z",Table2[[#This Row],[Age]]&lt;=43,"Millenials",Table2[[#This Row],[Age]]&lt;=59,"Gen X",Table2[[#This Row],[Age]]&lt;=78,"Baby Boomers",Table2[[#This Row],[Age]]&lt;=96,"Silent",Table2[[#This Row],[Age]]&gt;=97,"Greatest")</f>
        <v>Silent</v>
      </c>
      <c r="E239" s="1">
        <v>36000</v>
      </c>
      <c r="F239">
        <v>35</v>
      </c>
      <c r="G239" t="str" cm="1">
        <f t="array" ref="G239">_xlfn.IFS(Table2[[#This Row],[Spending Score (1-100)]]&lt;=25,"Low",Table2[[#This Row],[Spending Score (1-100)]]&lt;=50,"Medium",Table2[[#This Row],[Spending Score (1-100)]]&lt;=75,"High",Table2[[#This Row],[Spending Score (1-100)]]&lt;=100,"Very High")</f>
        <v>Medium</v>
      </c>
      <c r="H239" t="s">
        <v>19</v>
      </c>
      <c r="I239">
        <v>0</v>
      </c>
      <c r="J239" t="str">
        <f>CONCATENATE(Table2[[#This Row],[Work Experience]],"years")</f>
        <v>0years</v>
      </c>
      <c r="K239" t="str">
        <f>CONCATENATE(Table2[[#This Row],[Family Size2]],"members")</f>
        <v>4members</v>
      </c>
      <c r="L239" t="str">
        <f>CONCATENATE(Table2[[#This Row],[Family Size2]],"members")</f>
        <v>4members</v>
      </c>
      <c r="M239">
        <v>4</v>
      </c>
    </row>
    <row r="240" spans="1:13">
      <c r="A240">
        <v>239</v>
      </c>
      <c r="B240" t="s">
        <v>8</v>
      </c>
      <c r="C240">
        <v>55</v>
      </c>
      <c r="D240" t="str" cm="1">
        <f t="array" ref="D240">_xlfn.IFS(Table2[[#This Row],[Age]]&lt;=11,"Gen A",Table2[[#This Row],[Age]]&lt;=27,"Gen Z",Table2[[#This Row],[Age]]&lt;=43,"Millenials",Table2[[#This Row],[Age]]&lt;=59,"Gen X",Table2[[#This Row],[Age]]&lt;=78,"Baby Boomers",Table2[[#This Row],[Age]]&lt;=96,"Silent",Table2[[#This Row],[Age]]&gt;=97,"Greatest")</f>
        <v>Gen X</v>
      </c>
      <c r="E240" s="1">
        <v>37000</v>
      </c>
      <c r="F240">
        <v>74</v>
      </c>
      <c r="G240" t="str" cm="1">
        <f t="array" ref="G240">_xlfn.IFS(Table2[[#This Row],[Spending Score (1-100)]]&lt;=25,"Low",Table2[[#This Row],[Spending Score (1-100)]]&lt;=50,"Medium",Table2[[#This Row],[Spending Score (1-100)]]&lt;=75,"High",Table2[[#This Row],[Spending Score (1-100)]]&lt;=100,"Very High")</f>
        <v>High</v>
      </c>
      <c r="H240" t="s">
        <v>12</v>
      </c>
      <c r="I240">
        <v>1</v>
      </c>
      <c r="J240" t="str">
        <f>CONCATENATE(Table2[[#This Row],[Work Experience]],"years")</f>
        <v>1years</v>
      </c>
      <c r="K240" t="str">
        <f>CONCATENATE(Table2[[#This Row],[Family Size2]],"members")</f>
        <v>4members</v>
      </c>
      <c r="L240" t="str">
        <f>CONCATENATE(Table2[[#This Row],[Family Size2]],"members")</f>
        <v>4members</v>
      </c>
      <c r="M240">
        <v>4</v>
      </c>
    </row>
    <row r="241" spans="1:13">
      <c r="A241">
        <v>240</v>
      </c>
      <c r="B241" t="s">
        <v>11</v>
      </c>
      <c r="C241">
        <v>14</v>
      </c>
      <c r="D241" t="str" cm="1">
        <f t="array" ref="D241">_xlfn.IFS(Table2[[#This Row],[Age]]&lt;=11,"Gen A",Table2[[#This Row],[Age]]&lt;=27,"Gen Z",Table2[[#This Row],[Age]]&lt;=43,"Millenials",Table2[[#This Row],[Age]]&lt;=59,"Gen X",Table2[[#This Row],[Age]]&lt;=78,"Baby Boomers",Table2[[#This Row],[Age]]&lt;=96,"Silent",Table2[[#This Row],[Age]]&gt;=97,"Greatest")</f>
        <v>Gen Z</v>
      </c>
      <c r="E241" s="1">
        <v>50000</v>
      </c>
      <c r="F241">
        <v>11</v>
      </c>
      <c r="G241" t="str" cm="1">
        <f t="array" ref="G241">_xlfn.IFS(Table2[[#This Row],[Spending Score (1-100)]]&lt;=25,"Low",Table2[[#This Row],[Spending Score (1-100)]]&lt;=50,"Medium",Table2[[#This Row],[Spending Score (1-100)]]&lt;=75,"High",Table2[[#This Row],[Spending Score (1-100)]]&lt;=100,"Very High")</f>
        <v>Low</v>
      </c>
      <c r="H241" t="s">
        <v>14</v>
      </c>
      <c r="I241">
        <v>1</v>
      </c>
      <c r="J241" t="str">
        <f>CONCATENATE(Table2[[#This Row],[Work Experience]],"years")</f>
        <v>1years</v>
      </c>
      <c r="K241" t="str">
        <f>CONCATENATE(Table2[[#This Row],[Family Size2]],"members")</f>
        <v>2members</v>
      </c>
      <c r="L241" t="str">
        <f>CONCATENATE(Table2[[#This Row],[Family Size2]],"members")</f>
        <v>2members</v>
      </c>
      <c r="M241">
        <v>2</v>
      </c>
    </row>
    <row r="242" spans="1:13">
      <c r="A242">
        <v>241</v>
      </c>
      <c r="B242" t="s">
        <v>8</v>
      </c>
      <c r="C242">
        <v>92</v>
      </c>
      <c r="D242" t="str" cm="1">
        <f t="array" ref="D242">_xlfn.IFS(Table2[[#This Row],[Age]]&lt;=11,"Gen A",Table2[[#This Row],[Age]]&lt;=27,"Gen Z",Table2[[#This Row],[Age]]&lt;=43,"Millenials",Table2[[#This Row],[Age]]&lt;=59,"Gen X",Table2[[#This Row],[Age]]&lt;=78,"Baby Boomers",Table2[[#This Row],[Age]]&lt;=96,"Silent",Table2[[#This Row],[Age]]&gt;=97,"Greatest")</f>
        <v>Silent</v>
      </c>
      <c r="E242" s="1">
        <v>83000</v>
      </c>
      <c r="F242">
        <v>16</v>
      </c>
      <c r="G242" t="str" cm="1">
        <f t="array" ref="G242">_xlfn.IFS(Table2[[#This Row],[Spending Score (1-100)]]&lt;=25,"Low",Table2[[#This Row],[Spending Score (1-100)]]&lt;=50,"Medium",Table2[[#This Row],[Spending Score (1-100)]]&lt;=75,"High",Table2[[#This Row],[Spending Score (1-100)]]&lt;=100,"Very High")</f>
        <v>Low</v>
      </c>
      <c r="H242" t="s">
        <v>15</v>
      </c>
      <c r="I242">
        <v>1</v>
      </c>
      <c r="J242" t="str">
        <f>CONCATENATE(Table2[[#This Row],[Work Experience]],"years")</f>
        <v>1years</v>
      </c>
      <c r="K242" t="str">
        <f>CONCATENATE(Table2[[#This Row],[Family Size2]],"members")</f>
        <v>5members</v>
      </c>
      <c r="L242" t="str">
        <f>CONCATENATE(Table2[[#This Row],[Family Size2]],"members")</f>
        <v>5members</v>
      </c>
      <c r="M242">
        <v>5</v>
      </c>
    </row>
    <row r="243" spans="1:13">
      <c r="A243">
        <v>242</v>
      </c>
      <c r="B243" t="s">
        <v>11</v>
      </c>
      <c r="C243">
        <v>65</v>
      </c>
      <c r="D243" t="str" cm="1">
        <f t="array" ref="D243">_xlfn.IFS(Table2[[#This Row],[Age]]&lt;=11,"Gen A",Table2[[#This Row],[Age]]&lt;=27,"Gen Z",Table2[[#This Row],[Age]]&lt;=43,"Millenials",Table2[[#This Row],[Age]]&lt;=59,"Gen X",Table2[[#This Row],[Age]]&lt;=78,"Baby Boomers",Table2[[#This Row],[Age]]&lt;=96,"Silent",Table2[[#This Row],[Age]]&gt;=97,"Greatest")</f>
        <v>Baby Boomers</v>
      </c>
      <c r="E243" s="1">
        <v>79000</v>
      </c>
      <c r="F243">
        <v>17</v>
      </c>
      <c r="G243" t="str" cm="1">
        <f t="array" ref="G243">_xlfn.IFS(Table2[[#This Row],[Spending Score (1-100)]]&lt;=25,"Low",Table2[[#This Row],[Spending Score (1-100)]]&lt;=50,"Medium",Table2[[#This Row],[Spending Score (1-100)]]&lt;=75,"High",Table2[[#This Row],[Spending Score (1-100)]]&lt;=100,"Very High")</f>
        <v>Low</v>
      </c>
      <c r="H243" t="s">
        <v>14</v>
      </c>
      <c r="I243">
        <v>0</v>
      </c>
      <c r="J243" t="str">
        <f>CONCATENATE(Table2[[#This Row],[Work Experience]],"years")</f>
        <v>0years</v>
      </c>
      <c r="K243" t="str">
        <f>CONCATENATE(Table2[[#This Row],[Family Size2]],"members")</f>
        <v>3members</v>
      </c>
      <c r="L243" t="str">
        <f>CONCATENATE(Table2[[#This Row],[Family Size2]],"members")</f>
        <v>3members</v>
      </c>
      <c r="M243">
        <v>3</v>
      </c>
    </row>
    <row r="244" spans="1:13">
      <c r="A244">
        <v>243</v>
      </c>
      <c r="B244" t="s">
        <v>11</v>
      </c>
      <c r="C244">
        <v>84</v>
      </c>
      <c r="D244" t="str" cm="1">
        <f t="array" ref="D244">_xlfn.IFS(Table2[[#This Row],[Age]]&lt;=11,"Gen A",Table2[[#This Row],[Age]]&lt;=27,"Gen Z",Table2[[#This Row],[Age]]&lt;=43,"Millenials",Table2[[#This Row],[Age]]&lt;=59,"Gen X",Table2[[#This Row],[Age]]&lt;=78,"Baby Boomers",Table2[[#This Row],[Age]]&lt;=96,"Silent",Table2[[#This Row],[Age]]&gt;=97,"Greatest")</f>
        <v>Silent</v>
      </c>
      <c r="E244" s="1">
        <v>40000</v>
      </c>
      <c r="F244">
        <v>14</v>
      </c>
      <c r="G244" t="str" cm="1">
        <f t="array" ref="G244">_xlfn.IFS(Table2[[#This Row],[Spending Score (1-100)]]&lt;=25,"Low",Table2[[#This Row],[Spending Score (1-100)]]&lt;=50,"Medium",Table2[[#This Row],[Spending Score (1-100)]]&lt;=75,"High",Table2[[#This Row],[Spending Score (1-100)]]&lt;=100,"Very High")</f>
        <v>Low</v>
      </c>
      <c r="H244" t="s">
        <v>9</v>
      </c>
      <c r="I244">
        <v>1</v>
      </c>
      <c r="J244" t="str">
        <f>CONCATENATE(Table2[[#This Row],[Work Experience]],"years")</f>
        <v>1years</v>
      </c>
      <c r="K244" t="str">
        <f>CONCATENATE(Table2[[#This Row],[Family Size2]],"members")</f>
        <v>4members</v>
      </c>
      <c r="L244" t="str">
        <f>CONCATENATE(Table2[[#This Row],[Family Size2]],"members")</f>
        <v>4members</v>
      </c>
      <c r="M244">
        <v>4</v>
      </c>
    </row>
    <row r="245" spans="1:13">
      <c r="A245">
        <v>244</v>
      </c>
      <c r="B245" t="s">
        <v>11</v>
      </c>
      <c r="C245">
        <v>77</v>
      </c>
      <c r="D245" t="str" cm="1">
        <f t="array" ref="D245">_xlfn.IFS(Table2[[#This Row],[Age]]&lt;=11,"Gen A",Table2[[#This Row],[Age]]&lt;=27,"Gen Z",Table2[[#This Row],[Age]]&lt;=43,"Millenials",Table2[[#This Row],[Age]]&lt;=59,"Gen X",Table2[[#This Row],[Age]]&lt;=78,"Baby Boomers",Table2[[#This Row],[Age]]&lt;=96,"Silent",Table2[[#This Row],[Age]]&gt;=97,"Greatest")</f>
        <v>Baby Boomers</v>
      </c>
      <c r="E245" s="1">
        <v>47000</v>
      </c>
      <c r="F245">
        <v>58</v>
      </c>
      <c r="G245" t="str" cm="1">
        <f t="array" ref="G245">_xlfn.IFS(Table2[[#This Row],[Spending Score (1-100)]]&lt;=25,"Low",Table2[[#This Row],[Spending Score (1-100)]]&lt;=50,"Medium",Table2[[#This Row],[Spending Score (1-100)]]&lt;=75,"High",Table2[[#This Row],[Spending Score (1-100)]]&lt;=100,"Very High")</f>
        <v>High</v>
      </c>
      <c r="H245" t="s">
        <v>14</v>
      </c>
      <c r="I245">
        <v>0</v>
      </c>
      <c r="J245" t="str">
        <f>CONCATENATE(Table2[[#This Row],[Work Experience]],"years")</f>
        <v>0years</v>
      </c>
      <c r="K245" t="str">
        <f>CONCATENATE(Table2[[#This Row],[Family Size2]],"members")</f>
        <v>6members</v>
      </c>
      <c r="L245" t="str">
        <f>CONCATENATE(Table2[[#This Row],[Family Size2]],"members")</f>
        <v>6members</v>
      </c>
      <c r="M245">
        <v>6</v>
      </c>
    </row>
    <row r="246" spans="1:13">
      <c r="A246">
        <v>245</v>
      </c>
      <c r="B246" t="s">
        <v>11</v>
      </c>
      <c r="C246">
        <v>53</v>
      </c>
      <c r="D246" t="str" cm="1">
        <f t="array" ref="D246">_xlfn.IFS(Table2[[#This Row],[Age]]&lt;=11,"Gen A",Table2[[#This Row],[Age]]&lt;=27,"Gen Z",Table2[[#This Row],[Age]]&lt;=43,"Millenials",Table2[[#This Row],[Age]]&lt;=59,"Gen X",Table2[[#This Row],[Age]]&lt;=78,"Baby Boomers",Table2[[#This Row],[Age]]&lt;=96,"Silent",Table2[[#This Row],[Age]]&gt;=97,"Greatest")</f>
        <v>Gen X</v>
      </c>
      <c r="E246" s="1">
        <v>4000</v>
      </c>
      <c r="F246">
        <v>20</v>
      </c>
      <c r="G246" t="str" cm="1">
        <f t="array" ref="G246">_xlfn.IFS(Table2[[#This Row],[Spending Score (1-100)]]&lt;=25,"Low",Table2[[#This Row],[Spending Score (1-100)]]&lt;=50,"Medium",Table2[[#This Row],[Spending Score (1-100)]]&lt;=75,"High",Table2[[#This Row],[Spending Score (1-100)]]&lt;=100,"Very High")</f>
        <v>Low</v>
      </c>
      <c r="H246" t="s">
        <v>14</v>
      </c>
      <c r="I246">
        <v>0</v>
      </c>
      <c r="J246" t="str">
        <f>CONCATENATE(Table2[[#This Row],[Work Experience]],"years")</f>
        <v>0years</v>
      </c>
      <c r="K246" t="str">
        <f>CONCATENATE(Table2[[#This Row],[Family Size2]],"members")</f>
        <v>4members</v>
      </c>
      <c r="L246" t="str">
        <f>CONCATENATE(Table2[[#This Row],[Family Size2]],"members")</f>
        <v>4members</v>
      </c>
      <c r="M246">
        <v>4</v>
      </c>
    </row>
    <row r="247" spans="1:13">
      <c r="A247">
        <v>246</v>
      </c>
      <c r="B247" t="s">
        <v>11</v>
      </c>
      <c r="C247">
        <v>28</v>
      </c>
      <c r="D247" t="str" cm="1">
        <f t="array" ref="D247">_xlfn.IFS(Table2[[#This Row],[Age]]&lt;=11,"Gen A",Table2[[#This Row],[Age]]&lt;=27,"Gen Z",Table2[[#This Row],[Age]]&lt;=43,"Millenials",Table2[[#This Row],[Age]]&lt;=59,"Gen X",Table2[[#This Row],[Age]]&lt;=78,"Baby Boomers",Table2[[#This Row],[Age]]&lt;=96,"Silent",Table2[[#This Row],[Age]]&gt;=97,"Greatest")</f>
        <v>Millenials</v>
      </c>
      <c r="E247" s="1">
        <v>38000</v>
      </c>
      <c r="F247">
        <v>75</v>
      </c>
      <c r="G247" t="str" cm="1">
        <f t="array" ref="G247">_xlfn.IFS(Table2[[#This Row],[Spending Score (1-100)]]&lt;=25,"Low",Table2[[#This Row],[Spending Score (1-100)]]&lt;=50,"Medium",Table2[[#This Row],[Spending Score (1-100)]]&lt;=75,"High",Table2[[#This Row],[Spending Score (1-100)]]&lt;=100,"Very High")</f>
        <v>High</v>
      </c>
      <c r="H247" t="s">
        <v>13</v>
      </c>
      <c r="I247">
        <v>7</v>
      </c>
      <c r="J247" t="str">
        <f>CONCATENATE(Table2[[#This Row],[Work Experience]],"years")</f>
        <v>7years</v>
      </c>
      <c r="K247" t="str">
        <f>CONCATENATE(Table2[[#This Row],[Family Size2]],"members")</f>
        <v>2members</v>
      </c>
      <c r="L247" t="str">
        <f>CONCATENATE(Table2[[#This Row],[Family Size2]],"members")</f>
        <v>2members</v>
      </c>
      <c r="M247">
        <v>2</v>
      </c>
    </row>
    <row r="248" spans="1:13">
      <c r="A248">
        <v>247</v>
      </c>
      <c r="B248" t="s">
        <v>8</v>
      </c>
      <c r="C248">
        <v>23</v>
      </c>
      <c r="D248" t="str" cm="1">
        <f t="array" ref="D248">_xlfn.IFS(Table2[[#This Row],[Age]]&lt;=11,"Gen A",Table2[[#This Row],[Age]]&lt;=27,"Gen Z",Table2[[#This Row],[Age]]&lt;=43,"Millenials",Table2[[#This Row],[Age]]&lt;=59,"Gen X",Table2[[#This Row],[Age]]&lt;=78,"Baby Boomers",Table2[[#This Row],[Age]]&lt;=96,"Silent",Table2[[#This Row],[Age]]&gt;=97,"Greatest")</f>
        <v>Gen Z</v>
      </c>
      <c r="E248" s="1">
        <v>0</v>
      </c>
      <c r="F248">
        <v>96</v>
      </c>
      <c r="G248" t="str" cm="1">
        <f t="array" ref="G248">_xlfn.IFS(Table2[[#This Row],[Spending Score (1-100)]]&lt;=25,"Low",Table2[[#This Row],[Spending Score (1-100)]]&lt;=50,"Medium",Table2[[#This Row],[Spending Score (1-100)]]&lt;=75,"High",Table2[[#This Row],[Spending Score (1-100)]]&lt;=100,"Very High")</f>
        <v>Very High</v>
      </c>
      <c r="H248" t="s">
        <v>16</v>
      </c>
      <c r="I248">
        <v>1</v>
      </c>
      <c r="J248" t="str">
        <f>CONCATENATE(Table2[[#This Row],[Work Experience]],"years")</f>
        <v>1years</v>
      </c>
      <c r="K248" t="str">
        <f>CONCATENATE(Table2[[#This Row],[Family Size2]],"members")</f>
        <v>3members</v>
      </c>
      <c r="L248" t="str">
        <f>CONCATENATE(Table2[[#This Row],[Family Size2]],"members")</f>
        <v>3members</v>
      </c>
      <c r="M248">
        <v>3</v>
      </c>
    </row>
    <row r="249" spans="1:13">
      <c r="A249">
        <v>248</v>
      </c>
      <c r="B249" t="s">
        <v>11</v>
      </c>
      <c r="C249">
        <v>32</v>
      </c>
      <c r="D249" t="str" cm="1">
        <f t="array" ref="D249">_xlfn.IFS(Table2[[#This Row],[Age]]&lt;=11,"Gen A",Table2[[#This Row],[Age]]&lt;=27,"Gen Z",Table2[[#This Row],[Age]]&lt;=43,"Millenials",Table2[[#This Row],[Age]]&lt;=59,"Gen X",Table2[[#This Row],[Age]]&lt;=78,"Baby Boomers",Table2[[#This Row],[Age]]&lt;=96,"Silent",Table2[[#This Row],[Age]]&gt;=97,"Greatest")</f>
        <v>Millenials</v>
      </c>
      <c r="E249" s="1">
        <v>7000</v>
      </c>
      <c r="F249">
        <v>16</v>
      </c>
      <c r="G249" t="str" cm="1">
        <f t="array" ref="G249">_xlfn.IFS(Table2[[#This Row],[Spending Score (1-100)]]&lt;=25,"Low",Table2[[#This Row],[Spending Score (1-100)]]&lt;=50,"Medium",Table2[[#This Row],[Spending Score (1-100)]]&lt;=75,"High",Table2[[#This Row],[Spending Score (1-100)]]&lt;=100,"Very High")</f>
        <v>Low</v>
      </c>
      <c r="H249" t="s">
        <v>14</v>
      </c>
      <c r="I249">
        <v>1</v>
      </c>
      <c r="J249" t="str">
        <f>CONCATENATE(Table2[[#This Row],[Work Experience]],"years")</f>
        <v>1years</v>
      </c>
      <c r="K249" t="str">
        <f>CONCATENATE(Table2[[#This Row],[Family Size2]],"members")</f>
        <v>2members</v>
      </c>
      <c r="L249" t="str">
        <f>CONCATENATE(Table2[[#This Row],[Family Size2]],"members")</f>
        <v>2members</v>
      </c>
      <c r="M249">
        <v>2</v>
      </c>
    </row>
    <row r="250" spans="1:13">
      <c r="A250">
        <v>249</v>
      </c>
      <c r="B250" t="s">
        <v>11</v>
      </c>
      <c r="C250">
        <v>37</v>
      </c>
      <c r="D250" t="str" cm="1">
        <f t="array" ref="D250">_xlfn.IFS(Table2[[#This Row],[Age]]&lt;=11,"Gen A",Table2[[#This Row],[Age]]&lt;=27,"Gen Z",Table2[[#This Row],[Age]]&lt;=43,"Millenials",Table2[[#This Row],[Age]]&lt;=59,"Gen X",Table2[[#This Row],[Age]]&lt;=78,"Baby Boomers",Table2[[#This Row],[Age]]&lt;=96,"Silent",Table2[[#This Row],[Age]]&gt;=97,"Greatest")</f>
        <v>Millenials</v>
      </c>
      <c r="E250" s="1">
        <v>41000</v>
      </c>
      <c r="F250">
        <v>2</v>
      </c>
      <c r="G250" t="str" cm="1">
        <f t="array" ref="G250">_xlfn.IFS(Table2[[#This Row],[Spending Score (1-100)]]&lt;=25,"Low",Table2[[#This Row],[Spending Score (1-100)]]&lt;=50,"Medium",Table2[[#This Row],[Spending Score (1-100)]]&lt;=75,"High",Table2[[#This Row],[Spending Score (1-100)]]&lt;=100,"Very High")</f>
        <v>Low</v>
      </c>
      <c r="H250" t="s">
        <v>14</v>
      </c>
      <c r="I250">
        <v>1</v>
      </c>
      <c r="J250" t="str">
        <f>CONCATENATE(Table2[[#This Row],[Work Experience]],"years")</f>
        <v>1years</v>
      </c>
      <c r="K250" t="str">
        <f>CONCATENATE(Table2[[#This Row],[Family Size2]],"members")</f>
        <v>2members</v>
      </c>
      <c r="L250" t="str">
        <f>CONCATENATE(Table2[[#This Row],[Family Size2]],"members")</f>
        <v>2members</v>
      </c>
      <c r="M250">
        <v>2</v>
      </c>
    </row>
    <row r="251" spans="1:13">
      <c r="A251">
        <v>250</v>
      </c>
      <c r="B251" t="s">
        <v>11</v>
      </c>
      <c r="C251">
        <v>89</v>
      </c>
      <c r="D251" t="str" cm="1">
        <f t="array" ref="D251">_xlfn.IFS(Table2[[#This Row],[Age]]&lt;=11,"Gen A",Table2[[#This Row],[Age]]&lt;=27,"Gen Z",Table2[[#This Row],[Age]]&lt;=43,"Millenials",Table2[[#This Row],[Age]]&lt;=59,"Gen X",Table2[[#This Row],[Age]]&lt;=78,"Baby Boomers",Table2[[#This Row],[Age]]&lt;=96,"Silent",Table2[[#This Row],[Age]]&gt;=97,"Greatest")</f>
        <v>Silent</v>
      </c>
      <c r="E251" s="1">
        <v>65000</v>
      </c>
      <c r="F251">
        <v>0</v>
      </c>
      <c r="G251" t="str" cm="1">
        <f t="array" ref="G251">_xlfn.IFS(Table2[[#This Row],[Spending Score (1-100)]]&lt;=25,"Low",Table2[[#This Row],[Spending Score (1-100)]]&lt;=50,"Medium",Table2[[#This Row],[Spending Score (1-100)]]&lt;=75,"High",Table2[[#This Row],[Spending Score (1-100)]]&lt;=100,"Very High")</f>
        <v>Low</v>
      </c>
      <c r="H251" t="s">
        <v>10</v>
      </c>
      <c r="I251">
        <v>0</v>
      </c>
      <c r="J251" t="str">
        <f>CONCATENATE(Table2[[#This Row],[Work Experience]],"years")</f>
        <v>0years</v>
      </c>
      <c r="K251" t="str">
        <f>CONCATENATE(Table2[[#This Row],[Family Size2]],"members")</f>
        <v>5members</v>
      </c>
      <c r="L251" t="str">
        <f>CONCATENATE(Table2[[#This Row],[Family Size2]],"members")</f>
        <v>5members</v>
      </c>
      <c r="M251">
        <v>5</v>
      </c>
    </row>
    <row r="252" spans="1:13">
      <c r="A252">
        <v>251</v>
      </c>
      <c r="B252" t="s">
        <v>8</v>
      </c>
      <c r="C252">
        <v>80</v>
      </c>
      <c r="D252" t="str" cm="1">
        <f t="array" ref="D252">_xlfn.IFS(Table2[[#This Row],[Age]]&lt;=11,"Gen A",Table2[[#This Row],[Age]]&lt;=27,"Gen Z",Table2[[#This Row],[Age]]&lt;=43,"Millenials",Table2[[#This Row],[Age]]&lt;=59,"Gen X",Table2[[#This Row],[Age]]&lt;=78,"Baby Boomers",Table2[[#This Row],[Age]]&lt;=96,"Silent",Table2[[#This Row],[Age]]&gt;=97,"Greatest")</f>
        <v>Silent</v>
      </c>
      <c r="E252" s="1">
        <v>20000</v>
      </c>
      <c r="F252">
        <v>93</v>
      </c>
      <c r="G252" t="str" cm="1">
        <f t="array" ref="G252">_xlfn.IFS(Table2[[#This Row],[Spending Score (1-100)]]&lt;=25,"Low",Table2[[#This Row],[Spending Score (1-100)]]&lt;=50,"Medium",Table2[[#This Row],[Spending Score (1-100)]]&lt;=75,"High",Table2[[#This Row],[Spending Score (1-100)]]&lt;=100,"Very High")</f>
        <v>Very High</v>
      </c>
      <c r="H252" t="s">
        <v>10</v>
      </c>
      <c r="I252">
        <v>1</v>
      </c>
      <c r="J252" t="str">
        <f>CONCATENATE(Table2[[#This Row],[Work Experience]],"years")</f>
        <v>1years</v>
      </c>
      <c r="K252" t="str">
        <f>CONCATENATE(Table2[[#This Row],[Family Size2]],"members")</f>
        <v>3members</v>
      </c>
      <c r="L252" t="str">
        <f>CONCATENATE(Table2[[#This Row],[Family Size2]],"members")</f>
        <v>3members</v>
      </c>
      <c r="M252">
        <v>3</v>
      </c>
    </row>
    <row r="253" spans="1:13">
      <c r="A253">
        <v>252</v>
      </c>
      <c r="B253" t="s">
        <v>11</v>
      </c>
      <c r="C253">
        <v>27</v>
      </c>
      <c r="D253" t="str" cm="1">
        <f t="array" ref="D253">_xlfn.IFS(Table2[[#This Row],[Age]]&lt;=11,"Gen A",Table2[[#This Row],[Age]]&lt;=27,"Gen Z",Table2[[#This Row],[Age]]&lt;=43,"Millenials",Table2[[#This Row],[Age]]&lt;=59,"Gen X",Table2[[#This Row],[Age]]&lt;=78,"Baby Boomers",Table2[[#This Row],[Age]]&lt;=96,"Silent",Table2[[#This Row],[Age]]&gt;=97,"Greatest")</f>
        <v>Gen Z</v>
      </c>
      <c r="E253" s="1">
        <v>44000</v>
      </c>
      <c r="F253">
        <v>65</v>
      </c>
      <c r="G253" t="str" cm="1">
        <f t="array" ref="G253">_xlfn.IFS(Table2[[#This Row],[Spending Score (1-100)]]&lt;=25,"Low",Table2[[#This Row],[Spending Score (1-100)]]&lt;=50,"Medium",Table2[[#This Row],[Spending Score (1-100)]]&lt;=75,"High",Table2[[#This Row],[Spending Score (1-100)]]&lt;=100,"Very High")</f>
        <v>High</v>
      </c>
      <c r="H253" t="s">
        <v>16</v>
      </c>
      <c r="I253">
        <v>8</v>
      </c>
      <c r="J253" t="str">
        <f>CONCATENATE(Table2[[#This Row],[Work Experience]],"years")</f>
        <v>8years</v>
      </c>
      <c r="K253" t="str">
        <f>CONCATENATE(Table2[[#This Row],[Family Size2]],"members")</f>
        <v>1members</v>
      </c>
      <c r="L253" t="str">
        <f>CONCATENATE(Table2[[#This Row],[Family Size2]],"members")</f>
        <v>1members</v>
      </c>
      <c r="M253">
        <v>1</v>
      </c>
    </row>
    <row r="254" spans="1:13">
      <c r="A254">
        <v>253</v>
      </c>
      <c r="B254" t="s">
        <v>11</v>
      </c>
      <c r="C254">
        <v>78</v>
      </c>
      <c r="D254" t="str" cm="1">
        <f t="array" ref="D254">_xlfn.IFS(Table2[[#This Row],[Age]]&lt;=11,"Gen A",Table2[[#This Row],[Age]]&lt;=27,"Gen Z",Table2[[#This Row],[Age]]&lt;=43,"Millenials",Table2[[#This Row],[Age]]&lt;=59,"Gen X",Table2[[#This Row],[Age]]&lt;=78,"Baby Boomers",Table2[[#This Row],[Age]]&lt;=96,"Silent",Table2[[#This Row],[Age]]&gt;=97,"Greatest")</f>
        <v>Baby Boomers</v>
      </c>
      <c r="E254" s="1">
        <v>3000</v>
      </c>
      <c r="F254">
        <v>14</v>
      </c>
      <c r="G254" t="str" cm="1">
        <f t="array" ref="G254">_xlfn.IFS(Table2[[#This Row],[Spending Score (1-100)]]&lt;=25,"Low",Table2[[#This Row],[Spending Score (1-100)]]&lt;=50,"Medium",Table2[[#This Row],[Spending Score (1-100)]]&lt;=75,"High",Table2[[#This Row],[Spending Score (1-100)]]&lt;=100,"Very High")</f>
        <v>Low</v>
      </c>
      <c r="H254" t="s">
        <v>14</v>
      </c>
      <c r="I254">
        <v>5</v>
      </c>
      <c r="J254" t="str">
        <f>CONCATENATE(Table2[[#This Row],[Work Experience]],"years")</f>
        <v>5years</v>
      </c>
      <c r="K254" t="str">
        <f>CONCATENATE(Table2[[#This Row],[Family Size2]],"members")</f>
        <v>4members</v>
      </c>
      <c r="L254" t="str">
        <f>CONCATENATE(Table2[[#This Row],[Family Size2]],"members")</f>
        <v>4members</v>
      </c>
      <c r="M254">
        <v>4</v>
      </c>
    </row>
    <row r="255" spans="1:13">
      <c r="A255">
        <v>254</v>
      </c>
      <c r="B255" t="s">
        <v>11</v>
      </c>
      <c r="C255">
        <v>86</v>
      </c>
      <c r="D255" t="str" cm="1">
        <f t="array" ref="D255">_xlfn.IFS(Table2[[#This Row],[Age]]&lt;=11,"Gen A",Table2[[#This Row],[Age]]&lt;=27,"Gen Z",Table2[[#This Row],[Age]]&lt;=43,"Millenials",Table2[[#This Row],[Age]]&lt;=59,"Gen X",Table2[[#This Row],[Age]]&lt;=78,"Baby Boomers",Table2[[#This Row],[Age]]&lt;=96,"Silent",Table2[[#This Row],[Age]]&gt;=97,"Greatest")</f>
        <v>Silent</v>
      </c>
      <c r="E255" s="1">
        <v>72000</v>
      </c>
      <c r="F255">
        <v>13</v>
      </c>
      <c r="G255" t="str" cm="1">
        <f t="array" ref="G255">_xlfn.IFS(Table2[[#This Row],[Spending Score (1-100)]]&lt;=25,"Low",Table2[[#This Row],[Spending Score (1-100)]]&lt;=50,"Medium",Table2[[#This Row],[Spending Score (1-100)]]&lt;=75,"High",Table2[[#This Row],[Spending Score (1-100)]]&lt;=100,"Very High")</f>
        <v>Low</v>
      </c>
      <c r="H255" t="s">
        <v>12</v>
      </c>
      <c r="I255">
        <v>7</v>
      </c>
      <c r="J255" t="str">
        <f>CONCATENATE(Table2[[#This Row],[Work Experience]],"years")</f>
        <v>7years</v>
      </c>
      <c r="K255" t="str">
        <f>CONCATENATE(Table2[[#This Row],[Family Size2]],"members")</f>
        <v>3members</v>
      </c>
      <c r="L255" t="str">
        <f>CONCATENATE(Table2[[#This Row],[Family Size2]],"members")</f>
        <v>3members</v>
      </c>
      <c r="M255">
        <v>3</v>
      </c>
    </row>
    <row r="256" spans="1:13">
      <c r="A256">
        <v>255</v>
      </c>
      <c r="B256" t="s">
        <v>11</v>
      </c>
      <c r="C256">
        <v>46</v>
      </c>
      <c r="D256" t="str" cm="1">
        <f t="array" ref="D256">_xlfn.IFS(Table2[[#This Row],[Age]]&lt;=11,"Gen A",Table2[[#This Row],[Age]]&lt;=27,"Gen Z",Table2[[#This Row],[Age]]&lt;=43,"Millenials",Table2[[#This Row],[Age]]&lt;=59,"Gen X",Table2[[#This Row],[Age]]&lt;=78,"Baby Boomers",Table2[[#This Row],[Age]]&lt;=96,"Silent",Table2[[#This Row],[Age]]&gt;=97,"Greatest")</f>
        <v>Gen X</v>
      </c>
      <c r="E256" s="1">
        <v>27000</v>
      </c>
      <c r="F256">
        <v>32</v>
      </c>
      <c r="G256" t="str" cm="1">
        <f t="array" ref="G256">_xlfn.IFS(Table2[[#This Row],[Spending Score (1-100)]]&lt;=25,"Low",Table2[[#This Row],[Spending Score (1-100)]]&lt;=50,"Medium",Table2[[#This Row],[Spending Score (1-100)]]&lt;=75,"High",Table2[[#This Row],[Spending Score (1-100)]]&lt;=100,"Very High")</f>
        <v>Medium</v>
      </c>
      <c r="H256" t="s">
        <v>10</v>
      </c>
      <c r="I256">
        <v>4</v>
      </c>
      <c r="J256" t="str">
        <f>CONCATENATE(Table2[[#This Row],[Work Experience]],"years")</f>
        <v>4years</v>
      </c>
      <c r="K256" t="str">
        <f>CONCATENATE(Table2[[#This Row],[Family Size2]],"members")</f>
        <v>4members</v>
      </c>
      <c r="L256" t="str">
        <f>CONCATENATE(Table2[[#This Row],[Family Size2]],"members")</f>
        <v>4members</v>
      </c>
      <c r="M256">
        <v>4</v>
      </c>
    </row>
    <row r="257" spans="1:13">
      <c r="A257">
        <v>256</v>
      </c>
      <c r="B257" t="s">
        <v>8</v>
      </c>
      <c r="C257">
        <v>59</v>
      </c>
      <c r="D257" t="str" cm="1">
        <f t="array" ref="D257">_xlfn.IFS(Table2[[#This Row],[Age]]&lt;=11,"Gen A",Table2[[#This Row],[Age]]&lt;=27,"Gen Z",Table2[[#This Row],[Age]]&lt;=43,"Millenials",Table2[[#This Row],[Age]]&lt;=59,"Gen X",Table2[[#This Row],[Age]]&lt;=78,"Baby Boomers",Table2[[#This Row],[Age]]&lt;=96,"Silent",Table2[[#This Row],[Age]]&gt;=97,"Greatest")</f>
        <v>Gen X</v>
      </c>
      <c r="E257" s="1">
        <v>85000</v>
      </c>
      <c r="F257">
        <v>49</v>
      </c>
      <c r="G257" t="str" cm="1">
        <f t="array" ref="G257">_xlfn.IFS(Table2[[#This Row],[Spending Score (1-100)]]&lt;=25,"Low",Table2[[#This Row],[Spending Score (1-100)]]&lt;=50,"Medium",Table2[[#This Row],[Spending Score (1-100)]]&lt;=75,"High",Table2[[#This Row],[Spending Score (1-100)]]&lt;=100,"Very High")</f>
        <v>Medium</v>
      </c>
      <c r="H257" t="s">
        <v>12</v>
      </c>
      <c r="I257">
        <v>4</v>
      </c>
      <c r="J257" t="str">
        <f>CONCATENATE(Table2[[#This Row],[Work Experience]],"years")</f>
        <v>4years</v>
      </c>
      <c r="K257" t="str">
        <f>CONCATENATE(Table2[[#This Row],[Family Size2]],"members")</f>
        <v>2members</v>
      </c>
      <c r="L257" t="str">
        <f>CONCATENATE(Table2[[#This Row],[Family Size2]],"members")</f>
        <v>2members</v>
      </c>
      <c r="M257">
        <v>2</v>
      </c>
    </row>
    <row r="258" spans="1:13">
      <c r="A258">
        <v>257</v>
      </c>
      <c r="B258" t="s">
        <v>8</v>
      </c>
      <c r="C258">
        <v>12</v>
      </c>
      <c r="D258" t="str" cm="1">
        <f t="array" ref="D258">_xlfn.IFS(Table2[[#This Row],[Age]]&lt;=11,"Gen A",Table2[[#This Row],[Age]]&lt;=27,"Gen Z",Table2[[#This Row],[Age]]&lt;=43,"Millenials",Table2[[#This Row],[Age]]&lt;=59,"Gen X",Table2[[#This Row],[Age]]&lt;=78,"Baby Boomers",Table2[[#This Row],[Age]]&lt;=96,"Silent",Table2[[#This Row],[Age]]&gt;=97,"Greatest")</f>
        <v>Gen Z</v>
      </c>
      <c r="E258" s="1">
        <v>38000</v>
      </c>
      <c r="F258">
        <v>18</v>
      </c>
      <c r="G258" t="str" cm="1">
        <f t="array" ref="G258">_xlfn.IFS(Table2[[#This Row],[Spending Score (1-100)]]&lt;=25,"Low",Table2[[#This Row],[Spending Score (1-100)]]&lt;=50,"Medium",Table2[[#This Row],[Spending Score (1-100)]]&lt;=75,"High",Table2[[#This Row],[Spending Score (1-100)]]&lt;=100,"Very High")</f>
        <v>Low</v>
      </c>
      <c r="H258" t="s">
        <v>15</v>
      </c>
      <c r="I258">
        <v>10</v>
      </c>
      <c r="J258" t="str">
        <f>CONCATENATE(Table2[[#This Row],[Work Experience]],"years")</f>
        <v>10years</v>
      </c>
      <c r="K258" t="str">
        <f>CONCATENATE(Table2[[#This Row],[Family Size2]],"members")</f>
        <v>1members</v>
      </c>
      <c r="L258" t="str">
        <f>CONCATENATE(Table2[[#This Row],[Family Size2]],"members")</f>
        <v>1members</v>
      </c>
      <c r="M258">
        <v>1</v>
      </c>
    </row>
    <row r="259" spans="1:13">
      <c r="A259">
        <v>258</v>
      </c>
      <c r="B259" t="s">
        <v>8</v>
      </c>
      <c r="C259">
        <v>79</v>
      </c>
      <c r="D259" t="str" cm="1">
        <f t="array" ref="D259">_xlfn.IFS(Table2[[#This Row],[Age]]&lt;=11,"Gen A",Table2[[#This Row],[Age]]&lt;=27,"Gen Z",Table2[[#This Row],[Age]]&lt;=43,"Millenials",Table2[[#This Row],[Age]]&lt;=59,"Gen X",Table2[[#This Row],[Age]]&lt;=78,"Baby Boomers",Table2[[#This Row],[Age]]&lt;=96,"Silent",Table2[[#This Row],[Age]]&gt;=97,"Greatest")</f>
        <v>Silent</v>
      </c>
      <c r="E259" s="1">
        <v>73000</v>
      </c>
      <c r="F259">
        <v>96</v>
      </c>
      <c r="G259" t="str" cm="1">
        <f t="array" ref="G259">_xlfn.IFS(Table2[[#This Row],[Spending Score (1-100)]]&lt;=25,"Low",Table2[[#This Row],[Spending Score (1-100)]]&lt;=50,"Medium",Table2[[#This Row],[Spending Score (1-100)]]&lt;=75,"High",Table2[[#This Row],[Spending Score (1-100)]]&lt;=100,"Very High")</f>
        <v>Very High</v>
      </c>
      <c r="H259" t="s">
        <v>17</v>
      </c>
      <c r="I259">
        <v>6</v>
      </c>
      <c r="J259" t="str">
        <f>CONCATENATE(Table2[[#This Row],[Work Experience]],"years")</f>
        <v>6years</v>
      </c>
      <c r="K259" t="str">
        <f>CONCATENATE(Table2[[#This Row],[Family Size2]],"members")</f>
        <v>7members</v>
      </c>
      <c r="L259" t="str">
        <f>CONCATENATE(Table2[[#This Row],[Family Size2]],"members")</f>
        <v>7members</v>
      </c>
      <c r="M259">
        <v>7</v>
      </c>
    </row>
    <row r="260" spans="1:13">
      <c r="A260">
        <v>259</v>
      </c>
      <c r="B260" t="s">
        <v>11</v>
      </c>
      <c r="C260">
        <v>79</v>
      </c>
      <c r="D260" t="str" cm="1">
        <f t="array" ref="D260">_xlfn.IFS(Table2[[#This Row],[Age]]&lt;=11,"Gen A",Table2[[#This Row],[Age]]&lt;=27,"Gen Z",Table2[[#This Row],[Age]]&lt;=43,"Millenials",Table2[[#This Row],[Age]]&lt;=59,"Gen X",Table2[[#This Row],[Age]]&lt;=78,"Baby Boomers",Table2[[#This Row],[Age]]&lt;=96,"Silent",Table2[[#This Row],[Age]]&gt;=97,"Greatest")</f>
        <v>Silent</v>
      </c>
      <c r="E260" s="1">
        <v>64000</v>
      </c>
      <c r="F260">
        <v>64</v>
      </c>
      <c r="G260" t="str" cm="1">
        <f t="array" ref="G260">_xlfn.IFS(Table2[[#This Row],[Spending Score (1-100)]]&lt;=25,"Low",Table2[[#This Row],[Spending Score (1-100)]]&lt;=50,"Medium",Table2[[#This Row],[Spending Score (1-100)]]&lt;=75,"High",Table2[[#This Row],[Spending Score (1-100)]]&lt;=100,"Very High")</f>
        <v>High</v>
      </c>
      <c r="H260" t="s">
        <v>14</v>
      </c>
      <c r="I260">
        <v>2</v>
      </c>
      <c r="J260" t="str">
        <f>CONCATENATE(Table2[[#This Row],[Work Experience]],"years")</f>
        <v>2years</v>
      </c>
      <c r="K260" t="str">
        <f>CONCATENATE(Table2[[#This Row],[Family Size2]],"members")</f>
        <v>3members</v>
      </c>
      <c r="L260" t="str">
        <f>CONCATENATE(Table2[[#This Row],[Family Size2]],"members")</f>
        <v>3members</v>
      </c>
      <c r="M260">
        <v>3</v>
      </c>
    </row>
    <row r="261" spans="1:13">
      <c r="A261">
        <v>260</v>
      </c>
      <c r="B261" t="s">
        <v>8</v>
      </c>
      <c r="C261">
        <v>26</v>
      </c>
      <c r="D261" t="str" cm="1">
        <f t="array" ref="D261">_xlfn.IFS(Table2[[#This Row],[Age]]&lt;=11,"Gen A",Table2[[#This Row],[Age]]&lt;=27,"Gen Z",Table2[[#This Row],[Age]]&lt;=43,"Millenials",Table2[[#This Row],[Age]]&lt;=59,"Gen X",Table2[[#This Row],[Age]]&lt;=78,"Baby Boomers",Table2[[#This Row],[Age]]&lt;=96,"Silent",Table2[[#This Row],[Age]]&gt;=97,"Greatest")</f>
        <v>Gen Z</v>
      </c>
      <c r="E261" s="1">
        <v>26000</v>
      </c>
      <c r="F261">
        <v>60</v>
      </c>
      <c r="G261" t="str" cm="1">
        <f t="array" ref="G261">_xlfn.IFS(Table2[[#This Row],[Spending Score (1-100)]]&lt;=25,"Low",Table2[[#This Row],[Spending Score (1-100)]]&lt;=50,"Medium",Table2[[#This Row],[Spending Score (1-100)]]&lt;=75,"High",Table2[[#This Row],[Spending Score (1-100)]]&lt;=100,"Very High")</f>
        <v>High</v>
      </c>
      <c r="H261" t="s">
        <v>15</v>
      </c>
      <c r="I261">
        <v>6</v>
      </c>
      <c r="J261" t="str">
        <f>CONCATENATE(Table2[[#This Row],[Work Experience]],"years")</f>
        <v>6years</v>
      </c>
      <c r="K261" t="str">
        <f>CONCATENATE(Table2[[#This Row],[Family Size2]],"members")</f>
        <v>4members</v>
      </c>
      <c r="L261" t="str">
        <f>CONCATENATE(Table2[[#This Row],[Family Size2]],"members")</f>
        <v>4members</v>
      </c>
      <c r="M261">
        <v>4</v>
      </c>
    </row>
    <row r="262" spans="1:13">
      <c r="A262">
        <v>261</v>
      </c>
      <c r="B262" t="s">
        <v>11</v>
      </c>
      <c r="C262">
        <v>63</v>
      </c>
      <c r="D262" t="str" cm="1">
        <f t="array" ref="D262">_xlfn.IFS(Table2[[#This Row],[Age]]&lt;=11,"Gen A",Table2[[#This Row],[Age]]&lt;=27,"Gen Z",Table2[[#This Row],[Age]]&lt;=43,"Millenials",Table2[[#This Row],[Age]]&lt;=59,"Gen X",Table2[[#This Row],[Age]]&lt;=78,"Baby Boomers",Table2[[#This Row],[Age]]&lt;=96,"Silent",Table2[[#This Row],[Age]]&gt;=97,"Greatest")</f>
        <v>Baby Boomers</v>
      </c>
      <c r="E262" s="1">
        <v>47000</v>
      </c>
      <c r="F262">
        <v>16</v>
      </c>
      <c r="G262" t="str" cm="1">
        <f t="array" ref="G262">_xlfn.IFS(Table2[[#This Row],[Spending Score (1-100)]]&lt;=25,"Low",Table2[[#This Row],[Spending Score (1-100)]]&lt;=50,"Medium",Table2[[#This Row],[Spending Score (1-100)]]&lt;=75,"High",Table2[[#This Row],[Spending Score (1-100)]]&lt;=100,"Very High")</f>
        <v>Low</v>
      </c>
      <c r="H262" t="s">
        <v>14</v>
      </c>
      <c r="I262">
        <v>2</v>
      </c>
      <c r="J262" t="str">
        <f>CONCATENATE(Table2[[#This Row],[Work Experience]],"years")</f>
        <v>2years</v>
      </c>
      <c r="K262" t="str">
        <f>CONCATENATE(Table2[[#This Row],[Family Size2]],"members")</f>
        <v>3members</v>
      </c>
      <c r="L262" t="str">
        <f>CONCATENATE(Table2[[#This Row],[Family Size2]],"members")</f>
        <v>3members</v>
      </c>
      <c r="M262">
        <v>3</v>
      </c>
    </row>
    <row r="263" spans="1:13">
      <c r="A263">
        <v>262</v>
      </c>
      <c r="B263" t="s">
        <v>11</v>
      </c>
      <c r="C263">
        <v>52</v>
      </c>
      <c r="D263" t="str" cm="1">
        <f t="array" ref="D263">_xlfn.IFS(Table2[[#This Row],[Age]]&lt;=11,"Gen A",Table2[[#This Row],[Age]]&lt;=27,"Gen Z",Table2[[#This Row],[Age]]&lt;=43,"Millenials",Table2[[#This Row],[Age]]&lt;=59,"Gen X",Table2[[#This Row],[Age]]&lt;=78,"Baby Boomers",Table2[[#This Row],[Age]]&lt;=96,"Silent",Table2[[#This Row],[Age]]&gt;=97,"Greatest")</f>
        <v>Gen X</v>
      </c>
      <c r="E263" s="1">
        <v>35000</v>
      </c>
      <c r="F263">
        <v>85</v>
      </c>
      <c r="G263" t="str" cm="1">
        <f t="array" ref="G263">_xlfn.IFS(Table2[[#This Row],[Spending Score (1-100)]]&lt;=25,"Low",Table2[[#This Row],[Spending Score (1-100)]]&lt;=50,"Medium",Table2[[#This Row],[Spending Score (1-100)]]&lt;=75,"High",Table2[[#This Row],[Spending Score (1-100)]]&lt;=100,"Very High")</f>
        <v>Very High</v>
      </c>
      <c r="H263" t="s">
        <v>16</v>
      </c>
      <c r="I263">
        <v>2</v>
      </c>
      <c r="J263" t="str">
        <f>CONCATENATE(Table2[[#This Row],[Work Experience]],"years")</f>
        <v>2years</v>
      </c>
      <c r="K263" t="str">
        <f>CONCATENATE(Table2[[#This Row],[Family Size2]],"members")</f>
        <v>6members</v>
      </c>
      <c r="L263" t="str">
        <f>CONCATENATE(Table2[[#This Row],[Family Size2]],"members")</f>
        <v>6members</v>
      </c>
      <c r="M263">
        <v>6</v>
      </c>
    </row>
    <row r="264" spans="1:13">
      <c r="A264">
        <v>263</v>
      </c>
      <c r="B264" t="s">
        <v>11</v>
      </c>
      <c r="C264">
        <v>32</v>
      </c>
      <c r="D264" t="str" cm="1">
        <f t="array" ref="D264">_xlfn.IFS(Table2[[#This Row],[Age]]&lt;=11,"Gen A",Table2[[#This Row],[Age]]&lt;=27,"Gen Z",Table2[[#This Row],[Age]]&lt;=43,"Millenials",Table2[[#This Row],[Age]]&lt;=59,"Gen X",Table2[[#This Row],[Age]]&lt;=78,"Baby Boomers",Table2[[#This Row],[Age]]&lt;=96,"Silent",Table2[[#This Row],[Age]]&gt;=97,"Greatest")</f>
        <v>Millenials</v>
      </c>
      <c r="E264" s="1">
        <v>31000</v>
      </c>
      <c r="F264">
        <v>24</v>
      </c>
      <c r="G264" t="str" cm="1">
        <f t="array" ref="G264">_xlfn.IFS(Table2[[#This Row],[Spending Score (1-100)]]&lt;=25,"Low",Table2[[#This Row],[Spending Score (1-100)]]&lt;=50,"Medium",Table2[[#This Row],[Spending Score (1-100)]]&lt;=75,"High",Table2[[#This Row],[Spending Score (1-100)]]&lt;=100,"Very High")</f>
        <v>Low</v>
      </c>
      <c r="H264" t="s">
        <v>12</v>
      </c>
      <c r="I264">
        <v>2</v>
      </c>
      <c r="J264" t="str">
        <f>CONCATENATE(Table2[[#This Row],[Work Experience]],"years")</f>
        <v>2years</v>
      </c>
      <c r="K264" t="str">
        <f>CONCATENATE(Table2[[#This Row],[Family Size2]],"members")</f>
        <v>3members</v>
      </c>
      <c r="L264" t="str">
        <f>CONCATENATE(Table2[[#This Row],[Family Size2]],"members")</f>
        <v>3members</v>
      </c>
      <c r="M264">
        <v>3</v>
      </c>
    </row>
    <row r="265" spans="1:13">
      <c r="A265">
        <v>264</v>
      </c>
      <c r="B265" t="s">
        <v>11</v>
      </c>
      <c r="C265">
        <v>64</v>
      </c>
      <c r="D265" t="str" cm="1">
        <f t="array" ref="D265">_xlfn.IFS(Table2[[#This Row],[Age]]&lt;=11,"Gen A",Table2[[#This Row],[Age]]&lt;=27,"Gen Z",Table2[[#This Row],[Age]]&lt;=43,"Millenials",Table2[[#This Row],[Age]]&lt;=59,"Gen X",Table2[[#This Row],[Age]]&lt;=78,"Baby Boomers",Table2[[#This Row],[Age]]&lt;=96,"Silent",Table2[[#This Row],[Age]]&gt;=97,"Greatest")</f>
        <v>Baby Boomers</v>
      </c>
      <c r="E265" s="1">
        <v>13000</v>
      </c>
      <c r="F265">
        <v>38</v>
      </c>
      <c r="G265" t="str" cm="1">
        <f t="array" ref="G265">_xlfn.IFS(Table2[[#This Row],[Spending Score (1-100)]]&lt;=25,"Low",Table2[[#This Row],[Spending Score (1-100)]]&lt;=50,"Medium",Table2[[#This Row],[Spending Score (1-100)]]&lt;=75,"High",Table2[[#This Row],[Spending Score (1-100)]]&lt;=100,"Very High")</f>
        <v>Medium</v>
      </c>
      <c r="H265" t="s">
        <v>10</v>
      </c>
      <c r="I265">
        <v>3</v>
      </c>
      <c r="J265" t="str">
        <f>CONCATENATE(Table2[[#This Row],[Work Experience]],"years")</f>
        <v>3years</v>
      </c>
      <c r="K265" t="str">
        <f>CONCATENATE(Table2[[#This Row],[Family Size2]],"members")</f>
        <v>4members</v>
      </c>
      <c r="L265" t="str">
        <f>CONCATENATE(Table2[[#This Row],[Family Size2]],"members")</f>
        <v>4members</v>
      </c>
      <c r="M265">
        <v>4</v>
      </c>
    </row>
    <row r="266" spans="1:13">
      <c r="A266">
        <v>265</v>
      </c>
      <c r="B266" t="s">
        <v>11</v>
      </c>
      <c r="C266">
        <v>37</v>
      </c>
      <c r="D266" t="str" cm="1">
        <f t="array" ref="D266">_xlfn.IFS(Table2[[#This Row],[Age]]&lt;=11,"Gen A",Table2[[#This Row],[Age]]&lt;=27,"Gen Z",Table2[[#This Row],[Age]]&lt;=43,"Millenials",Table2[[#This Row],[Age]]&lt;=59,"Gen X",Table2[[#This Row],[Age]]&lt;=78,"Baby Boomers",Table2[[#This Row],[Age]]&lt;=96,"Silent",Table2[[#This Row],[Age]]&gt;=97,"Greatest")</f>
        <v>Millenials</v>
      </c>
      <c r="E266" s="1">
        <v>79000</v>
      </c>
      <c r="F266">
        <v>10</v>
      </c>
      <c r="G266" t="str" cm="1">
        <f t="array" ref="G266">_xlfn.IFS(Table2[[#This Row],[Spending Score (1-100)]]&lt;=25,"Low",Table2[[#This Row],[Spending Score (1-100)]]&lt;=50,"Medium",Table2[[#This Row],[Spending Score (1-100)]]&lt;=75,"High",Table2[[#This Row],[Spending Score (1-100)]]&lt;=100,"Very High")</f>
        <v>Low</v>
      </c>
      <c r="H266" t="s">
        <v>17</v>
      </c>
      <c r="I266">
        <v>1</v>
      </c>
      <c r="J266" t="str">
        <f>CONCATENATE(Table2[[#This Row],[Work Experience]],"years")</f>
        <v>1years</v>
      </c>
      <c r="K266" t="str">
        <f>CONCATENATE(Table2[[#This Row],[Family Size2]],"members")</f>
        <v>7members</v>
      </c>
      <c r="L266" t="str">
        <f>CONCATENATE(Table2[[#This Row],[Family Size2]],"members")</f>
        <v>7members</v>
      </c>
      <c r="M266">
        <v>7</v>
      </c>
    </row>
    <row r="267" spans="1:13">
      <c r="A267">
        <v>266</v>
      </c>
      <c r="B267" t="s">
        <v>8</v>
      </c>
      <c r="C267">
        <v>7</v>
      </c>
      <c r="D267" t="str" cm="1">
        <f t="array" ref="D267">_xlfn.IFS(Table2[[#This Row],[Age]]&lt;=11,"Gen A",Table2[[#This Row],[Age]]&lt;=27,"Gen Z",Table2[[#This Row],[Age]]&lt;=43,"Millenials",Table2[[#This Row],[Age]]&lt;=59,"Gen X",Table2[[#This Row],[Age]]&lt;=78,"Baby Boomers",Table2[[#This Row],[Age]]&lt;=96,"Silent",Table2[[#This Row],[Age]]&gt;=97,"Greatest")</f>
        <v>Gen A</v>
      </c>
      <c r="E267" s="1">
        <v>82000</v>
      </c>
      <c r="F267">
        <v>39</v>
      </c>
      <c r="G267" t="str" cm="1">
        <f t="array" ref="G267">_xlfn.IFS(Table2[[#This Row],[Spending Score (1-100)]]&lt;=25,"Low",Table2[[#This Row],[Spending Score (1-100)]]&lt;=50,"Medium",Table2[[#This Row],[Spending Score (1-100)]]&lt;=75,"High",Table2[[#This Row],[Spending Score (1-100)]]&lt;=100,"Very High")</f>
        <v>Medium</v>
      </c>
      <c r="H267" t="s">
        <v>13</v>
      </c>
      <c r="I267">
        <v>2</v>
      </c>
      <c r="J267" t="str">
        <f>CONCATENATE(Table2[[#This Row],[Work Experience]],"years")</f>
        <v>2years</v>
      </c>
      <c r="K267" t="str">
        <f>CONCATENATE(Table2[[#This Row],[Family Size2]],"members")</f>
        <v>2members</v>
      </c>
      <c r="L267" t="str">
        <f>CONCATENATE(Table2[[#This Row],[Family Size2]],"members")</f>
        <v>2members</v>
      </c>
      <c r="M267">
        <v>2</v>
      </c>
    </row>
    <row r="268" spans="1:13">
      <c r="A268">
        <v>267</v>
      </c>
      <c r="B268" t="s">
        <v>11</v>
      </c>
      <c r="C268">
        <v>40</v>
      </c>
      <c r="D268" t="str" cm="1">
        <f t="array" ref="D268">_xlfn.IFS(Table2[[#This Row],[Age]]&lt;=11,"Gen A",Table2[[#This Row],[Age]]&lt;=27,"Gen Z",Table2[[#This Row],[Age]]&lt;=43,"Millenials",Table2[[#This Row],[Age]]&lt;=59,"Gen X",Table2[[#This Row],[Age]]&lt;=78,"Baby Boomers",Table2[[#This Row],[Age]]&lt;=96,"Silent",Table2[[#This Row],[Age]]&gt;=97,"Greatest")</f>
        <v>Millenials</v>
      </c>
      <c r="E268" s="1">
        <v>28000</v>
      </c>
      <c r="F268">
        <v>68</v>
      </c>
      <c r="G268" t="str" cm="1">
        <f t="array" ref="G268">_xlfn.IFS(Table2[[#This Row],[Spending Score (1-100)]]&lt;=25,"Low",Table2[[#This Row],[Spending Score (1-100)]]&lt;=50,"Medium",Table2[[#This Row],[Spending Score (1-100)]]&lt;=75,"High",Table2[[#This Row],[Spending Score (1-100)]]&lt;=100,"Very High")</f>
        <v>High</v>
      </c>
      <c r="H268" t="s">
        <v>14</v>
      </c>
      <c r="I268">
        <v>1</v>
      </c>
      <c r="J268" t="str">
        <f>CONCATENATE(Table2[[#This Row],[Work Experience]],"years")</f>
        <v>1years</v>
      </c>
      <c r="K268" t="str">
        <f>CONCATENATE(Table2[[#This Row],[Family Size2]],"members")</f>
        <v>1members</v>
      </c>
      <c r="L268" t="str">
        <f>CONCATENATE(Table2[[#This Row],[Family Size2]],"members")</f>
        <v>1members</v>
      </c>
      <c r="M268">
        <v>1</v>
      </c>
    </row>
    <row r="269" spans="1:13">
      <c r="A269">
        <v>268</v>
      </c>
      <c r="B269" t="s">
        <v>11</v>
      </c>
      <c r="C269">
        <v>78</v>
      </c>
      <c r="D269" t="str" cm="1">
        <f t="array" ref="D269">_xlfn.IFS(Table2[[#This Row],[Age]]&lt;=11,"Gen A",Table2[[#This Row],[Age]]&lt;=27,"Gen Z",Table2[[#This Row],[Age]]&lt;=43,"Millenials",Table2[[#This Row],[Age]]&lt;=59,"Gen X",Table2[[#This Row],[Age]]&lt;=78,"Baby Boomers",Table2[[#This Row],[Age]]&lt;=96,"Silent",Table2[[#This Row],[Age]]&gt;=97,"Greatest")</f>
        <v>Baby Boomers</v>
      </c>
      <c r="E269" s="1">
        <v>36000</v>
      </c>
      <c r="F269">
        <v>79</v>
      </c>
      <c r="G269" t="str" cm="1">
        <f t="array" ref="G269">_xlfn.IFS(Table2[[#This Row],[Spending Score (1-100)]]&lt;=25,"Low",Table2[[#This Row],[Spending Score (1-100)]]&lt;=50,"Medium",Table2[[#This Row],[Spending Score (1-100)]]&lt;=75,"High",Table2[[#This Row],[Spending Score (1-100)]]&lt;=100,"Very High")</f>
        <v>Very High</v>
      </c>
      <c r="H269" t="s">
        <v>14</v>
      </c>
      <c r="I269">
        <v>0</v>
      </c>
      <c r="J269" t="str">
        <f>CONCATENATE(Table2[[#This Row],[Work Experience]],"years")</f>
        <v>0years</v>
      </c>
      <c r="K269" t="str">
        <f>CONCATENATE(Table2[[#This Row],[Family Size2]],"members")</f>
        <v>3members</v>
      </c>
      <c r="L269" t="str">
        <f>CONCATENATE(Table2[[#This Row],[Family Size2]],"members")</f>
        <v>3members</v>
      </c>
      <c r="M269">
        <v>3</v>
      </c>
    </row>
    <row r="270" spans="1:13">
      <c r="A270">
        <v>269</v>
      </c>
      <c r="B270" t="s">
        <v>11</v>
      </c>
      <c r="C270">
        <v>34</v>
      </c>
      <c r="D270" t="str" cm="1">
        <f t="array" ref="D270">_xlfn.IFS(Table2[[#This Row],[Age]]&lt;=11,"Gen A",Table2[[#This Row],[Age]]&lt;=27,"Gen Z",Table2[[#This Row],[Age]]&lt;=43,"Millenials",Table2[[#This Row],[Age]]&lt;=59,"Gen X",Table2[[#This Row],[Age]]&lt;=78,"Baby Boomers",Table2[[#This Row],[Age]]&lt;=96,"Silent",Table2[[#This Row],[Age]]&gt;=97,"Greatest")</f>
        <v>Millenials</v>
      </c>
      <c r="E270" s="1">
        <v>8000</v>
      </c>
      <c r="F270">
        <v>76</v>
      </c>
      <c r="G270" t="str" cm="1">
        <f t="array" ref="G270">_xlfn.IFS(Table2[[#This Row],[Spending Score (1-100)]]&lt;=25,"Low",Table2[[#This Row],[Spending Score (1-100)]]&lt;=50,"Medium",Table2[[#This Row],[Spending Score (1-100)]]&lt;=75,"High",Table2[[#This Row],[Spending Score (1-100)]]&lt;=100,"Very High")</f>
        <v>Very High</v>
      </c>
      <c r="H270" t="s">
        <v>13</v>
      </c>
      <c r="I270">
        <v>6</v>
      </c>
      <c r="J270" t="str">
        <f>CONCATENATE(Table2[[#This Row],[Work Experience]],"years")</f>
        <v>6years</v>
      </c>
      <c r="K270" t="str">
        <f>CONCATENATE(Table2[[#This Row],[Family Size2]],"members")</f>
        <v>6members</v>
      </c>
      <c r="L270" t="str">
        <f>CONCATENATE(Table2[[#This Row],[Family Size2]],"members")</f>
        <v>6members</v>
      </c>
      <c r="M270">
        <v>6</v>
      </c>
    </row>
    <row r="271" spans="1:13">
      <c r="A271">
        <v>270</v>
      </c>
      <c r="B271" t="s">
        <v>11</v>
      </c>
      <c r="C271">
        <v>52</v>
      </c>
      <c r="D271" t="str" cm="1">
        <f t="array" ref="D271">_xlfn.IFS(Table2[[#This Row],[Age]]&lt;=11,"Gen A",Table2[[#This Row],[Age]]&lt;=27,"Gen Z",Table2[[#This Row],[Age]]&lt;=43,"Millenials",Table2[[#This Row],[Age]]&lt;=59,"Gen X",Table2[[#This Row],[Age]]&lt;=78,"Baby Boomers",Table2[[#This Row],[Age]]&lt;=96,"Silent",Table2[[#This Row],[Age]]&gt;=97,"Greatest")</f>
        <v>Gen X</v>
      </c>
      <c r="E271" s="1">
        <v>88000</v>
      </c>
      <c r="F271">
        <v>39</v>
      </c>
      <c r="G271" t="str" cm="1">
        <f t="array" ref="G271">_xlfn.IFS(Table2[[#This Row],[Spending Score (1-100)]]&lt;=25,"Low",Table2[[#This Row],[Spending Score (1-100)]]&lt;=50,"Medium",Table2[[#This Row],[Spending Score (1-100)]]&lt;=75,"High",Table2[[#This Row],[Spending Score (1-100)]]&lt;=100,"Very High")</f>
        <v>Medium</v>
      </c>
      <c r="H271" t="s">
        <v>14</v>
      </c>
      <c r="I271">
        <v>1</v>
      </c>
      <c r="J271" t="str">
        <f>CONCATENATE(Table2[[#This Row],[Work Experience]],"years")</f>
        <v>1years</v>
      </c>
      <c r="K271" t="str">
        <f>CONCATENATE(Table2[[#This Row],[Family Size2]],"members")</f>
        <v>2members</v>
      </c>
      <c r="L271" t="str">
        <f>CONCATENATE(Table2[[#This Row],[Family Size2]],"members")</f>
        <v>2members</v>
      </c>
      <c r="M271">
        <v>2</v>
      </c>
    </row>
    <row r="272" spans="1:13">
      <c r="A272">
        <v>271</v>
      </c>
      <c r="B272" t="s">
        <v>8</v>
      </c>
      <c r="C272">
        <v>94</v>
      </c>
      <c r="D272" t="str" cm="1">
        <f t="array" ref="D272">_xlfn.IFS(Table2[[#This Row],[Age]]&lt;=11,"Gen A",Table2[[#This Row],[Age]]&lt;=27,"Gen Z",Table2[[#This Row],[Age]]&lt;=43,"Millenials",Table2[[#This Row],[Age]]&lt;=59,"Gen X",Table2[[#This Row],[Age]]&lt;=78,"Baby Boomers",Table2[[#This Row],[Age]]&lt;=96,"Silent",Table2[[#This Row],[Age]]&gt;=97,"Greatest")</f>
        <v>Silent</v>
      </c>
      <c r="E272" s="1">
        <v>91000</v>
      </c>
      <c r="F272">
        <v>36</v>
      </c>
      <c r="G272" t="str" cm="1">
        <f t="array" ref="G272">_xlfn.IFS(Table2[[#This Row],[Spending Score (1-100)]]&lt;=25,"Low",Table2[[#This Row],[Spending Score (1-100)]]&lt;=50,"Medium",Table2[[#This Row],[Spending Score (1-100)]]&lt;=75,"High",Table2[[#This Row],[Spending Score (1-100)]]&lt;=100,"Very High")</f>
        <v>Medium</v>
      </c>
      <c r="H272" t="s">
        <v>13</v>
      </c>
      <c r="I272">
        <v>0</v>
      </c>
      <c r="J272" t="str">
        <f>CONCATENATE(Table2[[#This Row],[Work Experience]],"years")</f>
        <v>0years</v>
      </c>
      <c r="K272" t="str">
        <f>CONCATENATE(Table2[[#This Row],[Family Size2]],"members")</f>
        <v>4members</v>
      </c>
      <c r="L272" t="str">
        <f>CONCATENATE(Table2[[#This Row],[Family Size2]],"members")</f>
        <v>4members</v>
      </c>
      <c r="M272">
        <v>4</v>
      </c>
    </row>
    <row r="273" spans="1:13">
      <c r="A273">
        <v>272</v>
      </c>
      <c r="B273" t="s">
        <v>11</v>
      </c>
      <c r="C273">
        <v>1</v>
      </c>
      <c r="D273" t="str" cm="1">
        <f t="array" ref="D273">_xlfn.IFS(Table2[[#This Row],[Age]]&lt;=11,"Gen A",Table2[[#This Row],[Age]]&lt;=27,"Gen Z",Table2[[#This Row],[Age]]&lt;=43,"Millenials",Table2[[#This Row],[Age]]&lt;=59,"Gen X",Table2[[#This Row],[Age]]&lt;=78,"Baby Boomers",Table2[[#This Row],[Age]]&lt;=96,"Silent",Table2[[#This Row],[Age]]&gt;=97,"Greatest")</f>
        <v>Gen A</v>
      </c>
      <c r="E273" s="1">
        <v>12000</v>
      </c>
      <c r="F273">
        <v>82</v>
      </c>
      <c r="G273" t="str" cm="1">
        <f t="array" ref="G273">_xlfn.IFS(Table2[[#This Row],[Spending Score (1-100)]]&lt;=25,"Low",Table2[[#This Row],[Spending Score (1-100)]]&lt;=50,"Medium",Table2[[#This Row],[Spending Score (1-100)]]&lt;=75,"High",Table2[[#This Row],[Spending Score (1-100)]]&lt;=100,"Very High")</f>
        <v>Very High</v>
      </c>
      <c r="H273" t="s">
        <v>16</v>
      </c>
      <c r="I273">
        <v>0</v>
      </c>
      <c r="J273" t="str">
        <f>CONCATENATE(Table2[[#This Row],[Work Experience]],"years")</f>
        <v>0years</v>
      </c>
      <c r="K273" t="str">
        <f>CONCATENATE(Table2[[#This Row],[Family Size2]],"members")</f>
        <v>3members</v>
      </c>
      <c r="L273" t="str">
        <f>CONCATENATE(Table2[[#This Row],[Family Size2]],"members")</f>
        <v>3members</v>
      </c>
      <c r="M273">
        <v>3</v>
      </c>
    </row>
    <row r="274" spans="1:13">
      <c r="A274">
        <v>273</v>
      </c>
      <c r="B274" t="s">
        <v>11</v>
      </c>
      <c r="C274">
        <v>96</v>
      </c>
      <c r="D274" t="str" cm="1">
        <f t="array" ref="D274">_xlfn.IFS(Table2[[#This Row],[Age]]&lt;=11,"Gen A",Table2[[#This Row],[Age]]&lt;=27,"Gen Z",Table2[[#This Row],[Age]]&lt;=43,"Millenials",Table2[[#This Row],[Age]]&lt;=59,"Gen X",Table2[[#This Row],[Age]]&lt;=78,"Baby Boomers",Table2[[#This Row],[Age]]&lt;=96,"Silent",Table2[[#This Row],[Age]]&gt;=97,"Greatest")</f>
        <v>Silent</v>
      </c>
      <c r="E274" s="1">
        <v>1000</v>
      </c>
      <c r="F274">
        <v>76</v>
      </c>
      <c r="G274" t="str" cm="1">
        <f t="array" ref="G274">_xlfn.IFS(Table2[[#This Row],[Spending Score (1-100)]]&lt;=25,"Low",Table2[[#This Row],[Spending Score (1-100)]]&lt;=50,"Medium",Table2[[#This Row],[Spending Score (1-100)]]&lt;=75,"High",Table2[[#This Row],[Spending Score (1-100)]]&lt;=100,"Very High")</f>
        <v>Very High</v>
      </c>
      <c r="H274" t="s">
        <v>13</v>
      </c>
      <c r="I274">
        <v>0</v>
      </c>
      <c r="J274" t="str">
        <f>CONCATENATE(Table2[[#This Row],[Work Experience]],"years")</f>
        <v>0years</v>
      </c>
      <c r="K274" t="str">
        <f>CONCATENATE(Table2[[#This Row],[Family Size2]],"members")</f>
        <v>3members</v>
      </c>
      <c r="L274" t="str">
        <f>CONCATENATE(Table2[[#This Row],[Family Size2]],"members")</f>
        <v>3members</v>
      </c>
      <c r="M274">
        <v>3</v>
      </c>
    </row>
    <row r="275" spans="1:13">
      <c r="A275">
        <v>274</v>
      </c>
      <c r="B275" t="s">
        <v>11</v>
      </c>
      <c r="C275">
        <v>18</v>
      </c>
      <c r="D275" t="str" cm="1">
        <f t="array" ref="D275">_xlfn.IFS(Table2[[#This Row],[Age]]&lt;=11,"Gen A",Table2[[#This Row],[Age]]&lt;=27,"Gen Z",Table2[[#This Row],[Age]]&lt;=43,"Millenials",Table2[[#This Row],[Age]]&lt;=59,"Gen X",Table2[[#This Row],[Age]]&lt;=78,"Baby Boomers",Table2[[#This Row],[Age]]&lt;=96,"Silent",Table2[[#This Row],[Age]]&gt;=97,"Greatest")</f>
        <v>Gen Z</v>
      </c>
      <c r="E275" s="1">
        <v>143000</v>
      </c>
      <c r="F275">
        <v>99</v>
      </c>
      <c r="G275" t="str" cm="1">
        <f t="array" ref="G275">_xlfn.IFS(Table2[[#This Row],[Spending Score (1-100)]]&lt;=25,"Low",Table2[[#This Row],[Spending Score (1-100)]]&lt;=50,"Medium",Table2[[#This Row],[Spending Score (1-100)]]&lt;=75,"High",Table2[[#This Row],[Spending Score (1-100)]]&lt;=100,"Very High")</f>
        <v>Very High</v>
      </c>
      <c r="H275" t="s">
        <v>14</v>
      </c>
      <c r="I275">
        <v>0</v>
      </c>
      <c r="J275" t="str">
        <f>CONCATENATE(Table2[[#This Row],[Work Experience]],"years")</f>
        <v>0years</v>
      </c>
      <c r="K275" t="str">
        <f>CONCATENATE(Table2[[#This Row],[Family Size2]],"members")</f>
        <v>2members</v>
      </c>
      <c r="L275" t="str">
        <f>CONCATENATE(Table2[[#This Row],[Family Size2]],"members")</f>
        <v>2members</v>
      </c>
      <c r="M275">
        <v>2</v>
      </c>
    </row>
    <row r="276" spans="1:13">
      <c r="A276">
        <v>275</v>
      </c>
      <c r="B276" t="s">
        <v>11</v>
      </c>
      <c r="C276">
        <v>37</v>
      </c>
      <c r="D276" t="str" cm="1">
        <f t="array" ref="D276">_xlfn.IFS(Table2[[#This Row],[Age]]&lt;=11,"Gen A",Table2[[#This Row],[Age]]&lt;=27,"Gen Z",Table2[[#This Row],[Age]]&lt;=43,"Millenials",Table2[[#This Row],[Age]]&lt;=59,"Gen X",Table2[[#This Row],[Age]]&lt;=78,"Baby Boomers",Table2[[#This Row],[Age]]&lt;=96,"Silent",Table2[[#This Row],[Age]]&gt;=97,"Greatest")</f>
        <v>Millenials</v>
      </c>
      <c r="E276" s="1">
        <v>18000</v>
      </c>
      <c r="F276">
        <v>57</v>
      </c>
      <c r="G276" t="str" cm="1">
        <f t="array" ref="G276">_xlfn.IFS(Table2[[#This Row],[Spending Score (1-100)]]&lt;=25,"Low",Table2[[#This Row],[Spending Score (1-100)]]&lt;=50,"Medium",Table2[[#This Row],[Spending Score (1-100)]]&lt;=75,"High",Table2[[#This Row],[Spending Score (1-100)]]&lt;=100,"Very High")</f>
        <v>High</v>
      </c>
      <c r="H276" t="s">
        <v>14</v>
      </c>
      <c r="I276">
        <v>1</v>
      </c>
      <c r="J276" t="str">
        <f>CONCATENATE(Table2[[#This Row],[Work Experience]],"years")</f>
        <v>1years</v>
      </c>
      <c r="K276" t="str">
        <f>CONCATENATE(Table2[[#This Row],[Family Size2]],"members")</f>
        <v>2members</v>
      </c>
      <c r="L276" t="str">
        <f>CONCATENATE(Table2[[#This Row],[Family Size2]],"members")</f>
        <v>2members</v>
      </c>
      <c r="M276">
        <v>2</v>
      </c>
    </row>
    <row r="277" spans="1:13">
      <c r="A277">
        <v>276</v>
      </c>
      <c r="B277" t="s">
        <v>8</v>
      </c>
      <c r="C277">
        <v>78</v>
      </c>
      <c r="D277" t="str" cm="1">
        <f t="array" ref="D277">_xlfn.IFS(Table2[[#This Row],[Age]]&lt;=11,"Gen A",Table2[[#This Row],[Age]]&lt;=27,"Gen Z",Table2[[#This Row],[Age]]&lt;=43,"Millenials",Table2[[#This Row],[Age]]&lt;=59,"Gen X",Table2[[#This Row],[Age]]&lt;=78,"Baby Boomers",Table2[[#This Row],[Age]]&lt;=96,"Silent",Table2[[#This Row],[Age]]&gt;=97,"Greatest")</f>
        <v>Baby Boomers</v>
      </c>
      <c r="E277" s="1">
        <v>65000</v>
      </c>
      <c r="F277">
        <v>89</v>
      </c>
      <c r="G277" t="str" cm="1">
        <f t="array" ref="G277">_xlfn.IFS(Table2[[#This Row],[Spending Score (1-100)]]&lt;=25,"Low",Table2[[#This Row],[Spending Score (1-100)]]&lt;=50,"Medium",Table2[[#This Row],[Spending Score (1-100)]]&lt;=75,"High",Table2[[#This Row],[Spending Score (1-100)]]&lt;=100,"Very High")</f>
        <v>Very High</v>
      </c>
      <c r="H277" t="s">
        <v>12</v>
      </c>
      <c r="I277">
        <v>1</v>
      </c>
      <c r="J277" t="str">
        <f>CONCATENATE(Table2[[#This Row],[Work Experience]],"years")</f>
        <v>1years</v>
      </c>
      <c r="K277" t="str">
        <f>CONCATENATE(Table2[[#This Row],[Family Size2]],"members")</f>
        <v>2members</v>
      </c>
      <c r="L277" t="str">
        <f>CONCATENATE(Table2[[#This Row],[Family Size2]],"members")</f>
        <v>2members</v>
      </c>
      <c r="M277">
        <v>2</v>
      </c>
    </row>
    <row r="278" spans="1:13">
      <c r="A278">
        <v>277</v>
      </c>
      <c r="B278" t="s">
        <v>8</v>
      </c>
      <c r="C278">
        <v>16</v>
      </c>
      <c r="D278" t="str" cm="1">
        <f t="array" ref="D278">_xlfn.IFS(Table2[[#This Row],[Age]]&lt;=11,"Gen A",Table2[[#This Row],[Age]]&lt;=27,"Gen Z",Table2[[#This Row],[Age]]&lt;=43,"Millenials",Table2[[#This Row],[Age]]&lt;=59,"Gen X",Table2[[#This Row],[Age]]&lt;=78,"Baby Boomers",Table2[[#This Row],[Age]]&lt;=96,"Silent",Table2[[#This Row],[Age]]&gt;=97,"Greatest")</f>
        <v>Gen Z</v>
      </c>
      <c r="E278" s="1">
        <v>9000</v>
      </c>
      <c r="F278">
        <v>88</v>
      </c>
      <c r="G278" t="str" cm="1">
        <f t="array" ref="G278">_xlfn.IFS(Table2[[#This Row],[Spending Score (1-100)]]&lt;=25,"Low",Table2[[#This Row],[Spending Score (1-100)]]&lt;=50,"Medium",Table2[[#This Row],[Spending Score (1-100)]]&lt;=75,"High",Table2[[#This Row],[Spending Score (1-100)]]&lt;=100,"Very High")</f>
        <v>Very High</v>
      </c>
      <c r="H278" t="s">
        <v>15</v>
      </c>
      <c r="I278">
        <v>7</v>
      </c>
      <c r="J278" t="str">
        <f>CONCATENATE(Table2[[#This Row],[Work Experience]],"years")</f>
        <v>7years</v>
      </c>
      <c r="K278" t="str">
        <f>CONCATENATE(Table2[[#This Row],[Family Size2]],"members")</f>
        <v>4members</v>
      </c>
      <c r="L278" t="str">
        <f>CONCATENATE(Table2[[#This Row],[Family Size2]],"members")</f>
        <v>4members</v>
      </c>
      <c r="M278">
        <v>4</v>
      </c>
    </row>
    <row r="279" spans="1:13">
      <c r="A279">
        <v>278</v>
      </c>
      <c r="B279" t="s">
        <v>8</v>
      </c>
      <c r="C279">
        <v>93</v>
      </c>
      <c r="D279" t="str" cm="1">
        <f t="array" ref="D279">_xlfn.IFS(Table2[[#This Row],[Age]]&lt;=11,"Gen A",Table2[[#This Row],[Age]]&lt;=27,"Gen Z",Table2[[#This Row],[Age]]&lt;=43,"Millenials",Table2[[#This Row],[Age]]&lt;=59,"Gen X",Table2[[#This Row],[Age]]&lt;=78,"Baby Boomers",Table2[[#This Row],[Age]]&lt;=96,"Silent",Table2[[#This Row],[Age]]&gt;=97,"Greatest")</f>
        <v>Silent</v>
      </c>
      <c r="E279" s="1">
        <v>95000</v>
      </c>
      <c r="F279">
        <v>21</v>
      </c>
      <c r="G279" t="str" cm="1">
        <f t="array" ref="G279">_xlfn.IFS(Table2[[#This Row],[Spending Score (1-100)]]&lt;=25,"Low",Table2[[#This Row],[Spending Score (1-100)]]&lt;=50,"Medium",Table2[[#This Row],[Spending Score (1-100)]]&lt;=75,"High",Table2[[#This Row],[Spending Score (1-100)]]&lt;=100,"Very High")</f>
        <v>Low</v>
      </c>
      <c r="H279" t="s">
        <v>14</v>
      </c>
      <c r="I279">
        <v>1</v>
      </c>
      <c r="J279" t="str">
        <f>CONCATENATE(Table2[[#This Row],[Work Experience]],"years")</f>
        <v>1years</v>
      </c>
      <c r="K279" t="str">
        <f>CONCATENATE(Table2[[#This Row],[Family Size2]],"members")</f>
        <v>1members</v>
      </c>
      <c r="L279" t="str">
        <f>CONCATENATE(Table2[[#This Row],[Family Size2]],"members")</f>
        <v>1members</v>
      </c>
      <c r="M279">
        <v>1</v>
      </c>
    </row>
    <row r="280" spans="1:13">
      <c r="A280">
        <v>279</v>
      </c>
      <c r="B280" t="s">
        <v>11</v>
      </c>
      <c r="C280">
        <v>74</v>
      </c>
      <c r="D280" t="str" cm="1">
        <f t="array" ref="D280">_xlfn.IFS(Table2[[#This Row],[Age]]&lt;=11,"Gen A",Table2[[#This Row],[Age]]&lt;=27,"Gen Z",Table2[[#This Row],[Age]]&lt;=43,"Millenials",Table2[[#This Row],[Age]]&lt;=59,"Gen X",Table2[[#This Row],[Age]]&lt;=78,"Baby Boomers",Table2[[#This Row],[Age]]&lt;=96,"Silent",Table2[[#This Row],[Age]]&gt;=97,"Greatest")</f>
        <v>Baby Boomers</v>
      </c>
      <c r="E280" s="1">
        <v>78000</v>
      </c>
      <c r="F280">
        <v>12</v>
      </c>
      <c r="G280" t="str" cm="1">
        <f t="array" ref="G280">_xlfn.IFS(Table2[[#This Row],[Spending Score (1-100)]]&lt;=25,"Low",Table2[[#This Row],[Spending Score (1-100)]]&lt;=50,"Medium",Table2[[#This Row],[Spending Score (1-100)]]&lt;=75,"High",Table2[[#This Row],[Spending Score (1-100)]]&lt;=100,"Very High")</f>
        <v>Low</v>
      </c>
      <c r="H280" t="s">
        <v>10</v>
      </c>
      <c r="I280">
        <v>9</v>
      </c>
      <c r="J280" t="str">
        <f>CONCATENATE(Table2[[#This Row],[Work Experience]],"years")</f>
        <v>9years</v>
      </c>
      <c r="K280" t="str">
        <f>CONCATENATE(Table2[[#This Row],[Family Size2]],"members")</f>
        <v>3members</v>
      </c>
      <c r="L280" t="str">
        <f>CONCATENATE(Table2[[#This Row],[Family Size2]],"members")</f>
        <v>3members</v>
      </c>
      <c r="M280">
        <v>3</v>
      </c>
    </row>
    <row r="281" spans="1:13">
      <c r="A281">
        <v>280</v>
      </c>
      <c r="B281" t="s">
        <v>8</v>
      </c>
      <c r="C281">
        <v>68</v>
      </c>
      <c r="D281" t="str" cm="1">
        <f t="array" ref="D281">_xlfn.IFS(Table2[[#This Row],[Age]]&lt;=11,"Gen A",Table2[[#This Row],[Age]]&lt;=27,"Gen Z",Table2[[#This Row],[Age]]&lt;=43,"Millenials",Table2[[#This Row],[Age]]&lt;=59,"Gen X",Table2[[#This Row],[Age]]&lt;=78,"Baby Boomers",Table2[[#This Row],[Age]]&lt;=96,"Silent",Table2[[#This Row],[Age]]&gt;=97,"Greatest")</f>
        <v>Baby Boomers</v>
      </c>
      <c r="E281" s="1">
        <v>48000</v>
      </c>
      <c r="F281">
        <v>73</v>
      </c>
      <c r="G281" t="str" cm="1">
        <f t="array" ref="G281">_xlfn.IFS(Table2[[#This Row],[Spending Score (1-100)]]&lt;=25,"Low",Table2[[#This Row],[Spending Score (1-100)]]&lt;=50,"Medium",Table2[[#This Row],[Spending Score (1-100)]]&lt;=75,"High",Table2[[#This Row],[Spending Score (1-100)]]&lt;=100,"Very High")</f>
        <v>High</v>
      </c>
      <c r="H281" t="s">
        <v>9</v>
      </c>
      <c r="I281">
        <v>3</v>
      </c>
      <c r="J281" t="str">
        <f>CONCATENATE(Table2[[#This Row],[Work Experience]],"years")</f>
        <v>3years</v>
      </c>
      <c r="K281" t="str">
        <f>CONCATENATE(Table2[[#This Row],[Family Size2]],"members")</f>
        <v>3members</v>
      </c>
      <c r="L281" t="str">
        <f>CONCATENATE(Table2[[#This Row],[Family Size2]],"members")</f>
        <v>3members</v>
      </c>
      <c r="M281">
        <v>3</v>
      </c>
    </row>
    <row r="282" spans="1:13">
      <c r="A282">
        <v>281</v>
      </c>
      <c r="B282" t="s">
        <v>11</v>
      </c>
      <c r="C282">
        <v>32</v>
      </c>
      <c r="D282" t="str" cm="1">
        <f t="array" ref="D282">_xlfn.IFS(Table2[[#This Row],[Age]]&lt;=11,"Gen A",Table2[[#This Row],[Age]]&lt;=27,"Gen Z",Table2[[#This Row],[Age]]&lt;=43,"Millenials",Table2[[#This Row],[Age]]&lt;=59,"Gen X",Table2[[#This Row],[Age]]&lt;=78,"Baby Boomers",Table2[[#This Row],[Age]]&lt;=96,"Silent",Table2[[#This Row],[Age]]&gt;=97,"Greatest")</f>
        <v>Millenials</v>
      </c>
      <c r="E282" s="1">
        <v>63000</v>
      </c>
      <c r="F282">
        <v>87</v>
      </c>
      <c r="G282" t="str" cm="1">
        <f t="array" ref="G282">_xlfn.IFS(Table2[[#This Row],[Spending Score (1-100)]]&lt;=25,"Low",Table2[[#This Row],[Spending Score (1-100)]]&lt;=50,"Medium",Table2[[#This Row],[Spending Score (1-100)]]&lt;=75,"High",Table2[[#This Row],[Spending Score (1-100)]]&lt;=100,"Very High")</f>
        <v>Very High</v>
      </c>
      <c r="H282" t="s">
        <v>15</v>
      </c>
      <c r="I282">
        <v>1</v>
      </c>
      <c r="J282" t="str">
        <f>CONCATENATE(Table2[[#This Row],[Work Experience]],"years")</f>
        <v>1years</v>
      </c>
      <c r="K282" t="str">
        <f>CONCATENATE(Table2[[#This Row],[Family Size2]],"members")</f>
        <v>4members</v>
      </c>
      <c r="L282" t="str">
        <f>CONCATENATE(Table2[[#This Row],[Family Size2]],"members")</f>
        <v>4members</v>
      </c>
      <c r="M282">
        <v>4</v>
      </c>
    </row>
    <row r="283" spans="1:13">
      <c r="A283">
        <v>282</v>
      </c>
      <c r="B283" t="s">
        <v>11</v>
      </c>
      <c r="C283">
        <v>43</v>
      </c>
      <c r="D283" t="str" cm="1">
        <f t="array" ref="D283">_xlfn.IFS(Table2[[#This Row],[Age]]&lt;=11,"Gen A",Table2[[#This Row],[Age]]&lt;=27,"Gen Z",Table2[[#This Row],[Age]]&lt;=43,"Millenials",Table2[[#This Row],[Age]]&lt;=59,"Gen X",Table2[[#This Row],[Age]]&lt;=78,"Baby Boomers",Table2[[#This Row],[Age]]&lt;=96,"Silent",Table2[[#This Row],[Age]]&gt;=97,"Greatest")</f>
        <v>Millenials</v>
      </c>
      <c r="E283" s="1">
        <v>85000</v>
      </c>
      <c r="F283">
        <v>63</v>
      </c>
      <c r="G283" t="str" cm="1">
        <f t="array" ref="G283">_xlfn.IFS(Table2[[#This Row],[Spending Score (1-100)]]&lt;=25,"Low",Table2[[#This Row],[Spending Score (1-100)]]&lt;=50,"Medium",Table2[[#This Row],[Spending Score (1-100)]]&lt;=75,"High",Table2[[#This Row],[Spending Score (1-100)]]&lt;=100,"Very High")</f>
        <v>High</v>
      </c>
      <c r="H283" t="s">
        <v>18</v>
      </c>
      <c r="I283">
        <v>1</v>
      </c>
      <c r="J283" t="str">
        <f>CONCATENATE(Table2[[#This Row],[Work Experience]],"years")</f>
        <v>1years</v>
      </c>
      <c r="K283" t="str">
        <f>CONCATENATE(Table2[[#This Row],[Family Size2]],"members")</f>
        <v>2members</v>
      </c>
      <c r="L283" t="str">
        <f>CONCATENATE(Table2[[#This Row],[Family Size2]],"members")</f>
        <v>2members</v>
      </c>
      <c r="M283">
        <v>2</v>
      </c>
    </row>
    <row r="284" spans="1:13">
      <c r="A284">
        <v>283</v>
      </c>
      <c r="B284" t="s">
        <v>11</v>
      </c>
      <c r="C284">
        <v>52</v>
      </c>
      <c r="D284" t="str" cm="1">
        <f t="array" ref="D284">_xlfn.IFS(Table2[[#This Row],[Age]]&lt;=11,"Gen A",Table2[[#This Row],[Age]]&lt;=27,"Gen Z",Table2[[#This Row],[Age]]&lt;=43,"Millenials",Table2[[#This Row],[Age]]&lt;=59,"Gen X",Table2[[#This Row],[Age]]&lt;=78,"Baby Boomers",Table2[[#This Row],[Age]]&lt;=96,"Silent",Table2[[#This Row],[Age]]&gt;=97,"Greatest")</f>
        <v>Gen X</v>
      </c>
      <c r="E284" s="1">
        <v>43000</v>
      </c>
      <c r="F284">
        <v>58</v>
      </c>
      <c r="G284" t="str" cm="1">
        <f t="array" ref="G284">_xlfn.IFS(Table2[[#This Row],[Spending Score (1-100)]]&lt;=25,"Low",Table2[[#This Row],[Spending Score (1-100)]]&lt;=50,"Medium",Table2[[#This Row],[Spending Score (1-100)]]&lt;=75,"High",Table2[[#This Row],[Spending Score (1-100)]]&lt;=100,"Very High")</f>
        <v>High</v>
      </c>
      <c r="H284" t="s">
        <v>14</v>
      </c>
      <c r="I284">
        <v>1</v>
      </c>
      <c r="J284" t="str">
        <f>CONCATENATE(Table2[[#This Row],[Work Experience]],"years")</f>
        <v>1years</v>
      </c>
      <c r="K284" t="str">
        <f>CONCATENATE(Table2[[#This Row],[Family Size2]],"members")</f>
        <v>3members</v>
      </c>
      <c r="L284" t="str">
        <f>CONCATENATE(Table2[[#This Row],[Family Size2]],"members")</f>
        <v>3members</v>
      </c>
      <c r="M284">
        <v>3</v>
      </c>
    </row>
    <row r="285" spans="1:13">
      <c r="A285">
        <v>284</v>
      </c>
      <c r="B285" t="s">
        <v>11</v>
      </c>
      <c r="C285">
        <v>63</v>
      </c>
      <c r="D285" t="str" cm="1">
        <f t="array" ref="D285">_xlfn.IFS(Table2[[#This Row],[Age]]&lt;=11,"Gen A",Table2[[#This Row],[Age]]&lt;=27,"Gen Z",Table2[[#This Row],[Age]]&lt;=43,"Millenials",Table2[[#This Row],[Age]]&lt;=59,"Gen X",Table2[[#This Row],[Age]]&lt;=78,"Baby Boomers",Table2[[#This Row],[Age]]&lt;=96,"Silent",Table2[[#This Row],[Age]]&gt;=97,"Greatest")</f>
        <v>Baby Boomers</v>
      </c>
      <c r="E285" s="1">
        <v>74000</v>
      </c>
      <c r="F285">
        <v>20</v>
      </c>
      <c r="G285" t="str" cm="1">
        <f t="array" ref="G285">_xlfn.IFS(Table2[[#This Row],[Spending Score (1-100)]]&lt;=25,"Low",Table2[[#This Row],[Spending Score (1-100)]]&lt;=50,"Medium",Table2[[#This Row],[Spending Score (1-100)]]&lt;=75,"High",Table2[[#This Row],[Spending Score (1-100)]]&lt;=100,"Very High")</f>
        <v>Low</v>
      </c>
      <c r="H285" t="s">
        <v>14</v>
      </c>
      <c r="I285">
        <v>1</v>
      </c>
      <c r="J285" t="str">
        <f>CONCATENATE(Table2[[#This Row],[Work Experience]],"years")</f>
        <v>1years</v>
      </c>
      <c r="K285" t="str">
        <f>CONCATENATE(Table2[[#This Row],[Family Size2]],"members")</f>
        <v>2members</v>
      </c>
      <c r="L285" t="str">
        <f>CONCATENATE(Table2[[#This Row],[Family Size2]],"members")</f>
        <v>2members</v>
      </c>
      <c r="M285">
        <v>2</v>
      </c>
    </row>
    <row r="286" spans="1:13">
      <c r="A286">
        <v>285</v>
      </c>
      <c r="B286" t="s">
        <v>11</v>
      </c>
      <c r="C286">
        <v>33</v>
      </c>
      <c r="D286" t="str" cm="1">
        <f t="array" ref="D286">_xlfn.IFS(Table2[[#This Row],[Age]]&lt;=11,"Gen A",Table2[[#This Row],[Age]]&lt;=27,"Gen Z",Table2[[#This Row],[Age]]&lt;=43,"Millenials",Table2[[#This Row],[Age]]&lt;=59,"Gen X",Table2[[#This Row],[Age]]&lt;=78,"Baby Boomers",Table2[[#This Row],[Age]]&lt;=96,"Silent",Table2[[#This Row],[Age]]&gt;=97,"Greatest")</f>
        <v>Millenials</v>
      </c>
      <c r="E286" s="1">
        <v>67000</v>
      </c>
      <c r="F286">
        <v>11</v>
      </c>
      <c r="G286" t="str" cm="1">
        <f t="array" ref="G286">_xlfn.IFS(Table2[[#This Row],[Spending Score (1-100)]]&lt;=25,"Low",Table2[[#This Row],[Spending Score (1-100)]]&lt;=50,"Medium",Table2[[#This Row],[Spending Score (1-100)]]&lt;=75,"High",Table2[[#This Row],[Spending Score (1-100)]]&lt;=100,"Very High")</f>
        <v>Low</v>
      </c>
      <c r="H286" t="s">
        <v>9</v>
      </c>
      <c r="I286">
        <v>0</v>
      </c>
      <c r="J286" t="str">
        <f>CONCATENATE(Table2[[#This Row],[Work Experience]],"years")</f>
        <v>0years</v>
      </c>
      <c r="K286" t="str">
        <f>CONCATENATE(Table2[[#This Row],[Family Size2]],"members")</f>
        <v>1members</v>
      </c>
      <c r="L286" t="str">
        <f>CONCATENATE(Table2[[#This Row],[Family Size2]],"members")</f>
        <v>1members</v>
      </c>
      <c r="M286">
        <v>1</v>
      </c>
    </row>
    <row r="287" spans="1:13">
      <c r="A287">
        <v>286</v>
      </c>
      <c r="B287" t="s">
        <v>8</v>
      </c>
      <c r="C287">
        <v>86</v>
      </c>
      <c r="D287" t="str" cm="1">
        <f t="array" ref="D287">_xlfn.IFS(Table2[[#This Row],[Age]]&lt;=11,"Gen A",Table2[[#This Row],[Age]]&lt;=27,"Gen Z",Table2[[#This Row],[Age]]&lt;=43,"Millenials",Table2[[#This Row],[Age]]&lt;=59,"Gen X",Table2[[#This Row],[Age]]&lt;=78,"Baby Boomers",Table2[[#This Row],[Age]]&lt;=96,"Silent",Table2[[#This Row],[Age]]&gt;=97,"Greatest")</f>
        <v>Silent</v>
      </c>
      <c r="E287" s="1">
        <v>59000</v>
      </c>
      <c r="F287">
        <v>40</v>
      </c>
      <c r="G287" t="str" cm="1">
        <f t="array" ref="G287">_xlfn.IFS(Table2[[#This Row],[Spending Score (1-100)]]&lt;=25,"Low",Table2[[#This Row],[Spending Score (1-100)]]&lt;=50,"Medium",Table2[[#This Row],[Spending Score (1-100)]]&lt;=75,"High",Table2[[#This Row],[Spending Score (1-100)]]&lt;=100,"Very High")</f>
        <v>Medium</v>
      </c>
      <c r="H287" t="s">
        <v>14</v>
      </c>
      <c r="I287">
        <v>0</v>
      </c>
      <c r="J287" t="str">
        <f>CONCATENATE(Table2[[#This Row],[Work Experience]],"years")</f>
        <v>0years</v>
      </c>
      <c r="K287" t="str">
        <f>CONCATENATE(Table2[[#This Row],[Family Size2]],"members")</f>
        <v>1members</v>
      </c>
      <c r="L287" t="str">
        <f>CONCATENATE(Table2[[#This Row],[Family Size2]],"members")</f>
        <v>1members</v>
      </c>
      <c r="M287">
        <v>1</v>
      </c>
    </row>
    <row r="288" spans="1:13">
      <c r="A288">
        <v>287</v>
      </c>
      <c r="B288" t="s">
        <v>11</v>
      </c>
      <c r="C288">
        <v>85</v>
      </c>
      <c r="D288" t="str" cm="1">
        <f t="array" ref="D288">_xlfn.IFS(Table2[[#This Row],[Age]]&lt;=11,"Gen A",Table2[[#This Row],[Age]]&lt;=27,"Gen Z",Table2[[#This Row],[Age]]&lt;=43,"Millenials",Table2[[#This Row],[Age]]&lt;=59,"Gen X",Table2[[#This Row],[Age]]&lt;=78,"Baby Boomers",Table2[[#This Row],[Age]]&lt;=96,"Silent",Table2[[#This Row],[Age]]&gt;=97,"Greatest")</f>
        <v>Silent</v>
      </c>
      <c r="E288" s="1">
        <v>140000</v>
      </c>
      <c r="F288">
        <v>84</v>
      </c>
      <c r="G288" t="str" cm="1">
        <f t="array" ref="G288">_xlfn.IFS(Table2[[#This Row],[Spending Score (1-100)]]&lt;=25,"Low",Table2[[#This Row],[Spending Score (1-100)]]&lt;=50,"Medium",Table2[[#This Row],[Spending Score (1-100)]]&lt;=75,"High",Table2[[#This Row],[Spending Score (1-100)]]&lt;=100,"Very High")</f>
        <v>Very High</v>
      </c>
      <c r="H288" t="s">
        <v>13</v>
      </c>
      <c r="I288">
        <v>1</v>
      </c>
      <c r="J288" t="str">
        <f>CONCATENATE(Table2[[#This Row],[Work Experience]],"years")</f>
        <v>1years</v>
      </c>
      <c r="K288" t="str">
        <f>CONCATENATE(Table2[[#This Row],[Family Size2]],"members")</f>
        <v>1members</v>
      </c>
      <c r="L288" t="str">
        <f>CONCATENATE(Table2[[#This Row],[Family Size2]],"members")</f>
        <v>1members</v>
      </c>
      <c r="M288">
        <v>1</v>
      </c>
    </row>
    <row r="289" spans="1:13">
      <c r="A289">
        <v>288</v>
      </c>
      <c r="B289" t="s">
        <v>11</v>
      </c>
      <c r="C289">
        <v>73</v>
      </c>
      <c r="D289" t="str" cm="1">
        <f t="array" ref="D289">_xlfn.IFS(Table2[[#This Row],[Age]]&lt;=11,"Gen A",Table2[[#This Row],[Age]]&lt;=27,"Gen Z",Table2[[#This Row],[Age]]&lt;=43,"Millenials",Table2[[#This Row],[Age]]&lt;=59,"Gen X",Table2[[#This Row],[Age]]&lt;=78,"Baby Boomers",Table2[[#This Row],[Age]]&lt;=96,"Silent",Table2[[#This Row],[Age]]&gt;=97,"Greatest")</f>
        <v>Baby Boomers</v>
      </c>
      <c r="E289" s="1">
        <v>31000</v>
      </c>
      <c r="F289">
        <v>47</v>
      </c>
      <c r="G289" t="str" cm="1">
        <f t="array" ref="G289">_xlfn.IFS(Table2[[#This Row],[Spending Score (1-100)]]&lt;=25,"Low",Table2[[#This Row],[Spending Score (1-100)]]&lt;=50,"Medium",Table2[[#This Row],[Spending Score (1-100)]]&lt;=75,"High",Table2[[#This Row],[Spending Score (1-100)]]&lt;=100,"Very High")</f>
        <v>Medium</v>
      </c>
      <c r="H289" t="s">
        <v>9</v>
      </c>
      <c r="I289">
        <v>1</v>
      </c>
      <c r="J289" t="str">
        <f>CONCATENATE(Table2[[#This Row],[Work Experience]],"years")</f>
        <v>1years</v>
      </c>
      <c r="K289" t="str">
        <f>CONCATENATE(Table2[[#This Row],[Family Size2]],"members")</f>
        <v>2members</v>
      </c>
      <c r="L289" t="str">
        <f>CONCATENATE(Table2[[#This Row],[Family Size2]],"members")</f>
        <v>2members</v>
      </c>
      <c r="M289">
        <v>2</v>
      </c>
    </row>
    <row r="290" spans="1:13">
      <c r="A290">
        <v>289</v>
      </c>
      <c r="B290" t="s">
        <v>11</v>
      </c>
      <c r="C290">
        <v>21</v>
      </c>
      <c r="D290" t="str" cm="1">
        <f t="array" ref="D290">_xlfn.IFS(Table2[[#This Row],[Age]]&lt;=11,"Gen A",Table2[[#This Row],[Age]]&lt;=27,"Gen Z",Table2[[#This Row],[Age]]&lt;=43,"Millenials",Table2[[#This Row],[Age]]&lt;=59,"Gen X",Table2[[#This Row],[Age]]&lt;=78,"Baby Boomers",Table2[[#This Row],[Age]]&lt;=96,"Silent",Table2[[#This Row],[Age]]&gt;=97,"Greatest")</f>
        <v>Gen Z</v>
      </c>
      <c r="E290" s="1">
        <v>5000</v>
      </c>
      <c r="F290">
        <v>91</v>
      </c>
      <c r="G290" t="str" cm="1">
        <f t="array" ref="G290">_xlfn.IFS(Table2[[#This Row],[Spending Score (1-100)]]&lt;=25,"Low",Table2[[#This Row],[Spending Score (1-100)]]&lt;=50,"Medium",Table2[[#This Row],[Spending Score (1-100)]]&lt;=75,"High",Table2[[#This Row],[Spending Score (1-100)]]&lt;=100,"Very High")</f>
        <v>Very High</v>
      </c>
      <c r="H290" t="s">
        <v>18</v>
      </c>
      <c r="I290">
        <v>0</v>
      </c>
      <c r="J290" t="str">
        <f>CONCATENATE(Table2[[#This Row],[Work Experience]],"years")</f>
        <v>0years</v>
      </c>
      <c r="K290" t="str">
        <f>CONCATENATE(Table2[[#This Row],[Family Size2]],"members")</f>
        <v>1members</v>
      </c>
      <c r="L290" t="str">
        <f>CONCATENATE(Table2[[#This Row],[Family Size2]],"members")</f>
        <v>1members</v>
      </c>
      <c r="M290">
        <v>1</v>
      </c>
    </row>
    <row r="291" spans="1:13">
      <c r="A291">
        <v>290</v>
      </c>
      <c r="B291" t="s">
        <v>11</v>
      </c>
      <c r="C291">
        <v>93</v>
      </c>
      <c r="D291" t="str" cm="1">
        <f t="array" ref="D291">_xlfn.IFS(Table2[[#This Row],[Age]]&lt;=11,"Gen A",Table2[[#This Row],[Age]]&lt;=27,"Gen Z",Table2[[#This Row],[Age]]&lt;=43,"Millenials",Table2[[#This Row],[Age]]&lt;=59,"Gen X",Table2[[#This Row],[Age]]&lt;=78,"Baby Boomers",Table2[[#This Row],[Age]]&lt;=96,"Silent",Table2[[#This Row],[Age]]&gt;=97,"Greatest")</f>
        <v>Silent</v>
      </c>
      <c r="E291" s="1">
        <v>19000</v>
      </c>
      <c r="F291">
        <v>58</v>
      </c>
      <c r="G291" t="str" cm="1">
        <f t="array" ref="G291">_xlfn.IFS(Table2[[#This Row],[Spending Score (1-100)]]&lt;=25,"Low",Table2[[#This Row],[Spending Score (1-100)]]&lt;=50,"Medium",Table2[[#This Row],[Spending Score (1-100)]]&lt;=75,"High",Table2[[#This Row],[Spending Score (1-100)]]&lt;=100,"Very High")</f>
        <v>High</v>
      </c>
      <c r="H291" t="s">
        <v>10</v>
      </c>
      <c r="I291">
        <v>1</v>
      </c>
      <c r="J291" t="str">
        <f>CONCATENATE(Table2[[#This Row],[Work Experience]],"years")</f>
        <v>1years</v>
      </c>
      <c r="K291" t="str">
        <f>CONCATENATE(Table2[[#This Row],[Family Size2]],"members")</f>
        <v>3members</v>
      </c>
      <c r="L291" t="str">
        <f>CONCATENATE(Table2[[#This Row],[Family Size2]],"members")</f>
        <v>3members</v>
      </c>
      <c r="M291">
        <v>3</v>
      </c>
    </row>
    <row r="292" spans="1:13">
      <c r="A292">
        <v>291</v>
      </c>
      <c r="B292" t="s">
        <v>8</v>
      </c>
      <c r="C292">
        <v>9</v>
      </c>
      <c r="D292" t="str" cm="1">
        <f t="array" ref="D292">_xlfn.IFS(Table2[[#This Row],[Age]]&lt;=11,"Gen A",Table2[[#This Row],[Age]]&lt;=27,"Gen Z",Table2[[#This Row],[Age]]&lt;=43,"Millenials",Table2[[#This Row],[Age]]&lt;=59,"Gen X",Table2[[#This Row],[Age]]&lt;=78,"Baby Boomers",Table2[[#This Row],[Age]]&lt;=96,"Silent",Table2[[#This Row],[Age]]&gt;=97,"Greatest")</f>
        <v>Gen A</v>
      </c>
      <c r="E292" s="1">
        <v>27000</v>
      </c>
      <c r="F292">
        <v>62</v>
      </c>
      <c r="G292" t="str" cm="1">
        <f t="array" ref="G292">_xlfn.IFS(Table2[[#This Row],[Spending Score (1-100)]]&lt;=25,"Low",Table2[[#This Row],[Spending Score (1-100)]]&lt;=50,"Medium",Table2[[#This Row],[Spending Score (1-100)]]&lt;=75,"High",Table2[[#This Row],[Spending Score (1-100)]]&lt;=100,"Very High")</f>
        <v>High</v>
      </c>
      <c r="H292" t="s">
        <v>13</v>
      </c>
      <c r="I292">
        <v>7</v>
      </c>
      <c r="J292" t="str">
        <f>CONCATENATE(Table2[[#This Row],[Work Experience]],"years")</f>
        <v>7years</v>
      </c>
      <c r="K292" t="str">
        <f>CONCATENATE(Table2[[#This Row],[Family Size2]],"members")</f>
        <v>1members</v>
      </c>
      <c r="L292" t="str">
        <f>CONCATENATE(Table2[[#This Row],[Family Size2]],"members")</f>
        <v>1members</v>
      </c>
      <c r="M292">
        <v>1</v>
      </c>
    </row>
    <row r="293" spans="1:13">
      <c r="A293">
        <v>292</v>
      </c>
      <c r="B293" t="s">
        <v>11</v>
      </c>
      <c r="C293">
        <v>10</v>
      </c>
      <c r="D293" t="str" cm="1">
        <f t="array" ref="D293">_xlfn.IFS(Table2[[#This Row],[Age]]&lt;=11,"Gen A",Table2[[#This Row],[Age]]&lt;=27,"Gen Z",Table2[[#This Row],[Age]]&lt;=43,"Millenials",Table2[[#This Row],[Age]]&lt;=59,"Gen X",Table2[[#This Row],[Age]]&lt;=78,"Baby Boomers",Table2[[#This Row],[Age]]&lt;=96,"Silent",Table2[[#This Row],[Age]]&gt;=97,"Greatest")</f>
        <v>Gen A</v>
      </c>
      <c r="E293" s="1">
        <v>68000</v>
      </c>
      <c r="F293">
        <v>80</v>
      </c>
      <c r="G293" t="str" cm="1">
        <f t="array" ref="G293">_xlfn.IFS(Table2[[#This Row],[Spending Score (1-100)]]&lt;=25,"Low",Table2[[#This Row],[Spending Score (1-100)]]&lt;=50,"Medium",Table2[[#This Row],[Spending Score (1-100)]]&lt;=75,"High",Table2[[#This Row],[Spending Score (1-100)]]&lt;=100,"Very High")</f>
        <v>Very High</v>
      </c>
      <c r="H293" t="s">
        <v>16</v>
      </c>
      <c r="I293">
        <v>6</v>
      </c>
      <c r="J293" t="str">
        <f>CONCATENATE(Table2[[#This Row],[Work Experience]],"years")</f>
        <v>6years</v>
      </c>
      <c r="K293" t="str">
        <f>CONCATENATE(Table2[[#This Row],[Family Size2]],"members")</f>
        <v>3members</v>
      </c>
      <c r="L293" t="str">
        <f>CONCATENATE(Table2[[#This Row],[Family Size2]],"members")</f>
        <v>3members</v>
      </c>
      <c r="M293">
        <v>3</v>
      </c>
    </row>
    <row r="294" spans="1:13">
      <c r="A294">
        <v>293</v>
      </c>
      <c r="B294" t="s">
        <v>8</v>
      </c>
      <c r="C294">
        <v>11</v>
      </c>
      <c r="D294" t="str" cm="1">
        <f t="array" ref="D294">_xlfn.IFS(Table2[[#This Row],[Age]]&lt;=11,"Gen A",Table2[[#This Row],[Age]]&lt;=27,"Gen Z",Table2[[#This Row],[Age]]&lt;=43,"Millenials",Table2[[#This Row],[Age]]&lt;=59,"Gen X",Table2[[#This Row],[Age]]&lt;=78,"Baby Boomers",Table2[[#This Row],[Age]]&lt;=96,"Silent",Table2[[#This Row],[Age]]&gt;=97,"Greatest")</f>
        <v>Gen A</v>
      </c>
      <c r="E294" s="1">
        <v>38000</v>
      </c>
      <c r="F294">
        <v>66</v>
      </c>
      <c r="G294" t="str" cm="1">
        <f t="array" ref="G294">_xlfn.IFS(Table2[[#This Row],[Spending Score (1-100)]]&lt;=25,"Low",Table2[[#This Row],[Spending Score (1-100)]]&lt;=50,"Medium",Table2[[#This Row],[Spending Score (1-100)]]&lt;=75,"High",Table2[[#This Row],[Spending Score (1-100)]]&lt;=100,"Very High")</f>
        <v>High</v>
      </c>
      <c r="H294" t="s">
        <v>14</v>
      </c>
      <c r="I294">
        <v>8</v>
      </c>
      <c r="J294" t="str">
        <f>CONCATENATE(Table2[[#This Row],[Work Experience]],"years")</f>
        <v>8years</v>
      </c>
      <c r="K294" t="str">
        <f>CONCATENATE(Table2[[#This Row],[Family Size2]],"members")</f>
        <v>8members</v>
      </c>
      <c r="L294" t="str">
        <f>CONCATENATE(Table2[[#This Row],[Family Size2]],"members")</f>
        <v>8members</v>
      </c>
      <c r="M294">
        <v>8</v>
      </c>
    </row>
    <row r="295" spans="1:13">
      <c r="A295">
        <v>294</v>
      </c>
      <c r="B295" t="s">
        <v>11</v>
      </c>
      <c r="C295">
        <v>48</v>
      </c>
      <c r="D295" t="str" cm="1">
        <f t="array" ref="D295">_xlfn.IFS(Table2[[#This Row],[Age]]&lt;=11,"Gen A",Table2[[#This Row],[Age]]&lt;=27,"Gen Z",Table2[[#This Row],[Age]]&lt;=43,"Millenials",Table2[[#This Row],[Age]]&lt;=59,"Gen X",Table2[[#This Row],[Age]]&lt;=78,"Baby Boomers",Table2[[#This Row],[Age]]&lt;=96,"Silent",Table2[[#This Row],[Age]]&gt;=97,"Greatest")</f>
        <v>Gen X</v>
      </c>
      <c r="E295" s="1">
        <v>50000</v>
      </c>
      <c r="F295">
        <v>36</v>
      </c>
      <c r="G295" t="str" cm="1">
        <f t="array" ref="G295">_xlfn.IFS(Table2[[#This Row],[Spending Score (1-100)]]&lt;=25,"Low",Table2[[#This Row],[Spending Score (1-100)]]&lt;=50,"Medium",Table2[[#This Row],[Spending Score (1-100)]]&lt;=75,"High",Table2[[#This Row],[Spending Score (1-100)]]&lt;=100,"Very High")</f>
        <v>Medium</v>
      </c>
      <c r="H295" t="s">
        <v>10</v>
      </c>
      <c r="I295">
        <v>6</v>
      </c>
      <c r="J295" t="str">
        <f>CONCATENATE(Table2[[#This Row],[Work Experience]],"years")</f>
        <v>6years</v>
      </c>
      <c r="K295" t="str">
        <f>CONCATENATE(Table2[[#This Row],[Family Size2]],"members")</f>
        <v>4members</v>
      </c>
      <c r="L295" t="str">
        <f>CONCATENATE(Table2[[#This Row],[Family Size2]],"members")</f>
        <v>4members</v>
      </c>
      <c r="M295">
        <v>4</v>
      </c>
    </row>
    <row r="296" spans="1:13">
      <c r="A296">
        <v>295</v>
      </c>
      <c r="B296" t="s">
        <v>11</v>
      </c>
      <c r="C296">
        <v>73</v>
      </c>
      <c r="D296" t="str" cm="1">
        <f t="array" ref="D296">_xlfn.IFS(Table2[[#This Row],[Age]]&lt;=11,"Gen A",Table2[[#This Row],[Age]]&lt;=27,"Gen Z",Table2[[#This Row],[Age]]&lt;=43,"Millenials",Table2[[#This Row],[Age]]&lt;=59,"Gen X",Table2[[#This Row],[Age]]&lt;=78,"Baby Boomers",Table2[[#This Row],[Age]]&lt;=96,"Silent",Table2[[#This Row],[Age]]&gt;=97,"Greatest")</f>
        <v>Baby Boomers</v>
      </c>
      <c r="E296" s="1">
        <v>80000</v>
      </c>
      <c r="F296">
        <v>73</v>
      </c>
      <c r="G296" t="str" cm="1">
        <f t="array" ref="G296">_xlfn.IFS(Table2[[#This Row],[Spending Score (1-100)]]&lt;=25,"Low",Table2[[#This Row],[Spending Score (1-100)]]&lt;=50,"Medium",Table2[[#This Row],[Spending Score (1-100)]]&lt;=75,"High",Table2[[#This Row],[Spending Score (1-100)]]&lt;=100,"Very High")</f>
        <v>High</v>
      </c>
      <c r="H296" t="s">
        <v>13</v>
      </c>
      <c r="I296">
        <v>2</v>
      </c>
      <c r="J296" t="str">
        <f>CONCATENATE(Table2[[#This Row],[Work Experience]],"years")</f>
        <v>2years</v>
      </c>
      <c r="K296" t="str">
        <f>CONCATENATE(Table2[[#This Row],[Family Size2]],"members")</f>
        <v>2members</v>
      </c>
      <c r="L296" t="str">
        <f>CONCATENATE(Table2[[#This Row],[Family Size2]],"members")</f>
        <v>2members</v>
      </c>
      <c r="M296">
        <v>2</v>
      </c>
    </row>
    <row r="297" spans="1:13">
      <c r="A297">
        <v>296</v>
      </c>
      <c r="B297" t="s">
        <v>11</v>
      </c>
      <c r="C297">
        <v>66</v>
      </c>
      <c r="D297" t="str" cm="1">
        <f t="array" ref="D297">_xlfn.IFS(Table2[[#This Row],[Age]]&lt;=11,"Gen A",Table2[[#This Row],[Age]]&lt;=27,"Gen Z",Table2[[#This Row],[Age]]&lt;=43,"Millenials",Table2[[#This Row],[Age]]&lt;=59,"Gen X",Table2[[#This Row],[Age]]&lt;=78,"Baby Boomers",Table2[[#This Row],[Age]]&lt;=96,"Silent",Table2[[#This Row],[Age]]&gt;=97,"Greatest")</f>
        <v>Baby Boomers</v>
      </c>
      <c r="E297" s="1">
        <v>69000</v>
      </c>
      <c r="F297">
        <v>43</v>
      </c>
      <c r="G297" t="str" cm="1">
        <f t="array" ref="G297">_xlfn.IFS(Table2[[#This Row],[Spending Score (1-100)]]&lt;=25,"Low",Table2[[#This Row],[Spending Score (1-100)]]&lt;=50,"Medium",Table2[[#This Row],[Spending Score (1-100)]]&lt;=75,"High",Table2[[#This Row],[Spending Score (1-100)]]&lt;=100,"Very High")</f>
        <v>Medium</v>
      </c>
      <c r="H297" t="s">
        <v>15</v>
      </c>
      <c r="I297">
        <v>9</v>
      </c>
      <c r="J297" t="str">
        <f>CONCATENATE(Table2[[#This Row],[Work Experience]],"years")</f>
        <v>9years</v>
      </c>
      <c r="K297" t="str">
        <f>CONCATENATE(Table2[[#This Row],[Family Size2]],"members")</f>
        <v>3members</v>
      </c>
      <c r="L297" t="str">
        <f>CONCATENATE(Table2[[#This Row],[Family Size2]],"members")</f>
        <v>3members</v>
      </c>
      <c r="M297">
        <v>3</v>
      </c>
    </row>
    <row r="298" spans="1:13">
      <c r="A298">
        <v>297</v>
      </c>
      <c r="B298" t="s">
        <v>11</v>
      </c>
      <c r="C298">
        <v>79</v>
      </c>
      <c r="D298" t="str" cm="1">
        <f t="array" ref="D298">_xlfn.IFS(Table2[[#This Row],[Age]]&lt;=11,"Gen A",Table2[[#This Row],[Age]]&lt;=27,"Gen Z",Table2[[#This Row],[Age]]&lt;=43,"Millenials",Table2[[#This Row],[Age]]&lt;=59,"Gen X",Table2[[#This Row],[Age]]&lt;=78,"Baby Boomers",Table2[[#This Row],[Age]]&lt;=96,"Silent",Table2[[#This Row],[Age]]&gt;=97,"Greatest")</f>
        <v>Silent</v>
      </c>
      <c r="E298" s="1">
        <v>31000</v>
      </c>
      <c r="F298">
        <v>91</v>
      </c>
      <c r="G298" t="str" cm="1">
        <f t="array" ref="G298">_xlfn.IFS(Table2[[#This Row],[Spending Score (1-100)]]&lt;=25,"Low",Table2[[#This Row],[Spending Score (1-100)]]&lt;=50,"Medium",Table2[[#This Row],[Spending Score (1-100)]]&lt;=75,"High",Table2[[#This Row],[Spending Score (1-100)]]&lt;=100,"Very High")</f>
        <v>Very High</v>
      </c>
      <c r="H298" t="s">
        <v>10</v>
      </c>
      <c r="I298">
        <v>3</v>
      </c>
      <c r="J298" t="str">
        <f>CONCATENATE(Table2[[#This Row],[Work Experience]],"years")</f>
        <v>3years</v>
      </c>
      <c r="K298" t="str">
        <f>CONCATENATE(Table2[[#This Row],[Family Size2]],"members")</f>
        <v>3members</v>
      </c>
      <c r="L298" t="str">
        <f>CONCATENATE(Table2[[#This Row],[Family Size2]],"members")</f>
        <v>3members</v>
      </c>
      <c r="M298">
        <v>3</v>
      </c>
    </row>
    <row r="299" spans="1:13">
      <c r="A299">
        <v>298</v>
      </c>
      <c r="B299" t="s">
        <v>8</v>
      </c>
      <c r="C299">
        <v>62</v>
      </c>
      <c r="D299" t="str" cm="1">
        <f t="array" ref="D299">_xlfn.IFS(Table2[[#This Row],[Age]]&lt;=11,"Gen A",Table2[[#This Row],[Age]]&lt;=27,"Gen Z",Table2[[#This Row],[Age]]&lt;=43,"Millenials",Table2[[#This Row],[Age]]&lt;=59,"Gen X",Table2[[#This Row],[Age]]&lt;=78,"Baby Boomers",Table2[[#This Row],[Age]]&lt;=96,"Silent",Table2[[#This Row],[Age]]&gt;=97,"Greatest")</f>
        <v>Baby Boomers</v>
      </c>
      <c r="E299" s="1">
        <v>87000</v>
      </c>
      <c r="F299">
        <v>41</v>
      </c>
      <c r="G299" t="str" cm="1">
        <f t="array" ref="G299">_xlfn.IFS(Table2[[#This Row],[Spending Score (1-100)]]&lt;=25,"Low",Table2[[#This Row],[Spending Score (1-100)]]&lt;=50,"Medium",Table2[[#This Row],[Spending Score (1-100)]]&lt;=75,"High",Table2[[#This Row],[Spending Score (1-100)]]&lt;=100,"Very High")</f>
        <v>Medium</v>
      </c>
      <c r="H299" t="s">
        <v>16</v>
      </c>
      <c r="I299">
        <v>6</v>
      </c>
      <c r="J299" t="str">
        <f>CONCATENATE(Table2[[#This Row],[Work Experience]],"years")</f>
        <v>6years</v>
      </c>
      <c r="K299" t="str">
        <f>CONCATENATE(Table2[[#This Row],[Family Size2]],"members")</f>
        <v>2members</v>
      </c>
      <c r="L299" t="str">
        <f>CONCATENATE(Table2[[#This Row],[Family Size2]],"members")</f>
        <v>2members</v>
      </c>
      <c r="M299">
        <v>2</v>
      </c>
    </row>
    <row r="300" spans="1:13">
      <c r="A300">
        <v>299</v>
      </c>
      <c r="B300" t="s">
        <v>8</v>
      </c>
      <c r="C300">
        <v>17</v>
      </c>
      <c r="D300" t="str" cm="1">
        <f t="array" ref="D300">_xlfn.IFS(Table2[[#This Row],[Age]]&lt;=11,"Gen A",Table2[[#This Row],[Age]]&lt;=27,"Gen Z",Table2[[#This Row],[Age]]&lt;=43,"Millenials",Table2[[#This Row],[Age]]&lt;=59,"Gen X",Table2[[#This Row],[Age]]&lt;=78,"Baby Boomers",Table2[[#This Row],[Age]]&lt;=96,"Silent",Table2[[#This Row],[Age]]&gt;=97,"Greatest")</f>
        <v>Gen Z</v>
      </c>
      <c r="E300" s="1">
        <v>79000</v>
      </c>
      <c r="F300">
        <v>16</v>
      </c>
      <c r="G300" t="str" cm="1">
        <f t="array" ref="G300">_xlfn.IFS(Table2[[#This Row],[Spending Score (1-100)]]&lt;=25,"Low",Table2[[#This Row],[Spending Score (1-100)]]&lt;=50,"Medium",Table2[[#This Row],[Spending Score (1-100)]]&lt;=75,"High",Table2[[#This Row],[Spending Score (1-100)]]&lt;=100,"Very High")</f>
        <v>Low</v>
      </c>
      <c r="H300" t="s">
        <v>14</v>
      </c>
      <c r="I300">
        <v>1</v>
      </c>
      <c r="J300" t="str">
        <f>CONCATENATE(Table2[[#This Row],[Work Experience]],"years")</f>
        <v>1years</v>
      </c>
      <c r="K300" t="str">
        <f>CONCATENATE(Table2[[#This Row],[Family Size2]],"members")</f>
        <v>3members</v>
      </c>
      <c r="L300" t="str">
        <f>CONCATENATE(Table2[[#This Row],[Family Size2]],"members")</f>
        <v>3members</v>
      </c>
      <c r="M300">
        <v>3</v>
      </c>
    </row>
    <row r="301" spans="1:13">
      <c r="A301">
        <v>300</v>
      </c>
      <c r="B301" t="s">
        <v>8</v>
      </c>
      <c r="C301">
        <v>32</v>
      </c>
      <c r="D301" t="str" cm="1">
        <f t="array" ref="D301">_xlfn.IFS(Table2[[#This Row],[Age]]&lt;=11,"Gen A",Table2[[#This Row],[Age]]&lt;=27,"Gen Z",Table2[[#This Row],[Age]]&lt;=43,"Millenials",Table2[[#This Row],[Age]]&lt;=59,"Gen X",Table2[[#This Row],[Age]]&lt;=78,"Baby Boomers",Table2[[#This Row],[Age]]&lt;=96,"Silent",Table2[[#This Row],[Age]]&gt;=97,"Greatest")</f>
        <v>Millenials</v>
      </c>
      <c r="E301" s="1">
        <v>32000</v>
      </c>
      <c r="F301">
        <v>86</v>
      </c>
      <c r="G301" t="str" cm="1">
        <f t="array" ref="G301">_xlfn.IFS(Table2[[#This Row],[Spending Score (1-100)]]&lt;=25,"Low",Table2[[#This Row],[Spending Score (1-100)]]&lt;=50,"Medium",Table2[[#This Row],[Spending Score (1-100)]]&lt;=75,"High",Table2[[#This Row],[Spending Score (1-100)]]&lt;=100,"Very High")</f>
        <v>Very High</v>
      </c>
      <c r="H301" t="s">
        <v>13</v>
      </c>
      <c r="I301">
        <v>5</v>
      </c>
      <c r="J301" t="str">
        <f>CONCATENATE(Table2[[#This Row],[Work Experience]],"years")</f>
        <v>5years</v>
      </c>
      <c r="K301" t="str">
        <f>CONCATENATE(Table2[[#This Row],[Family Size2]],"members")</f>
        <v>2members</v>
      </c>
      <c r="L301" t="str">
        <f>CONCATENATE(Table2[[#This Row],[Family Size2]],"members")</f>
        <v>2members</v>
      </c>
      <c r="M301">
        <v>2</v>
      </c>
    </row>
    <row r="302" spans="1:13">
      <c r="A302">
        <v>301</v>
      </c>
      <c r="B302" t="s">
        <v>8</v>
      </c>
      <c r="C302">
        <v>85</v>
      </c>
      <c r="D302" t="str" cm="1">
        <f t="array" ref="D302">_xlfn.IFS(Table2[[#This Row],[Age]]&lt;=11,"Gen A",Table2[[#This Row],[Age]]&lt;=27,"Gen Z",Table2[[#This Row],[Age]]&lt;=43,"Millenials",Table2[[#This Row],[Age]]&lt;=59,"Gen X",Table2[[#This Row],[Age]]&lt;=78,"Baby Boomers",Table2[[#This Row],[Age]]&lt;=96,"Silent",Table2[[#This Row],[Age]]&gt;=97,"Greatest")</f>
        <v>Silent</v>
      </c>
      <c r="E302" s="1">
        <v>153787</v>
      </c>
      <c r="F302">
        <v>100</v>
      </c>
      <c r="G302" t="str" cm="1">
        <f t="array" ref="G302">_xlfn.IFS(Table2[[#This Row],[Spending Score (1-100)]]&lt;=25,"Low",Table2[[#This Row],[Spending Score (1-100)]]&lt;=50,"Medium",Table2[[#This Row],[Spending Score (1-100)]]&lt;=75,"High",Table2[[#This Row],[Spending Score (1-100)]]&lt;=100,"Very High")</f>
        <v>Very High</v>
      </c>
      <c r="H302" t="s">
        <v>13</v>
      </c>
      <c r="I302">
        <v>3</v>
      </c>
      <c r="J302" t="str">
        <f>CONCATENATE(Table2[[#This Row],[Work Experience]],"years")</f>
        <v>3years</v>
      </c>
      <c r="K302" t="str">
        <f>CONCATENATE(Table2[[#This Row],[Family Size2]],"members")</f>
        <v>3members</v>
      </c>
      <c r="L302" t="str">
        <f>CONCATENATE(Table2[[#This Row],[Family Size2]],"members")</f>
        <v>3members</v>
      </c>
      <c r="M302">
        <v>3</v>
      </c>
    </row>
    <row r="303" spans="1:13">
      <c r="A303">
        <v>302</v>
      </c>
      <c r="B303" t="s">
        <v>8</v>
      </c>
      <c r="C303">
        <v>31</v>
      </c>
      <c r="D303" t="str" cm="1">
        <f t="array" ref="D303">_xlfn.IFS(Table2[[#This Row],[Age]]&lt;=11,"Gen A",Table2[[#This Row],[Age]]&lt;=27,"Gen Z",Table2[[#This Row],[Age]]&lt;=43,"Millenials",Table2[[#This Row],[Age]]&lt;=59,"Gen X",Table2[[#This Row],[Age]]&lt;=78,"Baby Boomers",Table2[[#This Row],[Age]]&lt;=96,"Silent",Table2[[#This Row],[Age]]&gt;=97,"Greatest")</f>
        <v>Millenials</v>
      </c>
      <c r="E303" s="1">
        <v>95851</v>
      </c>
      <c r="F303">
        <v>16</v>
      </c>
      <c r="G303" t="str" cm="1">
        <f t="array" ref="G303">_xlfn.IFS(Table2[[#This Row],[Spending Score (1-100)]]&lt;=25,"Low",Table2[[#This Row],[Spending Score (1-100)]]&lt;=50,"Medium",Table2[[#This Row],[Spending Score (1-100)]]&lt;=75,"High",Table2[[#This Row],[Spending Score (1-100)]]&lt;=100,"Very High")</f>
        <v>Low</v>
      </c>
      <c r="H303" t="s">
        <v>9</v>
      </c>
      <c r="I303">
        <v>5</v>
      </c>
      <c r="J303" t="str">
        <f>CONCATENATE(Table2[[#This Row],[Work Experience]],"years")</f>
        <v>5years</v>
      </c>
      <c r="K303" t="str">
        <f>CONCATENATE(Table2[[#This Row],[Family Size2]],"members")</f>
        <v>2members</v>
      </c>
      <c r="L303" t="str">
        <f>CONCATENATE(Table2[[#This Row],[Family Size2]],"members")</f>
        <v>2members</v>
      </c>
      <c r="M303">
        <v>2</v>
      </c>
    </row>
    <row r="304" spans="1:13">
      <c r="A304">
        <v>303</v>
      </c>
      <c r="B304" t="s">
        <v>11</v>
      </c>
      <c r="C304">
        <v>31</v>
      </c>
      <c r="D304" t="str" cm="1">
        <f t="array" ref="D304">_xlfn.IFS(Table2[[#This Row],[Age]]&lt;=11,"Gen A",Table2[[#This Row],[Age]]&lt;=27,"Gen Z",Table2[[#This Row],[Age]]&lt;=43,"Millenials",Table2[[#This Row],[Age]]&lt;=59,"Gen X",Table2[[#This Row],[Age]]&lt;=78,"Baby Boomers",Table2[[#This Row],[Age]]&lt;=96,"Silent",Table2[[#This Row],[Age]]&gt;=97,"Greatest")</f>
        <v>Millenials</v>
      </c>
      <c r="E304" s="1">
        <v>145015</v>
      </c>
      <c r="F304">
        <v>73</v>
      </c>
      <c r="G304" t="str" cm="1">
        <f t="array" ref="G304">_xlfn.IFS(Table2[[#This Row],[Spending Score (1-100)]]&lt;=25,"Low",Table2[[#This Row],[Spending Score (1-100)]]&lt;=50,"Medium",Table2[[#This Row],[Spending Score (1-100)]]&lt;=75,"High",Table2[[#This Row],[Spending Score (1-100)]]&lt;=100,"Very High")</f>
        <v>High</v>
      </c>
      <c r="H304" t="s">
        <v>9</v>
      </c>
      <c r="I304">
        <v>6</v>
      </c>
      <c r="J304" t="str">
        <f>CONCATENATE(Table2[[#This Row],[Work Experience]],"years")</f>
        <v>6years</v>
      </c>
      <c r="K304" t="str">
        <f>CONCATENATE(Table2[[#This Row],[Family Size2]],"members")</f>
        <v>3members</v>
      </c>
      <c r="L304" t="str">
        <f>CONCATENATE(Table2[[#This Row],[Family Size2]],"members")</f>
        <v>3members</v>
      </c>
      <c r="M304">
        <v>3</v>
      </c>
    </row>
    <row r="305" spans="1:13">
      <c r="A305">
        <v>304</v>
      </c>
      <c r="B305" t="s">
        <v>11</v>
      </c>
      <c r="C305">
        <v>38</v>
      </c>
      <c r="D305" t="str" cm="1">
        <f t="array" ref="D305">_xlfn.IFS(Table2[[#This Row],[Age]]&lt;=11,"Gen A",Table2[[#This Row],[Age]]&lt;=27,"Gen Z",Table2[[#This Row],[Age]]&lt;=43,"Millenials",Table2[[#This Row],[Age]]&lt;=59,"Gen X",Table2[[#This Row],[Age]]&lt;=78,"Baby Boomers",Table2[[#This Row],[Age]]&lt;=96,"Silent",Table2[[#This Row],[Age]]&gt;=97,"Greatest")</f>
        <v>Millenials</v>
      </c>
      <c r="E305" s="1">
        <v>148539</v>
      </c>
      <c r="F305">
        <v>7</v>
      </c>
      <c r="G305" t="str" cm="1">
        <f t="array" ref="G305">_xlfn.IFS(Table2[[#This Row],[Spending Score (1-100)]]&lt;=25,"Low",Table2[[#This Row],[Spending Score (1-100)]]&lt;=50,"Medium",Table2[[#This Row],[Spending Score (1-100)]]&lt;=75,"High",Table2[[#This Row],[Spending Score (1-100)]]&lt;=100,"Very High")</f>
        <v>Low</v>
      </c>
      <c r="H305" t="s">
        <v>9</v>
      </c>
      <c r="I305">
        <v>5</v>
      </c>
      <c r="J305" t="str">
        <f>CONCATENATE(Table2[[#This Row],[Work Experience]],"years")</f>
        <v>5years</v>
      </c>
      <c r="K305" t="str">
        <f>CONCATENATE(Table2[[#This Row],[Family Size2]],"members")</f>
        <v>2members</v>
      </c>
      <c r="L305" t="str">
        <f>CONCATENATE(Table2[[#This Row],[Family Size2]],"members")</f>
        <v>2members</v>
      </c>
      <c r="M305">
        <v>2</v>
      </c>
    </row>
    <row r="306" spans="1:13">
      <c r="A306">
        <v>305</v>
      </c>
      <c r="B306" t="s">
        <v>11</v>
      </c>
      <c r="C306">
        <v>90</v>
      </c>
      <c r="D306" t="str" cm="1">
        <f t="array" ref="D306">_xlfn.IFS(Table2[[#This Row],[Age]]&lt;=11,"Gen A",Table2[[#This Row],[Age]]&lt;=27,"Gen Z",Table2[[#This Row],[Age]]&lt;=43,"Millenials",Table2[[#This Row],[Age]]&lt;=59,"Gen X",Table2[[#This Row],[Age]]&lt;=78,"Baby Boomers",Table2[[#This Row],[Age]]&lt;=96,"Silent",Table2[[#This Row],[Age]]&gt;=97,"Greatest")</f>
        <v>Silent</v>
      </c>
      <c r="E306" s="1">
        <v>117319</v>
      </c>
      <c r="F306">
        <v>21</v>
      </c>
      <c r="G306" t="str" cm="1">
        <f t="array" ref="G306">_xlfn.IFS(Table2[[#This Row],[Spending Score (1-100)]]&lt;=25,"Low",Table2[[#This Row],[Spending Score (1-100)]]&lt;=50,"Medium",Table2[[#This Row],[Spending Score (1-100)]]&lt;=75,"High",Table2[[#This Row],[Spending Score (1-100)]]&lt;=100,"Very High")</f>
        <v>Low</v>
      </c>
      <c r="H306" t="s">
        <v>12</v>
      </c>
      <c r="I306">
        <v>1</v>
      </c>
      <c r="J306" t="str">
        <f>CONCATENATE(Table2[[#This Row],[Work Experience]],"years")</f>
        <v>1years</v>
      </c>
      <c r="K306" t="str">
        <f>CONCATENATE(Table2[[#This Row],[Family Size2]],"members")</f>
        <v>2members</v>
      </c>
      <c r="L306" t="str">
        <f>CONCATENATE(Table2[[#This Row],[Family Size2]],"members")</f>
        <v>2members</v>
      </c>
      <c r="M306">
        <v>2</v>
      </c>
    </row>
    <row r="307" spans="1:13">
      <c r="A307">
        <v>306</v>
      </c>
      <c r="B307" t="s">
        <v>11</v>
      </c>
      <c r="C307">
        <v>65</v>
      </c>
      <c r="D307" t="str" cm="1">
        <f t="array" ref="D307">_xlfn.IFS(Table2[[#This Row],[Age]]&lt;=11,"Gen A",Table2[[#This Row],[Age]]&lt;=27,"Gen Z",Table2[[#This Row],[Age]]&lt;=43,"Millenials",Table2[[#This Row],[Age]]&lt;=59,"Gen X",Table2[[#This Row],[Age]]&lt;=78,"Baby Boomers",Table2[[#This Row],[Age]]&lt;=96,"Silent",Table2[[#This Row],[Age]]&gt;=97,"Greatest")</f>
        <v>Baby Boomers</v>
      </c>
      <c r="E307" s="1">
        <v>180243</v>
      </c>
      <c r="F307">
        <v>26</v>
      </c>
      <c r="G307" t="str" cm="1">
        <f t="array" ref="G307">_xlfn.IFS(Table2[[#This Row],[Spending Score (1-100)]]&lt;=25,"Low",Table2[[#This Row],[Spending Score (1-100)]]&lt;=50,"Medium",Table2[[#This Row],[Spending Score (1-100)]]&lt;=75,"High",Table2[[#This Row],[Spending Score (1-100)]]&lt;=100,"Very High")</f>
        <v>Medium</v>
      </c>
      <c r="H307" t="s">
        <v>18</v>
      </c>
      <c r="I307">
        <v>6</v>
      </c>
      <c r="J307" t="str">
        <f>CONCATENATE(Table2[[#This Row],[Work Experience]],"years")</f>
        <v>6years</v>
      </c>
      <c r="K307" t="str">
        <f>CONCATENATE(Table2[[#This Row],[Family Size2]],"members")</f>
        <v>2members</v>
      </c>
      <c r="L307" t="str">
        <f>CONCATENATE(Table2[[#This Row],[Family Size2]],"members")</f>
        <v>2members</v>
      </c>
      <c r="M307">
        <v>2</v>
      </c>
    </row>
    <row r="308" spans="1:13">
      <c r="A308">
        <v>307</v>
      </c>
      <c r="B308" t="s">
        <v>11</v>
      </c>
      <c r="C308">
        <v>63</v>
      </c>
      <c r="D308" t="str" cm="1">
        <f t="array" ref="D308">_xlfn.IFS(Table2[[#This Row],[Age]]&lt;=11,"Gen A",Table2[[#This Row],[Age]]&lt;=27,"Gen Z",Table2[[#This Row],[Age]]&lt;=43,"Millenials",Table2[[#This Row],[Age]]&lt;=59,"Gen X",Table2[[#This Row],[Age]]&lt;=78,"Baby Boomers",Table2[[#This Row],[Age]]&lt;=96,"Silent",Table2[[#This Row],[Age]]&gt;=97,"Greatest")</f>
        <v>Baby Boomers</v>
      </c>
      <c r="E308" s="1">
        <v>165052</v>
      </c>
      <c r="F308">
        <v>12</v>
      </c>
      <c r="G308" t="str" cm="1">
        <f t="array" ref="G308">_xlfn.IFS(Table2[[#This Row],[Spending Score (1-100)]]&lt;=25,"Low",Table2[[#This Row],[Spending Score (1-100)]]&lt;=50,"Medium",Table2[[#This Row],[Spending Score (1-100)]]&lt;=75,"High",Table2[[#This Row],[Spending Score (1-100)]]&lt;=100,"Very High")</f>
        <v>Low</v>
      </c>
      <c r="H308" t="s">
        <v>14</v>
      </c>
      <c r="I308">
        <v>4</v>
      </c>
      <c r="J308" t="str">
        <f>CONCATENATE(Table2[[#This Row],[Work Experience]],"years")</f>
        <v>4years</v>
      </c>
      <c r="K308" t="str">
        <f>CONCATENATE(Table2[[#This Row],[Family Size2]],"members")</f>
        <v>2members</v>
      </c>
      <c r="L308" t="str">
        <f>CONCATENATE(Table2[[#This Row],[Family Size2]],"members")</f>
        <v>2members</v>
      </c>
      <c r="M308">
        <v>2</v>
      </c>
    </row>
    <row r="309" spans="1:13">
      <c r="A309">
        <v>308</v>
      </c>
      <c r="B309" t="s">
        <v>11</v>
      </c>
      <c r="C309">
        <v>61</v>
      </c>
      <c r="D309" t="str" cm="1">
        <f t="array" ref="D309">_xlfn.IFS(Table2[[#This Row],[Age]]&lt;=11,"Gen A",Table2[[#This Row],[Age]]&lt;=27,"Gen Z",Table2[[#This Row],[Age]]&lt;=43,"Millenials",Table2[[#This Row],[Age]]&lt;=59,"Gen X",Table2[[#This Row],[Age]]&lt;=78,"Baby Boomers",Table2[[#This Row],[Age]]&lt;=96,"Silent",Table2[[#This Row],[Age]]&gt;=97,"Greatest")</f>
        <v>Baby Boomers</v>
      </c>
      <c r="E309" s="1">
        <v>120487</v>
      </c>
      <c r="F309">
        <v>14</v>
      </c>
      <c r="G309" t="str" cm="1">
        <f t="array" ref="G309">_xlfn.IFS(Table2[[#This Row],[Spending Score (1-100)]]&lt;=25,"Low",Table2[[#This Row],[Spending Score (1-100)]]&lt;=50,"Medium",Table2[[#This Row],[Spending Score (1-100)]]&lt;=75,"High",Table2[[#This Row],[Spending Score (1-100)]]&lt;=100,"Very High")</f>
        <v>Low</v>
      </c>
      <c r="H309" t="s">
        <v>16</v>
      </c>
      <c r="I309">
        <v>0</v>
      </c>
      <c r="J309" t="str">
        <f>CONCATENATE(Table2[[#This Row],[Work Experience]],"years")</f>
        <v>0years</v>
      </c>
      <c r="K309" t="str">
        <f>CONCATENATE(Table2[[#This Row],[Family Size2]],"members")</f>
        <v>2members</v>
      </c>
      <c r="L309" t="str">
        <f>CONCATENATE(Table2[[#This Row],[Family Size2]],"members")</f>
        <v>2members</v>
      </c>
      <c r="M309">
        <v>2</v>
      </c>
    </row>
    <row r="310" spans="1:13">
      <c r="A310">
        <v>309</v>
      </c>
      <c r="B310" t="s">
        <v>8</v>
      </c>
      <c r="C310">
        <v>26</v>
      </c>
      <c r="D310" t="str" cm="1">
        <f t="array" ref="D310">_xlfn.IFS(Table2[[#This Row],[Age]]&lt;=11,"Gen A",Table2[[#This Row],[Age]]&lt;=27,"Gen Z",Table2[[#This Row],[Age]]&lt;=43,"Millenials",Table2[[#This Row],[Age]]&lt;=59,"Gen X",Table2[[#This Row],[Age]]&lt;=78,"Baby Boomers",Table2[[#This Row],[Age]]&lt;=96,"Silent",Table2[[#This Row],[Age]]&gt;=97,"Greatest")</f>
        <v>Gen Z</v>
      </c>
      <c r="E310" s="1">
        <v>112766</v>
      </c>
      <c r="F310">
        <v>83</v>
      </c>
      <c r="G310" t="str" cm="1">
        <f t="array" ref="G310">_xlfn.IFS(Table2[[#This Row],[Spending Score (1-100)]]&lt;=25,"Low",Table2[[#This Row],[Spending Score (1-100)]]&lt;=50,"Medium",Table2[[#This Row],[Spending Score (1-100)]]&lt;=75,"High",Table2[[#This Row],[Spending Score (1-100)]]&lt;=100,"Very High")</f>
        <v>Very High</v>
      </c>
      <c r="H310" t="s">
        <v>10</v>
      </c>
      <c r="I310">
        <v>8</v>
      </c>
      <c r="J310" t="str">
        <f>CONCATENATE(Table2[[#This Row],[Work Experience]],"years")</f>
        <v>8years</v>
      </c>
      <c r="K310" t="str">
        <f>CONCATENATE(Table2[[#This Row],[Family Size2]],"members")</f>
        <v>4members</v>
      </c>
      <c r="L310" t="str">
        <f>CONCATENATE(Table2[[#This Row],[Family Size2]],"members")</f>
        <v>4members</v>
      </c>
      <c r="M310">
        <v>4</v>
      </c>
    </row>
    <row r="311" spans="1:13">
      <c r="A311">
        <v>310</v>
      </c>
      <c r="B311" t="s">
        <v>11</v>
      </c>
      <c r="C311">
        <v>17</v>
      </c>
      <c r="D311" t="str" cm="1">
        <f t="array" ref="D311">_xlfn.IFS(Table2[[#This Row],[Age]]&lt;=11,"Gen A",Table2[[#This Row],[Age]]&lt;=27,"Gen Z",Table2[[#This Row],[Age]]&lt;=43,"Millenials",Table2[[#This Row],[Age]]&lt;=59,"Gen X",Table2[[#This Row],[Age]]&lt;=78,"Baby Boomers",Table2[[#This Row],[Age]]&lt;=96,"Silent",Table2[[#This Row],[Age]]&gt;=97,"Greatest")</f>
        <v>Gen Z</v>
      </c>
      <c r="E311" s="1">
        <v>156488</v>
      </c>
      <c r="F311">
        <v>65</v>
      </c>
      <c r="G311" t="str" cm="1">
        <f t="array" ref="G311">_xlfn.IFS(Table2[[#This Row],[Spending Score (1-100)]]&lt;=25,"Low",Table2[[#This Row],[Spending Score (1-100)]]&lt;=50,"Medium",Table2[[#This Row],[Spending Score (1-100)]]&lt;=75,"High",Table2[[#This Row],[Spending Score (1-100)]]&lt;=100,"Very High")</f>
        <v>High</v>
      </c>
      <c r="H311" t="s">
        <v>10</v>
      </c>
      <c r="I311">
        <v>1</v>
      </c>
      <c r="J311" t="str">
        <f>CONCATENATE(Table2[[#This Row],[Work Experience]],"years")</f>
        <v>1years</v>
      </c>
      <c r="K311" t="str">
        <f>CONCATENATE(Table2[[#This Row],[Family Size2]],"members")</f>
        <v>4members</v>
      </c>
      <c r="L311" t="str">
        <f>CONCATENATE(Table2[[#This Row],[Family Size2]],"members")</f>
        <v>4members</v>
      </c>
      <c r="M311">
        <v>4</v>
      </c>
    </row>
    <row r="312" spans="1:13">
      <c r="A312">
        <v>311</v>
      </c>
      <c r="B312" t="s">
        <v>8</v>
      </c>
      <c r="C312">
        <v>56</v>
      </c>
      <c r="D312" t="str" cm="1">
        <f t="array" ref="D312">_xlfn.IFS(Table2[[#This Row],[Age]]&lt;=11,"Gen A",Table2[[#This Row],[Age]]&lt;=27,"Gen Z",Table2[[#This Row],[Age]]&lt;=43,"Millenials",Table2[[#This Row],[Age]]&lt;=59,"Gen X",Table2[[#This Row],[Age]]&lt;=78,"Baby Boomers",Table2[[#This Row],[Age]]&lt;=96,"Silent",Table2[[#This Row],[Age]]&gt;=97,"Greatest")</f>
        <v>Gen X</v>
      </c>
      <c r="E312" s="1">
        <v>97562</v>
      </c>
      <c r="F312">
        <v>15</v>
      </c>
      <c r="G312" t="str" cm="1">
        <f t="array" ref="G312">_xlfn.IFS(Table2[[#This Row],[Spending Score (1-100)]]&lt;=25,"Low",Table2[[#This Row],[Spending Score (1-100)]]&lt;=50,"Medium",Table2[[#This Row],[Spending Score (1-100)]]&lt;=75,"High",Table2[[#This Row],[Spending Score (1-100)]]&lt;=100,"Very High")</f>
        <v>Low</v>
      </c>
      <c r="H312" t="s">
        <v>15</v>
      </c>
      <c r="I312">
        <v>5</v>
      </c>
      <c r="J312" t="str">
        <f>CONCATENATE(Table2[[#This Row],[Work Experience]],"years")</f>
        <v>5years</v>
      </c>
      <c r="K312" t="str">
        <f>CONCATENATE(Table2[[#This Row],[Family Size2]],"members")</f>
        <v>6members</v>
      </c>
      <c r="L312" t="str">
        <f>CONCATENATE(Table2[[#This Row],[Family Size2]],"members")</f>
        <v>6members</v>
      </c>
      <c r="M312">
        <v>6</v>
      </c>
    </row>
    <row r="313" spans="1:13">
      <c r="A313">
        <v>312</v>
      </c>
      <c r="B313" t="s">
        <v>11</v>
      </c>
      <c r="C313">
        <v>12</v>
      </c>
      <c r="D313" t="str" cm="1">
        <f t="array" ref="D313">_xlfn.IFS(Table2[[#This Row],[Age]]&lt;=11,"Gen A",Table2[[#This Row],[Age]]&lt;=27,"Gen Z",Table2[[#This Row],[Age]]&lt;=43,"Millenials",Table2[[#This Row],[Age]]&lt;=59,"Gen X",Table2[[#This Row],[Age]]&lt;=78,"Baby Boomers",Table2[[#This Row],[Age]]&lt;=96,"Silent",Table2[[#This Row],[Age]]&gt;=97,"Greatest")</f>
        <v>Gen Z</v>
      </c>
      <c r="E313" s="1">
        <v>77501</v>
      </c>
      <c r="F313">
        <v>30</v>
      </c>
      <c r="G313" t="str" cm="1">
        <f t="array" ref="G313">_xlfn.IFS(Table2[[#This Row],[Spending Score (1-100)]]&lt;=25,"Low",Table2[[#This Row],[Spending Score (1-100)]]&lt;=50,"Medium",Table2[[#This Row],[Spending Score (1-100)]]&lt;=75,"High",Table2[[#This Row],[Spending Score (1-100)]]&lt;=100,"Very High")</f>
        <v>Medium</v>
      </c>
      <c r="H313" t="s">
        <v>10</v>
      </c>
      <c r="I313">
        <v>5</v>
      </c>
      <c r="J313" t="str">
        <f>CONCATENATE(Table2[[#This Row],[Work Experience]],"years")</f>
        <v>5years</v>
      </c>
      <c r="K313" t="str">
        <f>CONCATENATE(Table2[[#This Row],[Family Size2]],"members")</f>
        <v>4members</v>
      </c>
      <c r="L313" t="str">
        <f>CONCATENATE(Table2[[#This Row],[Family Size2]],"members")</f>
        <v>4members</v>
      </c>
      <c r="M313">
        <v>4</v>
      </c>
    </row>
    <row r="314" spans="1:13">
      <c r="A314">
        <v>313</v>
      </c>
      <c r="B314" t="s">
        <v>11</v>
      </c>
      <c r="C314">
        <v>24</v>
      </c>
      <c r="D314" t="str" cm="1">
        <f t="array" ref="D314">_xlfn.IFS(Table2[[#This Row],[Age]]&lt;=11,"Gen A",Table2[[#This Row],[Age]]&lt;=27,"Gen Z",Table2[[#This Row],[Age]]&lt;=43,"Millenials",Table2[[#This Row],[Age]]&lt;=59,"Gen X",Table2[[#This Row],[Age]]&lt;=78,"Baby Boomers",Table2[[#This Row],[Age]]&lt;=96,"Silent",Table2[[#This Row],[Age]]&gt;=97,"Greatest")</f>
        <v>Gen Z</v>
      </c>
      <c r="E314" s="1">
        <v>118302</v>
      </c>
      <c r="F314">
        <v>100</v>
      </c>
      <c r="G314" t="str" cm="1">
        <f t="array" ref="G314">_xlfn.IFS(Table2[[#This Row],[Spending Score (1-100)]]&lt;=25,"Low",Table2[[#This Row],[Spending Score (1-100)]]&lt;=50,"Medium",Table2[[#This Row],[Spending Score (1-100)]]&lt;=75,"High",Table2[[#This Row],[Spending Score (1-100)]]&lt;=100,"Very High")</f>
        <v>Very High</v>
      </c>
      <c r="H314" t="s">
        <v>12</v>
      </c>
      <c r="I314">
        <v>5</v>
      </c>
      <c r="J314" t="str">
        <f>CONCATENATE(Table2[[#This Row],[Work Experience]],"years")</f>
        <v>5years</v>
      </c>
      <c r="K314" t="str">
        <f>CONCATENATE(Table2[[#This Row],[Family Size2]],"members")</f>
        <v>1members</v>
      </c>
      <c r="L314" t="str">
        <f>CONCATENATE(Table2[[#This Row],[Family Size2]],"members")</f>
        <v>1members</v>
      </c>
      <c r="M314">
        <v>1</v>
      </c>
    </row>
    <row r="315" spans="1:13">
      <c r="A315">
        <v>314</v>
      </c>
      <c r="B315" t="s">
        <v>11</v>
      </c>
      <c r="C315">
        <v>13</v>
      </c>
      <c r="D315" t="str" cm="1">
        <f t="array" ref="D315">_xlfn.IFS(Table2[[#This Row],[Age]]&lt;=11,"Gen A",Table2[[#This Row],[Age]]&lt;=27,"Gen Z",Table2[[#This Row],[Age]]&lt;=43,"Millenials",Table2[[#This Row],[Age]]&lt;=59,"Gen X",Table2[[#This Row],[Age]]&lt;=78,"Baby Boomers",Table2[[#This Row],[Age]]&lt;=96,"Silent",Table2[[#This Row],[Age]]&gt;=97,"Greatest")</f>
        <v>Gen Z</v>
      </c>
      <c r="E315" s="1">
        <v>64277</v>
      </c>
      <c r="F315">
        <v>9</v>
      </c>
      <c r="G315" t="str" cm="1">
        <f t="array" ref="G315">_xlfn.IFS(Table2[[#This Row],[Spending Score (1-100)]]&lt;=25,"Low",Table2[[#This Row],[Spending Score (1-100)]]&lt;=50,"Medium",Table2[[#This Row],[Spending Score (1-100)]]&lt;=75,"High",Table2[[#This Row],[Spending Score (1-100)]]&lt;=100,"Very High")</f>
        <v>Low</v>
      </c>
      <c r="H315" t="s">
        <v>15</v>
      </c>
      <c r="I315">
        <v>9</v>
      </c>
      <c r="J315" t="str">
        <f>CONCATENATE(Table2[[#This Row],[Work Experience]],"years")</f>
        <v>9years</v>
      </c>
      <c r="K315" t="str">
        <f>CONCATENATE(Table2[[#This Row],[Family Size2]],"members")</f>
        <v>4members</v>
      </c>
      <c r="L315" t="str">
        <f>CONCATENATE(Table2[[#This Row],[Family Size2]],"members")</f>
        <v>4members</v>
      </c>
      <c r="M315">
        <v>4</v>
      </c>
    </row>
    <row r="316" spans="1:13">
      <c r="A316">
        <v>315</v>
      </c>
      <c r="B316" t="s">
        <v>8</v>
      </c>
      <c r="C316">
        <v>12</v>
      </c>
      <c r="D316" t="str" cm="1">
        <f t="array" ref="D316">_xlfn.IFS(Table2[[#This Row],[Age]]&lt;=11,"Gen A",Table2[[#This Row],[Age]]&lt;=27,"Gen Z",Table2[[#This Row],[Age]]&lt;=43,"Millenials",Table2[[#This Row],[Age]]&lt;=59,"Gen X",Table2[[#This Row],[Age]]&lt;=78,"Baby Boomers",Table2[[#This Row],[Age]]&lt;=96,"Silent",Table2[[#This Row],[Age]]&gt;=97,"Greatest")</f>
        <v>Gen Z</v>
      </c>
      <c r="E316" s="1">
        <v>53927</v>
      </c>
      <c r="F316">
        <v>77</v>
      </c>
      <c r="G316" t="str" cm="1">
        <f t="array" ref="G316">_xlfn.IFS(Table2[[#This Row],[Spending Score (1-100)]]&lt;=25,"Low",Table2[[#This Row],[Spending Score (1-100)]]&lt;=50,"Medium",Table2[[#This Row],[Spending Score (1-100)]]&lt;=75,"High",Table2[[#This Row],[Spending Score (1-100)]]&lt;=100,"Very High")</f>
        <v>Very High</v>
      </c>
      <c r="H316" t="s">
        <v>16</v>
      </c>
      <c r="I316">
        <v>2</v>
      </c>
      <c r="J316" t="str">
        <f>CONCATENATE(Table2[[#This Row],[Work Experience]],"years")</f>
        <v>2years</v>
      </c>
      <c r="K316" t="str">
        <f>CONCATENATE(Table2[[#This Row],[Family Size2]],"members")</f>
        <v>3members</v>
      </c>
      <c r="L316" t="str">
        <f>CONCATENATE(Table2[[#This Row],[Family Size2]],"members")</f>
        <v>3members</v>
      </c>
      <c r="M316">
        <v>3</v>
      </c>
    </row>
    <row r="317" spans="1:13">
      <c r="A317">
        <v>316</v>
      </c>
      <c r="B317" t="s">
        <v>8</v>
      </c>
      <c r="C317">
        <v>72</v>
      </c>
      <c r="D317" t="str" cm="1">
        <f t="array" ref="D317">_xlfn.IFS(Table2[[#This Row],[Age]]&lt;=11,"Gen A",Table2[[#This Row],[Age]]&lt;=27,"Gen Z",Table2[[#This Row],[Age]]&lt;=43,"Millenials",Table2[[#This Row],[Age]]&lt;=59,"Gen X",Table2[[#This Row],[Age]]&lt;=78,"Baby Boomers",Table2[[#This Row],[Age]]&lt;=96,"Silent",Table2[[#This Row],[Age]]&gt;=97,"Greatest")</f>
        <v>Baby Boomers</v>
      </c>
      <c r="E317" s="1">
        <v>93921</v>
      </c>
      <c r="F317">
        <v>93</v>
      </c>
      <c r="G317" t="str" cm="1">
        <f t="array" ref="G317">_xlfn.IFS(Table2[[#This Row],[Spending Score (1-100)]]&lt;=25,"Low",Table2[[#This Row],[Spending Score (1-100)]]&lt;=50,"Medium",Table2[[#This Row],[Spending Score (1-100)]]&lt;=75,"High",Table2[[#This Row],[Spending Score (1-100)]]&lt;=100,"Very High")</f>
        <v>Very High</v>
      </c>
      <c r="H317" t="s">
        <v>12</v>
      </c>
      <c r="I317">
        <v>9</v>
      </c>
      <c r="J317" t="str">
        <f>CONCATENATE(Table2[[#This Row],[Work Experience]],"years")</f>
        <v>9years</v>
      </c>
      <c r="K317" t="str">
        <f>CONCATENATE(Table2[[#This Row],[Family Size2]],"members")</f>
        <v>2members</v>
      </c>
      <c r="L317" t="str">
        <f>CONCATENATE(Table2[[#This Row],[Family Size2]],"members")</f>
        <v>2members</v>
      </c>
      <c r="M317">
        <v>2</v>
      </c>
    </row>
    <row r="318" spans="1:13">
      <c r="A318">
        <v>317</v>
      </c>
      <c r="B318" t="s">
        <v>11</v>
      </c>
      <c r="C318">
        <v>54</v>
      </c>
      <c r="D318" t="str" cm="1">
        <f t="array" ref="D318">_xlfn.IFS(Table2[[#This Row],[Age]]&lt;=11,"Gen A",Table2[[#This Row],[Age]]&lt;=27,"Gen Z",Table2[[#This Row],[Age]]&lt;=43,"Millenials",Table2[[#This Row],[Age]]&lt;=59,"Gen X",Table2[[#This Row],[Age]]&lt;=78,"Baby Boomers",Table2[[#This Row],[Age]]&lt;=96,"Silent",Table2[[#This Row],[Age]]&gt;=97,"Greatest")</f>
        <v>Gen X</v>
      </c>
      <c r="E318" s="1">
        <v>132046</v>
      </c>
      <c r="F318">
        <v>8</v>
      </c>
      <c r="G318" t="str" cm="1">
        <f t="array" ref="G318">_xlfn.IFS(Table2[[#This Row],[Spending Score (1-100)]]&lt;=25,"Low",Table2[[#This Row],[Spending Score (1-100)]]&lt;=50,"Medium",Table2[[#This Row],[Spending Score (1-100)]]&lt;=75,"High",Table2[[#This Row],[Spending Score (1-100)]]&lt;=100,"Very High")</f>
        <v>Low</v>
      </c>
      <c r="H318" t="s">
        <v>17</v>
      </c>
      <c r="I318">
        <v>4</v>
      </c>
      <c r="J318" t="str">
        <f>CONCATENATE(Table2[[#This Row],[Work Experience]],"years")</f>
        <v>4years</v>
      </c>
      <c r="K318" t="str">
        <f>CONCATENATE(Table2[[#This Row],[Family Size2]],"members")</f>
        <v>4members</v>
      </c>
      <c r="L318" t="str">
        <f>CONCATENATE(Table2[[#This Row],[Family Size2]],"members")</f>
        <v>4members</v>
      </c>
      <c r="M318">
        <v>4</v>
      </c>
    </row>
    <row r="319" spans="1:13">
      <c r="A319">
        <v>318</v>
      </c>
      <c r="B319" t="s">
        <v>8</v>
      </c>
      <c r="C319">
        <v>45</v>
      </c>
      <c r="D319" t="str" cm="1">
        <f t="array" ref="D319">_xlfn.IFS(Table2[[#This Row],[Age]]&lt;=11,"Gen A",Table2[[#This Row],[Age]]&lt;=27,"Gen Z",Table2[[#This Row],[Age]]&lt;=43,"Millenials",Table2[[#This Row],[Age]]&lt;=59,"Gen X",Table2[[#This Row],[Age]]&lt;=78,"Baby Boomers",Table2[[#This Row],[Age]]&lt;=96,"Silent",Table2[[#This Row],[Age]]&gt;=97,"Greatest")</f>
        <v>Gen X</v>
      </c>
      <c r="E319" s="1">
        <v>183217</v>
      </c>
      <c r="F319">
        <v>91</v>
      </c>
      <c r="G319" t="str" cm="1">
        <f t="array" ref="G319">_xlfn.IFS(Table2[[#This Row],[Spending Score (1-100)]]&lt;=25,"Low",Table2[[#This Row],[Spending Score (1-100)]]&lt;=50,"Medium",Table2[[#This Row],[Spending Score (1-100)]]&lt;=75,"High",Table2[[#This Row],[Spending Score (1-100)]]&lt;=100,"Very High")</f>
        <v>Very High</v>
      </c>
      <c r="H319" t="s">
        <v>14</v>
      </c>
      <c r="I319">
        <v>7</v>
      </c>
      <c r="J319" t="str">
        <f>CONCATENATE(Table2[[#This Row],[Work Experience]],"years")</f>
        <v>7years</v>
      </c>
      <c r="K319" t="str">
        <f>CONCATENATE(Table2[[#This Row],[Family Size2]],"members")</f>
        <v>2members</v>
      </c>
      <c r="L319" t="str">
        <f>CONCATENATE(Table2[[#This Row],[Family Size2]],"members")</f>
        <v>2members</v>
      </c>
      <c r="M319">
        <v>2</v>
      </c>
    </row>
    <row r="320" spans="1:13">
      <c r="A320">
        <v>319</v>
      </c>
      <c r="B320" t="s">
        <v>8</v>
      </c>
      <c r="C320">
        <v>66</v>
      </c>
      <c r="D320" t="str" cm="1">
        <f t="array" ref="D320">_xlfn.IFS(Table2[[#This Row],[Age]]&lt;=11,"Gen A",Table2[[#This Row],[Age]]&lt;=27,"Gen Z",Table2[[#This Row],[Age]]&lt;=43,"Millenials",Table2[[#This Row],[Age]]&lt;=59,"Gen X",Table2[[#This Row],[Age]]&lt;=78,"Baby Boomers",Table2[[#This Row],[Age]]&lt;=96,"Silent",Table2[[#This Row],[Age]]&gt;=97,"Greatest")</f>
        <v>Baby Boomers</v>
      </c>
      <c r="E320" s="1">
        <v>182937</v>
      </c>
      <c r="F320">
        <v>44</v>
      </c>
      <c r="G320" t="str" cm="1">
        <f t="array" ref="G320">_xlfn.IFS(Table2[[#This Row],[Spending Score (1-100)]]&lt;=25,"Low",Table2[[#This Row],[Spending Score (1-100)]]&lt;=50,"Medium",Table2[[#This Row],[Spending Score (1-100)]]&lt;=75,"High",Table2[[#This Row],[Spending Score (1-100)]]&lt;=100,"Very High")</f>
        <v>Medium</v>
      </c>
      <c r="H320" t="s">
        <v>18</v>
      </c>
      <c r="I320">
        <v>8</v>
      </c>
      <c r="J320" t="str">
        <f>CONCATENATE(Table2[[#This Row],[Work Experience]],"years")</f>
        <v>8years</v>
      </c>
      <c r="K320" t="str">
        <f>CONCATENATE(Table2[[#This Row],[Family Size2]],"members")</f>
        <v>1members</v>
      </c>
      <c r="L320" t="str">
        <f>CONCATENATE(Table2[[#This Row],[Family Size2]],"members")</f>
        <v>1members</v>
      </c>
      <c r="M320">
        <v>1</v>
      </c>
    </row>
    <row r="321" spans="1:13">
      <c r="A321">
        <v>320</v>
      </c>
      <c r="B321" t="s">
        <v>11</v>
      </c>
      <c r="C321">
        <v>27</v>
      </c>
      <c r="D321" t="str" cm="1">
        <f t="array" ref="D321">_xlfn.IFS(Table2[[#This Row],[Age]]&lt;=11,"Gen A",Table2[[#This Row],[Age]]&lt;=27,"Gen Z",Table2[[#This Row],[Age]]&lt;=43,"Millenials",Table2[[#This Row],[Age]]&lt;=59,"Gen X",Table2[[#This Row],[Age]]&lt;=78,"Baby Boomers",Table2[[#This Row],[Age]]&lt;=96,"Silent",Table2[[#This Row],[Age]]&gt;=97,"Greatest")</f>
        <v>Gen Z</v>
      </c>
      <c r="E321" s="1">
        <v>68272</v>
      </c>
      <c r="F321">
        <v>56</v>
      </c>
      <c r="G321" t="str" cm="1">
        <f t="array" ref="G321">_xlfn.IFS(Table2[[#This Row],[Spending Score (1-100)]]&lt;=25,"Low",Table2[[#This Row],[Spending Score (1-100)]]&lt;=50,"Medium",Table2[[#This Row],[Spending Score (1-100)]]&lt;=75,"High",Table2[[#This Row],[Spending Score (1-100)]]&lt;=100,"Very High")</f>
        <v>High</v>
      </c>
      <c r="H321" t="s">
        <v>9</v>
      </c>
      <c r="I321">
        <v>8</v>
      </c>
      <c r="J321" t="str">
        <f>CONCATENATE(Table2[[#This Row],[Work Experience]],"years")</f>
        <v>8years</v>
      </c>
      <c r="K321" t="str">
        <f>CONCATENATE(Table2[[#This Row],[Family Size2]],"members")</f>
        <v>4members</v>
      </c>
      <c r="L321" t="str">
        <f>CONCATENATE(Table2[[#This Row],[Family Size2]],"members")</f>
        <v>4members</v>
      </c>
      <c r="M321">
        <v>4</v>
      </c>
    </row>
    <row r="322" spans="1:13">
      <c r="A322">
        <v>321</v>
      </c>
      <c r="B322" t="s">
        <v>8</v>
      </c>
      <c r="C322">
        <v>36</v>
      </c>
      <c r="D322" t="str" cm="1">
        <f t="array" ref="D322">_xlfn.IFS(Table2[[#This Row],[Age]]&lt;=11,"Gen A",Table2[[#This Row],[Age]]&lt;=27,"Gen Z",Table2[[#This Row],[Age]]&lt;=43,"Millenials",Table2[[#This Row],[Age]]&lt;=59,"Gen X",Table2[[#This Row],[Age]]&lt;=78,"Baby Boomers",Table2[[#This Row],[Age]]&lt;=96,"Silent",Table2[[#This Row],[Age]]&gt;=97,"Greatest")</f>
        <v>Millenials</v>
      </c>
      <c r="E322" s="1">
        <v>69841</v>
      </c>
      <c r="F322">
        <v>21</v>
      </c>
      <c r="G322" t="str" cm="1">
        <f t="array" ref="G322">_xlfn.IFS(Table2[[#This Row],[Spending Score (1-100)]]&lt;=25,"Low",Table2[[#This Row],[Spending Score (1-100)]]&lt;=50,"Medium",Table2[[#This Row],[Spending Score (1-100)]]&lt;=75,"High",Table2[[#This Row],[Spending Score (1-100)]]&lt;=100,"Very High")</f>
        <v>Low</v>
      </c>
      <c r="H322" t="s">
        <v>10</v>
      </c>
      <c r="I322">
        <v>10</v>
      </c>
      <c r="J322" t="str">
        <f>CONCATENATE(Table2[[#This Row],[Work Experience]],"years")</f>
        <v>10years</v>
      </c>
      <c r="K322" t="str">
        <f>CONCATENATE(Table2[[#This Row],[Family Size2]],"members")</f>
        <v>2members</v>
      </c>
      <c r="L322" t="str">
        <f>CONCATENATE(Table2[[#This Row],[Family Size2]],"members")</f>
        <v>2members</v>
      </c>
      <c r="M322">
        <v>2</v>
      </c>
    </row>
    <row r="323" spans="1:13">
      <c r="A323">
        <v>322</v>
      </c>
      <c r="B323" t="s">
        <v>8</v>
      </c>
      <c r="C323">
        <v>5</v>
      </c>
      <c r="D323" t="str" cm="1">
        <f t="array" ref="D323">_xlfn.IFS(Table2[[#This Row],[Age]]&lt;=11,"Gen A",Table2[[#This Row],[Age]]&lt;=27,"Gen Z",Table2[[#This Row],[Age]]&lt;=43,"Millenials",Table2[[#This Row],[Age]]&lt;=59,"Gen X",Table2[[#This Row],[Age]]&lt;=78,"Baby Boomers",Table2[[#This Row],[Age]]&lt;=96,"Silent",Table2[[#This Row],[Age]]&gt;=97,"Greatest")</f>
        <v>Gen A</v>
      </c>
      <c r="E323" s="1">
        <v>69078</v>
      </c>
      <c r="F323">
        <v>60</v>
      </c>
      <c r="G323" t="str" cm="1">
        <f t="array" ref="G323">_xlfn.IFS(Table2[[#This Row],[Spending Score (1-100)]]&lt;=25,"Low",Table2[[#This Row],[Spending Score (1-100)]]&lt;=50,"Medium",Table2[[#This Row],[Spending Score (1-100)]]&lt;=75,"High",Table2[[#This Row],[Spending Score (1-100)]]&lt;=100,"Very High")</f>
        <v>High</v>
      </c>
      <c r="H323" t="s">
        <v>12</v>
      </c>
      <c r="I323">
        <v>13</v>
      </c>
      <c r="J323" t="str">
        <f>CONCATENATE(Table2[[#This Row],[Work Experience]],"years")</f>
        <v>13years</v>
      </c>
      <c r="K323" t="str">
        <f>CONCATENATE(Table2[[#This Row],[Family Size2]],"members")</f>
        <v>1members</v>
      </c>
      <c r="L323" t="str">
        <f>CONCATENATE(Table2[[#This Row],[Family Size2]],"members")</f>
        <v>1members</v>
      </c>
      <c r="M323">
        <v>1</v>
      </c>
    </row>
    <row r="324" spans="1:13">
      <c r="A324">
        <v>323</v>
      </c>
      <c r="B324" t="s">
        <v>11</v>
      </c>
      <c r="C324">
        <v>89</v>
      </c>
      <c r="D324" t="str" cm="1">
        <f t="array" ref="D324">_xlfn.IFS(Table2[[#This Row],[Age]]&lt;=11,"Gen A",Table2[[#This Row],[Age]]&lt;=27,"Gen Z",Table2[[#This Row],[Age]]&lt;=43,"Millenials",Table2[[#This Row],[Age]]&lt;=59,"Gen X",Table2[[#This Row],[Age]]&lt;=78,"Baby Boomers",Table2[[#This Row],[Age]]&lt;=96,"Silent",Table2[[#This Row],[Age]]&gt;=97,"Greatest")</f>
        <v>Silent</v>
      </c>
      <c r="E324" s="1">
        <v>110667</v>
      </c>
      <c r="F324">
        <v>100</v>
      </c>
      <c r="G324" t="str" cm="1">
        <f t="array" ref="G324">_xlfn.IFS(Table2[[#This Row],[Spending Score (1-100)]]&lt;=25,"Low",Table2[[#This Row],[Spending Score (1-100)]]&lt;=50,"Medium",Table2[[#This Row],[Spending Score (1-100)]]&lt;=75,"High",Table2[[#This Row],[Spending Score (1-100)]]&lt;=100,"Very High")</f>
        <v>Very High</v>
      </c>
      <c r="H324" t="s">
        <v>9</v>
      </c>
      <c r="I324">
        <v>2</v>
      </c>
      <c r="J324" t="str">
        <f>CONCATENATE(Table2[[#This Row],[Work Experience]],"years")</f>
        <v>2years</v>
      </c>
      <c r="K324" t="str">
        <f>CONCATENATE(Table2[[#This Row],[Family Size2]],"members")</f>
        <v>4members</v>
      </c>
      <c r="L324" t="str">
        <f>CONCATENATE(Table2[[#This Row],[Family Size2]],"members")</f>
        <v>4members</v>
      </c>
      <c r="M324">
        <v>4</v>
      </c>
    </row>
    <row r="325" spans="1:13">
      <c r="A325">
        <v>324</v>
      </c>
      <c r="B325" t="s">
        <v>8</v>
      </c>
      <c r="C325">
        <v>13</v>
      </c>
      <c r="D325" t="str" cm="1">
        <f t="array" ref="D325">_xlfn.IFS(Table2[[#This Row],[Age]]&lt;=11,"Gen A",Table2[[#This Row],[Age]]&lt;=27,"Gen Z",Table2[[#This Row],[Age]]&lt;=43,"Millenials",Table2[[#This Row],[Age]]&lt;=59,"Gen X",Table2[[#This Row],[Age]]&lt;=78,"Baby Boomers",Table2[[#This Row],[Age]]&lt;=96,"Silent",Table2[[#This Row],[Age]]&gt;=97,"Greatest")</f>
        <v>Gen Z</v>
      </c>
      <c r="E325" s="1">
        <v>95469</v>
      </c>
      <c r="F325">
        <v>94</v>
      </c>
      <c r="G325" t="str" cm="1">
        <f t="array" ref="G325">_xlfn.IFS(Table2[[#This Row],[Spending Score (1-100)]]&lt;=25,"Low",Table2[[#This Row],[Spending Score (1-100)]]&lt;=50,"Medium",Table2[[#This Row],[Spending Score (1-100)]]&lt;=75,"High",Table2[[#This Row],[Spending Score (1-100)]]&lt;=100,"Very High")</f>
        <v>Very High</v>
      </c>
      <c r="H325" t="s">
        <v>16</v>
      </c>
      <c r="I325">
        <v>6</v>
      </c>
      <c r="J325" t="str">
        <f>CONCATENATE(Table2[[#This Row],[Work Experience]],"years")</f>
        <v>6years</v>
      </c>
      <c r="K325" t="str">
        <f>CONCATENATE(Table2[[#This Row],[Family Size2]],"members")</f>
        <v>1members</v>
      </c>
      <c r="L325" t="str">
        <f>CONCATENATE(Table2[[#This Row],[Family Size2]],"members")</f>
        <v>1members</v>
      </c>
      <c r="M325">
        <v>1</v>
      </c>
    </row>
    <row r="326" spans="1:13">
      <c r="A326">
        <v>325</v>
      </c>
      <c r="B326" t="s">
        <v>11</v>
      </c>
      <c r="C326">
        <v>91</v>
      </c>
      <c r="D326" t="str" cm="1">
        <f t="array" ref="D326">_xlfn.IFS(Table2[[#This Row],[Age]]&lt;=11,"Gen A",Table2[[#This Row],[Age]]&lt;=27,"Gen Z",Table2[[#This Row],[Age]]&lt;=43,"Millenials",Table2[[#This Row],[Age]]&lt;=59,"Gen X",Table2[[#This Row],[Age]]&lt;=78,"Baby Boomers",Table2[[#This Row],[Age]]&lt;=96,"Silent",Table2[[#This Row],[Age]]&gt;=97,"Greatest")</f>
        <v>Silent</v>
      </c>
      <c r="E326" s="1">
        <v>102861</v>
      </c>
      <c r="F326">
        <v>40</v>
      </c>
      <c r="G326" t="str" cm="1">
        <f t="array" ref="G326">_xlfn.IFS(Table2[[#This Row],[Spending Score (1-100)]]&lt;=25,"Low",Table2[[#This Row],[Spending Score (1-100)]]&lt;=50,"Medium",Table2[[#This Row],[Spending Score (1-100)]]&lt;=75,"High",Table2[[#This Row],[Spending Score (1-100)]]&lt;=100,"Very High")</f>
        <v>Medium</v>
      </c>
      <c r="H326" t="s">
        <v>14</v>
      </c>
      <c r="I326">
        <v>4</v>
      </c>
      <c r="J326" t="str">
        <f>CONCATENATE(Table2[[#This Row],[Work Experience]],"years")</f>
        <v>4years</v>
      </c>
      <c r="K326" t="str">
        <f>CONCATENATE(Table2[[#This Row],[Family Size2]],"members")</f>
        <v>1members</v>
      </c>
      <c r="L326" t="str">
        <f>CONCATENATE(Table2[[#This Row],[Family Size2]],"members")</f>
        <v>1members</v>
      </c>
      <c r="M326">
        <v>1</v>
      </c>
    </row>
    <row r="327" spans="1:13">
      <c r="A327">
        <v>326</v>
      </c>
      <c r="B327" t="s">
        <v>8</v>
      </c>
      <c r="C327">
        <v>16</v>
      </c>
      <c r="D327" t="str" cm="1">
        <f t="array" ref="D327">_xlfn.IFS(Table2[[#This Row],[Age]]&lt;=11,"Gen A",Table2[[#This Row],[Age]]&lt;=27,"Gen Z",Table2[[#This Row],[Age]]&lt;=43,"Millenials",Table2[[#This Row],[Age]]&lt;=59,"Gen X",Table2[[#This Row],[Age]]&lt;=78,"Baby Boomers",Table2[[#This Row],[Age]]&lt;=96,"Silent",Table2[[#This Row],[Age]]&gt;=97,"Greatest")</f>
        <v>Gen Z</v>
      </c>
      <c r="E327" s="1">
        <v>133551</v>
      </c>
      <c r="F327">
        <v>7</v>
      </c>
      <c r="G327" t="str" cm="1">
        <f t="array" ref="G327">_xlfn.IFS(Table2[[#This Row],[Spending Score (1-100)]]&lt;=25,"Low",Table2[[#This Row],[Spending Score (1-100)]]&lt;=50,"Medium",Table2[[#This Row],[Spending Score (1-100)]]&lt;=75,"High",Table2[[#This Row],[Spending Score (1-100)]]&lt;=100,"Very High")</f>
        <v>Low</v>
      </c>
      <c r="H327" t="s">
        <v>14</v>
      </c>
      <c r="I327">
        <v>3</v>
      </c>
      <c r="J327" t="str">
        <f>CONCATENATE(Table2[[#This Row],[Work Experience]],"years")</f>
        <v>3years</v>
      </c>
      <c r="K327" t="str">
        <f>CONCATENATE(Table2[[#This Row],[Family Size2]],"members")</f>
        <v>1members</v>
      </c>
      <c r="L327" t="str">
        <f>CONCATENATE(Table2[[#This Row],[Family Size2]],"members")</f>
        <v>1members</v>
      </c>
      <c r="M327">
        <v>1</v>
      </c>
    </row>
    <row r="328" spans="1:13">
      <c r="A328">
        <v>327</v>
      </c>
      <c r="B328" t="s">
        <v>11</v>
      </c>
      <c r="C328">
        <v>63</v>
      </c>
      <c r="D328" t="str" cm="1">
        <f t="array" ref="D328">_xlfn.IFS(Table2[[#This Row],[Age]]&lt;=11,"Gen A",Table2[[#This Row],[Age]]&lt;=27,"Gen Z",Table2[[#This Row],[Age]]&lt;=43,"Millenials",Table2[[#This Row],[Age]]&lt;=59,"Gen X",Table2[[#This Row],[Age]]&lt;=78,"Baby Boomers",Table2[[#This Row],[Age]]&lt;=96,"Silent",Table2[[#This Row],[Age]]&gt;=97,"Greatest")</f>
        <v>Baby Boomers</v>
      </c>
      <c r="E328" s="1">
        <v>64589</v>
      </c>
      <c r="F328">
        <v>90</v>
      </c>
      <c r="G328" t="str" cm="1">
        <f t="array" ref="G328">_xlfn.IFS(Table2[[#This Row],[Spending Score (1-100)]]&lt;=25,"Low",Table2[[#This Row],[Spending Score (1-100)]]&lt;=50,"Medium",Table2[[#This Row],[Spending Score (1-100)]]&lt;=75,"High",Table2[[#This Row],[Spending Score (1-100)]]&lt;=100,"Very High")</f>
        <v>Very High</v>
      </c>
      <c r="H328" t="s">
        <v>10</v>
      </c>
      <c r="I328">
        <v>7</v>
      </c>
      <c r="J328" t="str">
        <f>CONCATENATE(Table2[[#This Row],[Work Experience]],"years")</f>
        <v>7years</v>
      </c>
      <c r="K328" t="str">
        <f>CONCATENATE(Table2[[#This Row],[Family Size2]],"members")</f>
        <v>1members</v>
      </c>
      <c r="L328" t="str">
        <f>CONCATENATE(Table2[[#This Row],[Family Size2]],"members")</f>
        <v>1members</v>
      </c>
      <c r="M328">
        <v>1</v>
      </c>
    </row>
    <row r="329" spans="1:13">
      <c r="A329">
        <v>328</v>
      </c>
      <c r="B329" t="s">
        <v>8</v>
      </c>
      <c r="C329">
        <v>52</v>
      </c>
      <c r="D329" t="str" cm="1">
        <f t="array" ref="D329">_xlfn.IFS(Table2[[#This Row],[Age]]&lt;=11,"Gen A",Table2[[#This Row],[Age]]&lt;=27,"Gen Z",Table2[[#This Row],[Age]]&lt;=43,"Millenials",Table2[[#This Row],[Age]]&lt;=59,"Gen X",Table2[[#This Row],[Age]]&lt;=78,"Baby Boomers",Table2[[#This Row],[Age]]&lt;=96,"Silent",Table2[[#This Row],[Age]]&gt;=97,"Greatest")</f>
        <v>Gen X</v>
      </c>
      <c r="E329" s="1">
        <v>152755</v>
      </c>
      <c r="F329">
        <v>39</v>
      </c>
      <c r="G329" t="str" cm="1">
        <f t="array" ref="G329">_xlfn.IFS(Table2[[#This Row],[Spending Score (1-100)]]&lt;=25,"Low",Table2[[#This Row],[Spending Score (1-100)]]&lt;=50,"Medium",Table2[[#This Row],[Spending Score (1-100)]]&lt;=75,"High",Table2[[#This Row],[Spending Score (1-100)]]&lt;=100,"Very High")</f>
        <v>Medium</v>
      </c>
      <c r="H329" t="s">
        <v>10</v>
      </c>
      <c r="I329">
        <v>4</v>
      </c>
      <c r="J329" t="str">
        <f>CONCATENATE(Table2[[#This Row],[Work Experience]],"years")</f>
        <v>4years</v>
      </c>
      <c r="K329" t="str">
        <f>CONCATENATE(Table2[[#This Row],[Family Size2]],"members")</f>
        <v>2members</v>
      </c>
      <c r="L329" t="str">
        <f>CONCATENATE(Table2[[#This Row],[Family Size2]],"members")</f>
        <v>2members</v>
      </c>
      <c r="M329">
        <v>2</v>
      </c>
    </row>
    <row r="330" spans="1:13">
      <c r="A330">
        <v>329</v>
      </c>
      <c r="B330" t="s">
        <v>11</v>
      </c>
      <c r="C330">
        <v>37</v>
      </c>
      <c r="D330" t="str" cm="1">
        <f t="array" ref="D330">_xlfn.IFS(Table2[[#This Row],[Age]]&lt;=11,"Gen A",Table2[[#This Row],[Age]]&lt;=27,"Gen Z",Table2[[#This Row],[Age]]&lt;=43,"Millenials",Table2[[#This Row],[Age]]&lt;=59,"Gen X",Table2[[#This Row],[Age]]&lt;=78,"Baby Boomers",Table2[[#This Row],[Age]]&lt;=96,"Silent",Table2[[#This Row],[Age]]&gt;=97,"Greatest")</f>
        <v>Millenials</v>
      </c>
      <c r="E330" s="1">
        <v>92313</v>
      </c>
      <c r="F330">
        <v>58</v>
      </c>
      <c r="G330" t="str" cm="1">
        <f t="array" ref="G330">_xlfn.IFS(Table2[[#This Row],[Spending Score (1-100)]]&lt;=25,"Low",Table2[[#This Row],[Spending Score (1-100)]]&lt;=50,"Medium",Table2[[#This Row],[Spending Score (1-100)]]&lt;=75,"High",Table2[[#This Row],[Spending Score (1-100)]]&lt;=100,"Very High")</f>
        <v>High</v>
      </c>
      <c r="H330" t="s">
        <v>9</v>
      </c>
      <c r="I330">
        <v>1</v>
      </c>
      <c r="J330" t="str">
        <f>CONCATENATE(Table2[[#This Row],[Work Experience]],"years")</f>
        <v>1years</v>
      </c>
      <c r="K330" t="str">
        <f>CONCATENATE(Table2[[#This Row],[Family Size2]],"members")</f>
        <v>5members</v>
      </c>
      <c r="L330" t="str">
        <f>CONCATENATE(Table2[[#This Row],[Family Size2]],"members")</f>
        <v>5members</v>
      </c>
      <c r="M330">
        <v>5</v>
      </c>
    </row>
    <row r="331" spans="1:13">
      <c r="A331">
        <v>330</v>
      </c>
      <c r="B331" t="s">
        <v>11</v>
      </c>
      <c r="C331">
        <v>78</v>
      </c>
      <c r="D331" t="str" cm="1">
        <f t="array" ref="D331">_xlfn.IFS(Table2[[#This Row],[Age]]&lt;=11,"Gen A",Table2[[#This Row],[Age]]&lt;=27,"Gen Z",Table2[[#This Row],[Age]]&lt;=43,"Millenials",Table2[[#This Row],[Age]]&lt;=59,"Gen X",Table2[[#This Row],[Age]]&lt;=78,"Baby Boomers",Table2[[#This Row],[Age]]&lt;=96,"Silent",Table2[[#This Row],[Age]]&gt;=97,"Greatest")</f>
        <v>Baby Boomers</v>
      </c>
      <c r="E331" s="1">
        <v>98922</v>
      </c>
      <c r="F331">
        <v>2</v>
      </c>
      <c r="G331" t="str" cm="1">
        <f t="array" ref="G331">_xlfn.IFS(Table2[[#This Row],[Spending Score (1-100)]]&lt;=25,"Low",Table2[[#This Row],[Spending Score (1-100)]]&lt;=50,"Medium",Table2[[#This Row],[Spending Score (1-100)]]&lt;=75,"High",Table2[[#This Row],[Spending Score (1-100)]]&lt;=100,"Very High")</f>
        <v>Low</v>
      </c>
      <c r="H331" t="s">
        <v>14</v>
      </c>
      <c r="I331">
        <v>2</v>
      </c>
      <c r="J331" t="str">
        <f>CONCATENATE(Table2[[#This Row],[Work Experience]],"years")</f>
        <v>2years</v>
      </c>
      <c r="K331" t="str">
        <f>CONCATENATE(Table2[[#This Row],[Family Size2]],"members")</f>
        <v>3members</v>
      </c>
      <c r="L331" t="str">
        <f>CONCATENATE(Table2[[#This Row],[Family Size2]],"members")</f>
        <v>3members</v>
      </c>
      <c r="M331">
        <v>3</v>
      </c>
    </row>
    <row r="332" spans="1:13">
      <c r="A332">
        <v>331</v>
      </c>
      <c r="B332" t="s">
        <v>8</v>
      </c>
      <c r="C332">
        <v>24</v>
      </c>
      <c r="D332" t="str" cm="1">
        <f t="array" ref="D332">_xlfn.IFS(Table2[[#This Row],[Age]]&lt;=11,"Gen A",Table2[[#This Row],[Age]]&lt;=27,"Gen Z",Table2[[#This Row],[Age]]&lt;=43,"Millenials",Table2[[#This Row],[Age]]&lt;=59,"Gen X",Table2[[#This Row],[Age]]&lt;=78,"Baby Boomers",Table2[[#This Row],[Age]]&lt;=96,"Silent",Table2[[#This Row],[Age]]&gt;=97,"Greatest")</f>
        <v>Gen Z</v>
      </c>
      <c r="E332" s="1">
        <v>165846</v>
      </c>
      <c r="F332">
        <v>33</v>
      </c>
      <c r="G332" t="str" cm="1">
        <f t="array" ref="G332">_xlfn.IFS(Table2[[#This Row],[Spending Score (1-100)]]&lt;=25,"Low",Table2[[#This Row],[Spending Score (1-100)]]&lt;=50,"Medium",Table2[[#This Row],[Spending Score (1-100)]]&lt;=75,"High",Table2[[#This Row],[Spending Score (1-100)]]&lt;=100,"Very High")</f>
        <v>Medium</v>
      </c>
      <c r="H332" t="s">
        <v>10</v>
      </c>
      <c r="I332">
        <v>0</v>
      </c>
      <c r="J332" t="str">
        <f>CONCATENATE(Table2[[#This Row],[Work Experience]],"years")</f>
        <v>0years</v>
      </c>
      <c r="K332" t="str">
        <f>CONCATENATE(Table2[[#This Row],[Family Size2]],"members")</f>
        <v>4members</v>
      </c>
      <c r="L332" t="str">
        <f>CONCATENATE(Table2[[#This Row],[Family Size2]],"members")</f>
        <v>4members</v>
      </c>
      <c r="M332">
        <v>4</v>
      </c>
    </row>
    <row r="333" spans="1:13">
      <c r="A333">
        <v>332</v>
      </c>
      <c r="B333" t="s">
        <v>11</v>
      </c>
      <c r="C333">
        <v>4</v>
      </c>
      <c r="D333" t="str" cm="1">
        <f t="array" ref="D333">_xlfn.IFS(Table2[[#This Row],[Age]]&lt;=11,"Gen A",Table2[[#This Row],[Age]]&lt;=27,"Gen Z",Table2[[#This Row],[Age]]&lt;=43,"Millenials",Table2[[#This Row],[Age]]&lt;=59,"Gen X",Table2[[#This Row],[Age]]&lt;=78,"Baby Boomers",Table2[[#This Row],[Age]]&lt;=96,"Silent",Table2[[#This Row],[Age]]&gt;=97,"Greatest")</f>
        <v>Gen A</v>
      </c>
      <c r="E333" s="1">
        <v>93713</v>
      </c>
      <c r="F333">
        <v>62</v>
      </c>
      <c r="G333" t="str" cm="1">
        <f t="array" ref="G333">_xlfn.IFS(Table2[[#This Row],[Spending Score (1-100)]]&lt;=25,"Low",Table2[[#This Row],[Spending Score (1-100)]]&lt;=50,"Medium",Table2[[#This Row],[Spending Score (1-100)]]&lt;=75,"High",Table2[[#This Row],[Spending Score (1-100)]]&lt;=100,"Very High")</f>
        <v>High</v>
      </c>
      <c r="H333" t="s">
        <v>10</v>
      </c>
      <c r="I333">
        <v>3</v>
      </c>
      <c r="J333" t="str">
        <f>CONCATENATE(Table2[[#This Row],[Work Experience]],"years")</f>
        <v>3years</v>
      </c>
      <c r="K333" t="str">
        <f>CONCATENATE(Table2[[#This Row],[Family Size2]],"members")</f>
        <v>4members</v>
      </c>
      <c r="L333" t="str">
        <f>CONCATENATE(Table2[[#This Row],[Family Size2]],"members")</f>
        <v>4members</v>
      </c>
      <c r="M333">
        <v>4</v>
      </c>
    </row>
    <row r="334" spans="1:13">
      <c r="A334">
        <v>333</v>
      </c>
      <c r="B334" t="s">
        <v>8</v>
      </c>
      <c r="C334">
        <v>84</v>
      </c>
      <c r="D334" t="str" cm="1">
        <f t="array" ref="D334">_xlfn.IFS(Table2[[#This Row],[Age]]&lt;=11,"Gen A",Table2[[#This Row],[Age]]&lt;=27,"Gen Z",Table2[[#This Row],[Age]]&lt;=43,"Millenials",Table2[[#This Row],[Age]]&lt;=59,"Gen X",Table2[[#This Row],[Age]]&lt;=78,"Baby Boomers",Table2[[#This Row],[Age]]&lt;=96,"Silent",Table2[[#This Row],[Age]]&gt;=97,"Greatest")</f>
        <v>Silent</v>
      </c>
      <c r="E334" s="1">
        <v>137641</v>
      </c>
      <c r="F334">
        <v>67</v>
      </c>
      <c r="G334" t="str" cm="1">
        <f t="array" ref="G334">_xlfn.IFS(Table2[[#This Row],[Spending Score (1-100)]]&lt;=25,"Low",Table2[[#This Row],[Spending Score (1-100)]]&lt;=50,"Medium",Table2[[#This Row],[Spending Score (1-100)]]&lt;=75,"High",Table2[[#This Row],[Spending Score (1-100)]]&lt;=100,"Very High")</f>
        <v>High</v>
      </c>
      <c r="H334" t="s">
        <v>9</v>
      </c>
      <c r="I334">
        <v>0</v>
      </c>
      <c r="J334" t="str">
        <f>CONCATENATE(Table2[[#This Row],[Work Experience]],"years")</f>
        <v>0years</v>
      </c>
      <c r="K334" t="str">
        <f>CONCATENATE(Table2[[#This Row],[Family Size2]],"members")</f>
        <v>5members</v>
      </c>
      <c r="L334" t="str">
        <f>CONCATENATE(Table2[[#This Row],[Family Size2]],"members")</f>
        <v>5members</v>
      </c>
      <c r="M334">
        <v>5</v>
      </c>
    </row>
    <row r="335" spans="1:13">
      <c r="A335">
        <v>334</v>
      </c>
      <c r="B335" t="s">
        <v>8</v>
      </c>
      <c r="C335">
        <v>0</v>
      </c>
      <c r="D335" t="str" cm="1">
        <f t="array" ref="D335">_xlfn.IFS(Table2[[#This Row],[Age]]&lt;=11,"Gen A",Table2[[#This Row],[Age]]&lt;=27,"Gen Z",Table2[[#This Row],[Age]]&lt;=43,"Millenials",Table2[[#This Row],[Age]]&lt;=59,"Gen X",Table2[[#This Row],[Age]]&lt;=78,"Baby Boomers",Table2[[#This Row],[Age]]&lt;=96,"Silent",Table2[[#This Row],[Age]]&gt;=97,"Greatest")</f>
        <v>Gen A</v>
      </c>
      <c r="E335" s="1">
        <v>173743</v>
      </c>
      <c r="F335">
        <v>96</v>
      </c>
      <c r="G335" t="str" cm="1">
        <f t="array" ref="G335">_xlfn.IFS(Table2[[#This Row],[Spending Score (1-100)]]&lt;=25,"Low",Table2[[#This Row],[Spending Score (1-100)]]&lt;=50,"Medium",Table2[[#This Row],[Spending Score (1-100)]]&lt;=75,"High",Table2[[#This Row],[Spending Score (1-100)]]&lt;=100,"Very High")</f>
        <v>Very High</v>
      </c>
      <c r="H335" t="s">
        <v>14</v>
      </c>
      <c r="I335">
        <v>0</v>
      </c>
      <c r="J335" t="str">
        <f>CONCATENATE(Table2[[#This Row],[Work Experience]],"years")</f>
        <v>0years</v>
      </c>
      <c r="K335" t="str">
        <f>CONCATENATE(Table2[[#This Row],[Family Size2]],"members")</f>
        <v>4members</v>
      </c>
      <c r="L335" t="str">
        <f>CONCATENATE(Table2[[#This Row],[Family Size2]],"members")</f>
        <v>4members</v>
      </c>
      <c r="M335">
        <v>4</v>
      </c>
    </row>
    <row r="336" spans="1:13">
      <c r="A336">
        <v>335</v>
      </c>
      <c r="B336" t="s">
        <v>11</v>
      </c>
      <c r="C336">
        <v>67</v>
      </c>
      <c r="D336" t="str" cm="1">
        <f t="array" ref="D336">_xlfn.IFS(Table2[[#This Row],[Age]]&lt;=11,"Gen A",Table2[[#This Row],[Age]]&lt;=27,"Gen Z",Table2[[#This Row],[Age]]&lt;=43,"Millenials",Table2[[#This Row],[Age]]&lt;=59,"Gen X",Table2[[#This Row],[Age]]&lt;=78,"Baby Boomers",Table2[[#This Row],[Age]]&lt;=96,"Silent",Table2[[#This Row],[Age]]&gt;=97,"Greatest")</f>
        <v>Baby Boomers</v>
      </c>
      <c r="E336" s="1">
        <v>116126</v>
      </c>
      <c r="F336">
        <v>58</v>
      </c>
      <c r="G336" t="str" cm="1">
        <f t="array" ref="G336">_xlfn.IFS(Table2[[#This Row],[Spending Score (1-100)]]&lt;=25,"Low",Table2[[#This Row],[Spending Score (1-100)]]&lt;=50,"Medium",Table2[[#This Row],[Spending Score (1-100)]]&lt;=75,"High",Table2[[#This Row],[Spending Score (1-100)]]&lt;=100,"Very High")</f>
        <v>High</v>
      </c>
      <c r="H336" t="s">
        <v>13</v>
      </c>
      <c r="I336">
        <v>10</v>
      </c>
      <c r="J336" t="str">
        <f>CONCATENATE(Table2[[#This Row],[Work Experience]],"years")</f>
        <v>10years</v>
      </c>
      <c r="K336" t="str">
        <f>CONCATENATE(Table2[[#This Row],[Family Size2]],"members")</f>
        <v>2members</v>
      </c>
      <c r="L336" t="str">
        <f>CONCATENATE(Table2[[#This Row],[Family Size2]],"members")</f>
        <v>2members</v>
      </c>
      <c r="M336">
        <v>2</v>
      </c>
    </row>
    <row r="337" spans="1:13">
      <c r="A337">
        <v>336</v>
      </c>
      <c r="B337" t="s">
        <v>11</v>
      </c>
      <c r="C337">
        <v>32</v>
      </c>
      <c r="D337" t="str" cm="1">
        <f t="array" ref="D337">_xlfn.IFS(Table2[[#This Row],[Age]]&lt;=11,"Gen A",Table2[[#This Row],[Age]]&lt;=27,"Gen Z",Table2[[#This Row],[Age]]&lt;=43,"Millenials",Table2[[#This Row],[Age]]&lt;=59,"Gen X",Table2[[#This Row],[Age]]&lt;=78,"Baby Boomers",Table2[[#This Row],[Age]]&lt;=96,"Silent",Table2[[#This Row],[Age]]&gt;=97,"Greatest")</f>
        <v>Millenials</v>
      </c>
      <c r="E337" s="1">
        <v>112246</v>
      </c>
      <c r="F337">
        <v>30</v>
      </c>
      <c r="G337" t="str" cm="1">
        <f t="array" ref="G337">_xlfn.IFS(Table2[[#This Row],[Spending Score (1-100)]]&lt;=25,"Low",Table2[[#This Row],[Spending Score (1-100)]]&lt;=50,"Medium",Table2[[#This Row],[Spending Score (1-100)]]&lt;=75,"High",Table2[[#This Row],[Spending Score (1-100)]]&lt;=100,"Very High")</f>
        <v>Medium</v>
      </c>
      <c r="H337" t="s">
        <v>9</v>
      </c>
      <c r="I337">
        <v>8</v>
      </c>
      <c r="J337" t="str">
        <f>CONCATENATE(Table2[[#This Row],[Work Experience]],"years")</f>
        <v>8years</v>
      </c>
      <c r="K337" t="str">
        <f>CONCATENATE(Table2[[#This Row],[Family Size2]],"members")</f>
        <v>3members</v>
      </c>
      <c r="L337" t="str">
        <f>CONCATENATE(Table2[[#This Row],[Family Size2]],"members")</f>
        <v>3members</v>
      </c>
      <c r="M337">
        <v>3</v>
      </c>
    </row>
    <row r="338" spans="1:13">
      <c r="A338">
        <v>337</v>
      </c>
      <c r="B338" t="s">
        <v>11</v>
      </c>
      <c r="C338">
        <v>39</v>
      </c>
      <c r="D338" t="str" cm="1">
        <f t="array" ref="D338">_xlfn.IFS(Table2[[#This Row],[Age]]&lt;=11,"Gen A",Table2[[#This Row],[Age]]&lt;=27,"Gen Z",Table2[[#This Row],[Age]]&lt;=43,"Millenials",Table2[[#This Row],[Age]]&lt;=59,"Gen X",Table2[[#This Row],[Age]]&lt;=78,"Baby Boomers",Table2[[#This Row],[Age]]&lt;=96,"Silent",Table2[[#This Row],[Age]]&gt;=97,"Greatest")</f>
        <v>Millenials</v>
      </c>
      <c r="E338" s="1">
        <v>69384</v>
      </c>
      <c r="F338">
        <v>75</v>
      </c>
      <c r="G338" t="str" cm="1">
        <f t="array" ref="G338">_xlfn.IFS(Table2[[#This Row],[Spending Score (1-100)]]&lt;=25,"Low",Table2[[#This Row],[Spending Score (1-100)]]&lt;=50,"Medium",Table2[[#This Row],[Spending Score (1-100)]]&lt;=75,"High",Table2[[#This Row],[Spending Score (1-100)]]&lt;=100,"Very High")</f>
        <v>High</v>
      </c>
      <c r="H338" t="s">
        <v>9</v>
      </c>
      <c r="I338">
        <v>1</v>
      </c>
      <c r="J338" t="str">
        <f>CONCATENATE(Table2[[#This Row],[Work Experience]],"years")</f>
        <v>1years</v>
      </c>
      <c r="K338" t="str">
        <f>CONCATENATE(Table2[[#This Row],[Family Size2]],"members")</f>
        <v>5members</v>
      </c>
      <c r="L338" t="str">
        <f>CONCATENATE(Table2[[#This Row],[Family Size2]],"members")</f>
        <v>5members</v>
      </c>
      <c r="M338">
        <v>5</v>
      </c>
    </row>
    <row r="339" spans="1:13">
      <c r="A339">
        <v>338</v>
      </c>
      <c r="B339" t="s">
        <v>11</v>
      </c>
      <c r="C339">
        <v>68</v>
      </c>
      <c r="D339" t="str" cm="1">
        <f t="array" ref="D339">_xlfn.IFS(Table2[[#This Row],[Age]]&lt;=11,"Gen A",Table2[[#This Row],[Age]]&lt;=27,"Gen Z",Table2[[#This Row],[Age]]&lt;=43,"Millenials",Table2[[#This Row],[Age]]&lt;=59,"Gen X",Table2[[#This Row],[Age]]&lt;=78,"Baby Boomers",Table2[[#This Row],[Age]]&lt;=96,"Silent",Table2[[#This Row],[Age]]&gt;=97,"Greatest")</f>
        <v>Baby Boomers</v>
      </c>
      <c r="E339" s="1">
        <v>76529</v>
      </c>
      <c r="F339">
        <v>62</v>
      </c>
      <c r="G339" t="str" cm="1">
        <f t="array" ref="G339">_xlfn.IFS(Table2[[#This Row],[Spending Score (1-100)]]&lt;=25,"Low",Table2[[#This Row],[Spending Score (1-100)]]&lt;=50,"Medium",Table2[[#This Row],[Spending Score (1-100)]]&lt;=75,"High",Table2[[#This Row],[Spending Score (1-100)]]&lt;=100,"Very High")</f>
        <v>High</v>
      </c>
      <c r="H339" t="s">
        <v>9</v>
      </c>
      <c r="I339">
        <v>0</v>
      </c>
      <c r="J339" t="str">
        <f>CONCATENATE(Table2[[#This Row],[Work Experience]],"years")</f>
        <v>0years</v>
      </c>
      <c r="K339" t="str">
        <f>CONCATENATE(Table2[[#This Row],[Family Size2]],"members")</f>
        <v>2members</v>
      </c>
      <c r="L339" t="str">
        <f>CONCATENATE(Table2[[#This Row],[Family Size2]],"members")</f>
        <v>2members</v>
      </c>
      <c r="M339">
        <v>2</v>
      </c>
    </row>
    <row r="340" spans="1:13">
      <c r="A340">
        <v>339</v>
      </c>
      <c r="B340" t="s">
        <v>11</v>
      </c>
      <c r="C340">
        <v>7</v>
      </c>
      <c r="D340" t="str" cm="1">
        <f t="array" ref="D340">_xlfn.IFS(Table2[[#This Row],[Age]]&lt;=11,"Gen A",Table2[[#This Row],[Age]]&lt;=27,"Gen Z",Table2[[#This Row],[Age]]&lt;=43,"Millenials",Table2[[#This Row],[Age]]&lt;=59,"Gen X",Table2[[#This Row],[Age]]&lt;=78,"Baby Boomers",Table2[[#This Row],[Age]]&lt;=96,"Silent",Table2[[#This Row],[Age]]&gt;=97,"Greatest")</f>
        <v>Gen A</v>
      </c>
      <c r="E340" s="1">
        <v>123804</v>
      </c>
      <c r="F340">
        <v>28</v>
      </c>
      <c r="G340" t="str" cm="1">
        <f t="array" ref="G340">_xlfn.IFS(Table2[[#This Row],[Spending Score (1-100)]]&lt;=25,"Low",Table2[[#This Row],[Spending Score (1-100)]]&lt;=50,"Medium",Table2[[#This Row],[Spending Score (1-100)]]&lt;=75,"High",Table2[[#This Row],[Spending Score (1-100)]]&lt;=100,"Very High")</f>
        <v>Medium</v>
      </c>
      <c r="H340" t="s">
        <v>16</v>
      </c>
      <c r="I340">
        <v>14</v>
      </c>
      <c r="J340" t="str">
        <f>CONCATENATE(Table2[[#This Row],[Work Experience]],"years")</f>
        <v>14years</v>
      </c>
      <c r="K340" t="str">
        <f>CONCATENATE(Table2[[#This Row],[Family Size2]],"members")</f>
        <v>1members</v>
      </c>
      <c r="L340" t="str">
        <f>CONCATENATE(Table2[[#This Row],[Family Size2]],"members")</f>
        <v>1members</v>
      </c>
      <c r="M340">
        <v>1</v>
      </c>
    </row>
    <row r="341" spans="1:13">
      <c r="A341">
        <v>340</v>
      </c>
      <c r="B341" t="s">
        <v>11</v>
      </c>
      <c r="C341">
        <v>76</v>
      </c>
      <c r="D341" t="str" cm="1">
        <f t="array" ref="D341">_xlfn.IFS(Table2[[#This Row],[Age]]&lt;=11,"Gen A",Table2[[#This Row],[Age]]&lt;=27,"Gen Z",Table2[[#This Row],[Age]]&lt;=43,"Millenials",Table2[[#This Row],[Age]]&lt;=59,"Gen X",Table2[[#This Row],[Age]]&lt;=78,"Baby Boomers",Table2[[#This Row],[Age]]&lt;=96,"Silent",Table2[[#This Row],[Age]]&gt;=97,"Greatest")</f>
        <v>Baby Boomers</v>
      </c>
      <c r="E341" s="1">
        <v>68292</v>
      </c>
      <c r="F341">
        <v>55</v>
      </c>
      <c r="G341" t="str" cm="1">
        <f t="array" ref="G341">_xlfn.IFS(Table2[[#This Row],[Spending Score (1-100)]]&lt;=25,"Low",Table2[[#This Row],[Spending Score (1-100)]]&lt;=50,"Medium",Table2[[#This Row],[Spending Score (1-100)]]&lt;=75,"High",Table2[[#This Row],[Spending Score (1-100)]]&lt;=100,"Very High")</f>
        <v>High</v>
      </c>
      <c r="H341" t="s">
        <v>14</v>
      </c>
      <c r="I341">
        <v>8</v>
      </c>
      <c r="J341" t="str">
        <f>CONCATENATE(Table2[[#This Row],[Work Experience]],"years")</f>
        <v>8years</v>
      </c>
      <c r="K341" t="str">
        <f>CONCATENATE(Table2[[#This Row],[Family Size2]],"members")</f>
        <v>2members</v>
      </c>
      <c r="L341" t="str">
        <f>CONCATENATE(Table2[[#This Row],[Family Size2]],"members")</f>
        <v>2members</v>
      </c>
      <c r="M341">
        <v>2</v>
      </c>
    </row>
    <row r="342" spans="1:13">
      <c r="A342">
        <v>341</v>
      </c>
      <c r="B342" t="s">
        <v>11</v>
      </c>
      <c r="C342">
        <v>84</v>
      </c>
      <c r="D342" t="str" cm="1">
        <f t="array" ref="D342">_xlfn.IFS(Table2[[#This Row],[Age]]&lt;=11,"Gen A",Table2[[#This Row],[Age]]&lt;=27,"Gen Z",Table2[[#This Row],[Age]]&lt;=43,"Millenials",Table2[[#This Row],[Age]]&lt;=59,"Gen X",Table2[[#This Row],[Age]]&lt;=78,"Baby Boomers",Table2[[#This Row],[Age]]&lt;=96,"Silent",Table2[[#This Row],[Age]]&gt;=97,"Greatest")</f>
        <v>Silent</v>
      </c>
      <c r="E342" s="1">
        <v>173185</v>
      </c>
      <c r="F342">
        <v>99</v>
      </c>
      <c r="G342" t="str" cm="1">
        <f t="array" ref="G342">_xlfn.IFS(Table2[[#This Row],[Spending Score (1-100)]]&lt;=25,"Low",Table2[[#This Row],[Spending Score (1-100)]]&lt;=50,"Medium",Table2[[#This Row],[Spending Score (1-100)]]&lt;=75,"High",Table2[[#This Row],[Spending Score (1-100)]]&lt;=100,"Very High")</f>
        <v>Very High</v>
      </c>
      <c r="H342" t="s">
        <v>14</v>
      </c>
      <c r="I342">
        <v>3</v>
      </c>
      <c r="J342" t="str">
        <f>CONCATENATE(Table2[[#This Row],[Work Experience]],"years")</f>
        <v>3years</v>
      </c>
      <c r="K342" t="str">
        <f>CONCATENATE(Table2[[#This Row],[Family Size2]],"members")</f>
        <v>1members</v>
      </c>
      <c r="L342" t="str">
        <f>CONCATENATE(Table2[[#This Row],[Family Size2]],"members")</f>
        <v>1members</v>
      </c>
      <c r="M342">
        <v>1</v>
      </c>
    </row>
    <row r="343" spans="1:13">
      <c r="A343">
        <v>342</v>
      </c>
      <c r="B343" t="s">
        <v>8</v>
      </c>
      <c r="C343">
        <v>75</v>
      </c>
      <c r="D343" t="str" cm="1">
        <f t="array" ref="D343">_xlfn.IFS(Table2[[#This Row],[Age]]&lt;=11,"Gen A",Table2[[#This Row],[Age]]&lt;=27,"Gen Z",Table2[[#This Row],[Age]]&lt;=43,"Millenials",Table2[[#This Row],[Age]]&lt;=59,"Gen X",Table2[[#This Row],[Age]]&lt;=78,"Baby Boomers",Table2[[#This Row],[Age]]&lt;=96,"Silent",Table2[[#This Row],[Age]]&gt;=97,"Greatest")</f>
        <v>Baby Boomers</v>
      </c>
      <c r="E343" s="1">
        <v>142034</v>
      </c>
      <c r="F343">
        <v>82</v>
      </c>
      <c r="G343" t="str" cm="1">
        <f t="array" ref="G343">_xlfn.IFS(Table2[[#This Row],[Spending Score (1-100)]]&lt;=25,"Low",Table2[[#This Row],[Spending Score (1-100)]]&lt;=50,"Medium",Table2[[#This Row],[Spending Score (1-100)]]&lt;=75,"High",Table2[[#This Row],[Spending Score (1-100)]]&lt;=100,"Very High")</f>
        <v>Very High</v>
      </c>
      <c r="H343" t="s">
        <v>13</v>
      </c>
      <c r="I343">
        <v>1</v>
      </c>
      <c r="J343" t="str">
        <f>CONCATENATE(Table2[[#This Row],[Work Experience]],"years")</f>
        <v>1years</v>
      </c>
      <c r="K343" t="str">
        <f>CONCATENATE(Table2[[#This Row],[Family Size2]],"members")</f>
        <v>4members</v>
      </c>
      <c r="L343" t="str">
        <f>CONCATENATE(Table2[[#This Row],[Family Size2]],"members")</f>
        <v>4members</v>
      </c>
      <c r="M343">
        <v>4</v>
      </c>
    </row>
    <row r="344" spans="1:13">
      <c r="A344">
        <v>343</v>
      </c>
      <c r="B344" t="s">
        <v>8</v>
      </c>
      <c r="C344">
        <v>22</v>
      </c>
      <c r="D344" t="str" cm="1">
        <f t="array" ref="D344">_xlfn.IFS(Table2[[#This Row],[Age]]&lt;=11,"Gen A",Table2[[#This Row],[Age]]&lt;=27,"Gen Z",Table2[[#This Row],[Age]]&lt;=43,"Millenials",Table2[[#This Row],[Age]]&lt;=59,"Gen X",Table2[[#This Row],[Age]]&lt;=78,"Baby Boomers",Table2[[#This Row],[Age]]&lt;=96,"Silent",Table2[[#This Row],[Age]]&gt;=97,"Greatest")</f>
        <v>Gen Z</v>
      </c>
      <c r="E344" s="1">
        <v>107941</v>
      </c>
      <c r="F344">
        <v>61</v>
      </c>
      <c r="G344" t="str" cm="1">
        <f t="array" ref="G344">_xlfn.IFS(Table2[[#This Row],[Spending Score (1-100)]]&lt;=25,"Low",Table2[[#This Row],[Spending Score (1-100)]]&lt;=50,"Medium",Table2[[#This Row],[Spending Score (1-100)]]&lt;=75,"High",Table2[[#This Row],[Spending Score (1-100)]]&lt;=100,"Very High")</f>
        <v>High</v>
      </c>
      <c r="H344" t="s">
        <v>14</v>
      </c>
      <c r="I344">
        <v>0</v>
      </c>
      <c r="J344" t="str">
        <f>CONCATENATE(Table2[[#This Row],[Work Experience]],"years")</f>
        <v>0years</v>
      </c>
      <c r="K344" t="str">
        <f>CONCATENATE(Table2[[#This Row],[Family Size2]],"members")</f>
        <v>1members</v>
      </c>
      <c r="L344" t="str">
        <f>CONCATENATE(Table2[[#This Row],[Family Size2]],"members")</f>
        <v>1members</v>
      </c>
      <c r="M344">
        <v>1</v>
      </c>
    </row>
    <row r="345" spans="1:13">
      <c r="A345">
        <v>344</v>
      </c>
      <c r="B345" t="s">
        <v>11</v>
      </c>
      <c r="C345">
        <v>90</v>
      </c>
      <c r="D345" t="str" cm="1">
        <f t="array" ref="D345">_xlfn.IFS(Table2[[#This Row],[Age]]&lt;=11,"Gen A",Table2[[#This Row],[Age]]&lt;=27,"Gen Z",Table2[[#This Row],[Age]]&lt;=43,"Millenials",Table2[[#This Row],[Age]]&lt;=59,"Gen X",Table2[[#This Row],[Age]]&lt;=78,"Baby Boomers",Table2[[#This Row],[Age]]&lt;=96,"Silent",Table2[[#This Row],[Age]]&gt;=97,"Greatest")</f>
        <v>Silent</v>
      </c>
      <c r="E345" s="1">
        <v>149840</v>
      </c>
      <c r="F345">
        <v>61</v>
      </c>
      <c r="G345" t="str" cm="1">
        <f t="array" ref="G345">_xlfn.IFS(Table2[[#This Row],[Spending Score (1-100)]]&lt;=25,"Low",Table2[[#This Row],[Spending Score (1-100)]]&lt;=50,"Medium",Table2[[#This Row],[Spending Score (1-100)]]&lt;=75,"High",Table2[[#This Row],[Spending Score (1-100)]]&lt;=100,"Very High")</f>
        <v>High</v>
      </c>
      <c r="H345" t="s">
        <v>10</v>
      </c>
      <c r="I345">
        <v>1</v>
      </c>
      <c r="J345" t="str">
        <f>CONCATENATE(Table2[[#This Row],[Work Experience]],"years")</f>
        <v>1years</v>
      </c>
      <c r="K345" t="str">
        <f>CONCATENATE(Table2[[#This Row],[Family Size2]],"members")</f>
        <v>1members</v>
      </c>
      <c r="L345" t="str">
        <f>CONCATENATE(Table2[[#This Row],[Family Size2]],"members")</f>
        <v>1members</v>
      </c>
      <c r="M345">
        <v>1</v>
      </c>
    </row>
    <row r="346" spans="1:13">
      <c r="A346">
        <v>345</v>
      </c>
      <c r="B346" t="s">
        <v>11</v>
      </c>
      <c r="C346">
        <v>4</v>
      </c>
      <c r="D346" t="str" cm="1">
        <f t="array" ref="D346">_xlfn.IFS(Table2[[#This Row],[Age]]&lt;=11,"Gen A",Table2[[#This Row],[Age]]&lt;=27,"Gen Z",Table2[[#This Row],[Age]]&lt;=43,"Millenials",Table2[[#This Row],[Age]]&lt;=59,"Gen X",Table2[[#This Row],[Age]]&lt;=78,"Baby Boomers",Table2[[#This Row],[Age]]&lt;=96,"Silent",Table2[[#This Row],[Age]]&gt;=97,"Greatest")</f>
        <v>Gen A</v>
      </c>
      <c r="E346" s="1">
        <v>148431</v>
      </c>
      <c r="F346">
        <v>99</v>
      </c>
      <c r="G346" t="str" cm="1">
        <f t="array" ref="G346">_xlfn.IFS(Table2[[#This Row],[Spending Score (1-100)]]&lt;=25,"Low",Table2[[#This Row],[Spending Score (1-100)]]&lt;=50,"Medium",Table2[[#This Row],[Spending Score (1-100)]]&lt;=75,"High",Table2[[#This Row],[Spending Score (1-100)]]&lt;=100,"Very High")</f>
        <v>Very High</v>
      </c>
      <c r="H346" t="s">
        <v>9</v>
      </c>
      <c r="I346">
        <v>1</v>
      </c>
      <c r="J346" t="str">
        <f>CONCATENATE(Table2[[#This Row],[Work Experience]],"years")</f>
        <v>1years</v>
      </c>
      <c r="K346" t="str">
        <f>CONCATENATE(Table2[[#This Row],[Family Size2]],"members")</f>
        <v>8members</v>
      </c>
      <c r="L346" t="str">
        <f>CONCATENATE(Table2[[#This Row],[Family Size2]],"members")</f>
        <v>8members</v>
      </c>
      <c r="M346">
        <v>8</v>
      </c>
    </row>
    <row r="347" spans="1:13">
      <c r="A347">
        <v>346</v>
      </c>
      <c r="B347" t="s">
        <v>11</v>
      </c>
      <c r="C347">
        <v>78</v>
      </c>
      <c r="D347" t="str" cm="1">
        <f t="array" ref="D347">_xlfn.IFS(Table2[[#This Row],[Age]]&lt;=11,"Gen A",Table2[[#This Row],[Age]]&lt;=27,"Gen Z",Table2[[#This Row],[Age]]&lt;=43,"Millenials",Table2[[#This Row],[Age]]&lt;=59,"Gen X",Table2[[#This Row],[Age]]&lt;=78,"Baby Boomers",Table2[[#This Row],[Age]]&lt;=96,"Silent",Table2[[#This Row],[Age]]&gt;=97,"Greatest")</f>
        <v>Baby Boomers</v>
      </c>
      <c r="E347" s="1">
        <v>126599</v>
      </c>
      <c r="F347">
        <v>84</v>
      </c>
      <c r="G347" t="str" cm="1">
        <f t="array" ref="G347">_xlfn.IFS(Table2[[#This Row],[Spending Score (1-100)]]&lt;=25,"Low",Table2[[#This Row],[Spending Score (1-100)]]&lt;=50,"Medium",Table2[[#This Row],[Spending Score (1-100)]]&lt;=75,"High",Table2[[#This Row],[Spending Score (1-100)]]&lt;=100,"Very High")</f>
        <v>Very High</v>
      </c>
      <c r="H347" t="s">
        <v>12</v>
      </c>
      <c r="I347">
        <v>0</v>
      </c>
      <c r="J347" t="str">
        <f>CONCATENATE(Table2[[#This Row],[Work Experience]],"years")</f>
        <v>0years</v>
      </c>
      <c r="K347" t="str">
        <f>CONCATENATE(Table2[[#This Row],[Family Size2]],"members")</f>
        <v>3members</v>
      </c>
      <c r="L347" t="str">
        <f>CONCATENATE(Table2[[#This Row],[Family Size2]],"members")</f>
        <v>3members</v>
      </c>
      <c r="M347">
        <v>3</v>
      </c>
    </row>
    <row r="348" spans="1:13">
      <c r="A348">
        <v>347</v>
      </c>
      <c r="B348" t="s">
        <v>11</v>
      </c>
      <c r="C348">
        <v>58</v>
      </c>
      <c r="D348" t="str" cm="1">
        <f t="array" ref="D348">_xlfn.IFS(Table2[[#This Row],[Age]]&lt;=11,"Gen A",Table2[[#This Row],[Age]]&lt;=27,"Gen Z",Table2[[#This Row],[Age]]&lt;=43,"Millenials",Table2[[#This Row],[Age]]&lt;=59,"Gen X",Table2[[#This Row],[Age]]&lt;=78,"Baby Boomers",Table2[[#This Row],[Age]]&lt;=96,"Silent",Table2[[#This Row],[Age]]&gt;=97,"Greatest")</f>
        <v>Gen X</v>
      </c>
      <c r="E348" s="1">
        <v>57180</v>
      </c>
      <c r="F348">
        <v>22</v>
      </c>
      <c r="G348" t="str" cm="1">
        <f t="array" ref="G348">_xlfn.IFS(Table2[[#This Row],[Spending Score (1-100)]]&lt;=25,"Low",Table2[[#This Row],[Spending Score (1-100)]]&lt;=50,"Medium",Table2[[#This Row],[Spending Score (1-100)]]&lt;=75,"High",Table2[[#This Row],[Spending Score (1-100)]]&lt;=100,"Very High")</f>
        <v>Low</v>
      </c>
      <c r="H348" t="s">
        <v>9</v>
      </c>
      <c r="I348">
        <v>9</v>
      </c>
      <c r="J348" t="str">
        <f>CONCATENATE(Table2[[#This Row],[Work Experience]],"years")</f>
        <v>9years</v>
      </c>
      <c r="K348" t="str">
        <f>CONCATENATE(Table2[[#This Row],[Family Size2]],"members")</f>
        <v>1members</v>
      </c>
      <c r="L348" t="str">
        <f>CONCATENATE(Table2[[#This Row],[Family Size2]],"members")</f>
        <v>1members</v>
      </c>
      <c r="M348">
        <v>1</v>
      </c>
    </row>
    <row r="349" spans="1:13">
      <c r="A349">
        <v>348</v>
      </c>
      <c r="B349" t="s">
        <v>11</v>
      </c>
      <c r="C349">
        <v>99</v>
      </c>
      <c r="D349" t="str" cm="1">
        <f t="array" ref="D349">_xlfn.IFS(Table2[[#This Row],[Age]]&lt;=11,"Gen A",Table2[[#This Row],[Age]]&lt;=27,"Gen Z",Table2[[#This Row],[Age]]&lt;=43,"Millenials",Table2[[#This Row],[Age]]&lt;=59,"Gen X",Table2[[#This Row],[Age]]&lt;=78,"Baby Boomers",Table2[[#This Row],[Age]]&lt;=96,"Silent",Table2[[#This Row],[Age]]&gt;=97,"Greatest")</f>
        <v>Greatest</v>
      </c>
      <c r="E349" s="1">
        <v>184426</v>
      </c>
      <c r="F349">
        <v>41</v>
      </c>
      <c r="G349" t="str" cm="1">
        <f t="array" ref="G349">_xlfn.IFS(Table2[[#This Row],[Spending Score (1-100)]]&lt;=25,"Low",Table2[[#This Row],[Spending Score (1-100)]]&lt;=50,"Medium",Table2[[#This Row],[Spending Score (1-100)]]&lt;=75,"High",Table2[[#This Row],[Spending Score (1-100)]]&lt;=100,"Very High")</f>
        <v>Medium</v>
      </c>
      <c r="H349" t="s">
        <v>14</v>
      </c>
      <c r="I349">
        <v>9</v>
      </c>
      <c r="J349" t="str">
        <f>CONCATENATE(Table2[[#This Row],[Work Experience]],"years")</f>
        <v>9years</v>
      </c>
      <c r="K349" t="str">
        <f>CONCATENATE(Table2[[#This Row],[Family Size2]],"members")</f>
        <v>1members</v>
      </c>
      <c r="L349" t="str">
        <f>CONCATENATE(Table2[[#This Row],[Family Size2]],"members")</f>
        <v>1members</v>
      </c>
      <c r="M349">
        <v>1</v>
      </c>
    </row>
    <row r="350" spans="1:13">
      <c r="A350">
        <v>349</v>
      </c>
      <c r="B350" t="s">
        <v>11</v>
      </c>
      <c r="C350">
        <v>24</v>
      </c>
      <c r="D350" t="str" cm="1">
        <f t="array" ref="D350">_xlfn.IFS(Table2[[#This Row],[Age]]&lt;=11,"Gen A",Table2[[#This Row],[Age]]&lt;=27,"Gen Z",Table2[[#This Row],[Age]]&lt;=43,"Millenials",Table2[[#This Row],[Age]]&lt;=59,"Gen X",Table2[[#This Row],[Age]]&lt;=78,"Baby Boomers",Table2[[#This Row],[Age]]&lt;=96,"Silent",Table2[[#This Row],[Age]]&gt;=97,"Greatest")</f>
        <v>Gen Z</v>
      </c>
      <c r="E350" s="1">
        <v>151085</v>
      </c>
      <c r="F350">
        <v>39</v>
      </c>
      <c r="G350" t="str" cm="1">
        <f t="array" ref="G350">_xlfn.IFS(Table2[[#This Row],[Spending Score (1-100)]]&lt;=25,"Low",Table2[[#This Row],[Spending Score (1-100)]]&lt;=50,"Medium",Table2[[#This Row],[Spending Score (1-100)]]&lt;=75,"High",Table2[[#This Row],[Spending Score (1-100)]]&lt;=100,"Very High")</f>
        <v>Medium</v>
      </c>
      <c r="H350" t="s">
        <v>18</v>
      </c>
      <c r="I350">
        <v>2</v>
      </c>
      <c r="J350" t="str">
        <f>CONCATENATE(Table2[[#This Row],[Work Experience]],"years")</f>
        <v>2years</v>
      </c>
      <c r="K350" t="str">
        <f>CONCATENATE(Table2[[#This Row],[Family Size2]],"members")</f>
        <v>5members</v>
      </c>
      <c r="L350" t="str">
        <f>CONCATENATE(Table2[[#This Row],[Family Size2]],"members")</f>
        <v>5members</v>
      </c>
      <c r="M350">
        <v>5</v>
      </c>
    </row>
    <row r="351" spans="1:13">
      <c r="A351">
        <v>350</v>
      </c>
      <c r="B351" t="s">
        <v>11</v>
      </c>
      <c r="C351">
        <v>88</v>
      </c>
      <c r="D351" t="str" cm="1">
        <f t="array" ref="D351">_xlfn.IFS(Table2[[#This Row],[Age]]&lt;=11,"Gen A",Table2[[#This Row],[Age]]&lt;=27,"Gen Z",Table2[[#This Row],[Age]]&lt;=43,"Millenials",Table2[[#This Row],[Age]]&lt;=59,"Gen X",Table2[[#This Row],[Age]]&lt;=78,"Baby Boomers",Table2[[#This Row],[Age]]&lt;=96,"Silent",Table2[[#This Row],[Age]]&gt;=97,"Greatest")</f>
        <v>Silent</v>
      </c>
      <c r="E351" s="1">
        <v>166107</v>
      </c>
      <c r="F351">
        <v>98</v>
      </c>
      <c r="G351" t="str" cm="1">
        <f t="array" ref="G351">_xlfn.IFS(Table2[[#This Row],[Spending Score (1-100)]]&lt;=25,"Low",Table2[[#This Row],[Spending Score (1-100)]]&lt;=50,"Medium",Table2[[#This Row],[Spending Score (1-100)]]&lt;=75,"High",Table2[[#This Row],[Spending Score (1-100)]]&lt;=100,"Very High")</f>
        <v>Very High</v>
      </c>
      <c r="H351" t="s">
        <v>14</v>
      </c>
      <c r="I351">
        <v>13</v>
      </c>
      <c r="J351" t="str">
        <f>CONCATENATE(Table2[[#This Row],[Work Experience]],"years")</f>
        <v>13years</v>
      </c>
      <c r="K351" t="str">
        <f>CONCATENATE(Table2[[#This Row],[Family Size2]],"members")</f>
        <v>4members</v>
      </c>
      <c r="L351" t="str">
        <f>CONCATENATE(Table2[[#This Row],[Family Size2]],"members")</f>
        <v>4members</v>
      </c>
      <c r="M351">
        <v>4</v>
      </c>
    </row>
    <row r="352" spans="1:13">
      <c r="A352">
        <v>351</v>
      </c>
      <c r="B352" t="s">
        <v>11</v>
      </c>
      <c r="C352">
        <v>92</v>
      </c>
      <c r="D352" t="str" cm="1">
        <f t="array" ref="D352">_xlfn.IFS(Table2[[#This Row],[Age]]&lt;=11,"Gen A",Table2[[#This Row],[Age]]&lt;=27,"Gen Z",Table2[[#This Row],[Age]]&lt;=43,"Millenials",Table2[[#This Row],[Age]]&lt;=59,"Gen X",Table2[[#This Row],[Age]]&lt;=78,"Baby Boomers",Table2[[#This Row],[Age]]&lt;=96,"Silent",Table2[[#This Row],[Age]]&gt;=97,"Greatest")</f>
        <v>Silent</v>
      </c>
      <c r="E352" s="1">
        <v>67850</v>
      </c>
      <c r="F352">
        <v>91</v>
      </c>
      <c r="G352" t="str" cm="1">
        <f t="array" ref="G352">_xlfn.IFS(Table2[[#This Row],[Spending Score (1-100)]]&lt;=25,"Low",Table2[[#This Row],[Spending Score (1-100)]]&lt;=50,"Medium",Table2[[#This Row],[Spending Score (1-100)]]&lt;=75,"High",Table2[[#This Row],[Spending Score (1-100)]]&lt;=100,"Very High")</f>
        <v>Very High</v>
      </c>
      <c r="H352" t="s">
        <v>14</v>
      </c>
      <c r="I352">
        <v>9</v>
      </c>
      <c r="J352" t="str">
        <f>CONCATENATE(Table2[[#This Row],[Work Experience]],"years")</f>
        <v>9years</v>
      </c>
      <c r="K352" t="str">
        <f>CONCATENATE(Table2[[#This Row],[Family Size2]],"members")</f>
        <v>4members</v>
      </c>
      <c r="L352" t="str">
        <f>CONCATENATE(Table2[[#This Row],[Family Size2]],"members")</f>
        <v>4members</v>
      </c>
      <c r="M352">
        <v>4</v>
      </c>
    </row>
    <row r="353" spans="1:13">
      <c r="A353">
        <v>352</v>
      </c>
      <c r="B353" t="s">
        <v>8</v>
      </c>
      <c r="C353">
        <v>99</v>
      </c>
      <c r="D353" t="str" cm="1">
        <f t="array" ref="D353">_xlfn.IFS(Table2[[#This Row],[Age]]&lt;=11,"Gen A",Table2[[#This Row],[Age]]&lt;=27,"Gen Z",Table2[[#This Row],[Age]]&lt;=43,"Millenials",Table2[[#This Row],[Age]]&lt;=59,"Gen X",Table2[[#This Row],[Age]]&lt;=78,"Baby Boomers",Table2[[#This Row],[Age]]&lt;=96,"Silent",Table2[[#This Row],[Age]]&gt;=97,"Greatest")</f>
        <v>Greatest</v>
      </c>
      <c r="E353" s="1">
        <v>173394</v>
      </c>
      <c r="F353">
        <v>4</v>
      </c>
      <c r="G353" t="str" cm="1">
        <f t="array" ref="G353">_xlfn.IFS(Table2[[#This Row],[Spending Score (1-100)]]&lt;=25,"Low",Table2[[#This Row],[Spending Score (1-100)]]&lt;=50,"Medium",Table2[[#This Row],[Spending Score (1-100)]]&lt;=75,"High",Table2[[#This Row],[Spending Score (1-100)]]&lt;=100,"Very High")</f>
        <v>Low</v>
      </c>
      <c r="H353" t="s">
        <v>10</v>
      </c>
      <c r="I353">
        <v>13</v>
      </c>
      <c r="J353" t="str">
        <f>CONCATENATE(Table2[[#This Row],[Work Experience]],"years")</f>
        <v>13years</v>
      </c>
      <c r="K353" t="str">
        <f>CONCATENATE(Table2[[#This Row],[Family Size2]],"members")</f>
        <v>1members</v>
      </c>
      <c r="L353" t="str">
        <f>CONCATENATE(Table2[[#This Row],[Family Size2]],"members")</f>
        <v>1members</v>
      </c>
      <c r="M353">
        <v>1</v>
      </c>
    </row>
    <row r="354" spans="1:13">
      <c r="A354">
        <v>353</v>
      </c>
      <c r="B354" t="s">
        <v>11</v>
      </c>
      <c r="C354">
        <v>51</v>
      </c>
      <c r="D354" t="str" cm="1">
        <f t="array" ref="D354">_xlfn.IFS(Table2[[#This Row],[Age]]&lt;=11,"Gen A",Table2[[#This Row],[Age]]&lt;=27,"Gen Z",Table2[[#This Row],[Age]]&lt;=43,"Millenials",Table2[[#This Row],[Age]]&lt;=59,"Gen X",Table2[[#This Row],[Age]]&lt;=78,"Baby Boomers",Table2[[#This Row],[Age]]&lt;=96,"Silent",Table2[[#This Row],[Age]]&gt;=97,"Greatest")</f>
        <v>Gen X</v>
      </c>
      <c r="E354" s="1">
        <v>72303</v>
      </c>
      <c r="F354">
        <v>98</v>
      </c>
      <c r="G354" t="str" cm="1">
        <f t="array" ref="G354">_xlfn.IFS(Table2[[#This Row],[Spending Score (1-100)]]&lt;=25,"Low",Table2[[#This Row],[Spending Score (1-100)]]&lt;=50,"Medium",Table2[[#This Row],[Spending Score (1-100)]]&lt;=75,"High",Table2[[#This Row],[Spending Score (1-100)]]&lt;=100,"Very High")</f>
        <v>Very High</v>
      </c>
      <c r="H354" t="s">
        <v>12</v>
      </c>
      <c r="I354">
        <v>7</v>
      </c>
      <c r="J354" t="str">
        <f>CONCATENATE(Table2[[#This Row],[Work Experience]],"years")</f>
        <v>7years</v>
      </c>
      <c r="K354" t="str">
        <f>CONCATENATE(Table2[[#This Row],[Family Size2]],"members")</f>
        <v>1members</v>
      </c>
      <c r="L354" t="str">
        <f>CONCATENATE(Table2[[#This Row],[Family Size2]],"members")</f>
        <v>1members</v>
      </c>
      <c r="M354">
        <v>1</v>
      </c>
    </row>
    <row r="355" spans="1:13">
      <c r="A355">
        <v>354</v>
      </c>
      <c r="B355" t="s">
        <v>8</v>
      </c>
      <c r="C355">
        <v>23</v>
      </c>
      <c r="D355" t="str" cm="1">
        <f t="array" ref="D355">_xlfn.IFS(Table2[[#This Row],[Age]]&lt;=11,"Gen A",Table2[[#This Row],[Age]]&lt;=27,"Gen Z",Table2[[#This Row],[Age]]&lt;=43,"Millenials",Table2[[#This Row],[Age]]&lt;=59,"Gen X",Table2[[#This Row],[Age]]&lt;=78,"Baby Boomers",Table2[[#This Row],[Age]]&lt;=96,"Silent",Table2[[#This Row],[Age]]&gt;=97,"Greatest")</f>
        <v>Gen Z</v>
      </c>
      <c r="E355" s="1">
        <v>181760</v>
      </c>
      <c r="F355">
        <v>35</v>
      </c>
      <c r="G355" t="str" cm="1">
        <f t="array" ref="G355">_xlfn.IFS(Table2[[#This Row],[Spending Score (1-100)]]&lt;=25,"Low",Table2[[#This Row],[Spending Score (1-100)]]&lt;=50,"Medium",Table2[[#This Row],[Spending Score (1-100)]]&lt;=75,"High",Table2[[#This Row],[Spending Score (1-100)]]&lt;=100,"Very High")</f>
        <v>Medium</v>
      </c>
      <c r="H355" t="s">
        <v>9</v>
      </c>
      <c r="I355">
        <v>14</v>
      </c>
      <c r="J355" t="str">
        <f>CONCATENATE(Table2[[#This Row],[Work Experience]],"years")</f>
        <v>14years</v>
      </c>
      <c r="K355" t="str">
        <f>CONCATENATE(Table2[[#This Row],[Family Size2]],"members")</f>
        <v>3members</v>
      </c>
      <c r="L355" t="str">
        <f>CONCATENATE(Table2[[#This Row],[Family Size2]],"members")</f>
        <v>3members</v>
      </c>
      <c r="M355">
        <v>3</v>
      </c>
    </row>
    <row r="356" spans="1:13">
      <c r="A356">
        <v>355</v>
      </c>
      <c r="B356" t="s">
        <v>11</v>
      </c>
      <c r="C356">
        <v>13</v>
      </c>
      <c r="D356" t="str" cm="1">
        <f t="array" ref="D356">_xlfn.IFS(Table2[[#This Row],[Age]]&lt;=11,"Gen A",Table2[[#This Row],[Age]]&lt;=27,"Gen Z",Table2[[#This Row],[Age]]&lt;=43,"Millenials",Table2[[#This Row],[Age]]&lt;=59,"Gen X",Table2[[#This Row],[Age]]&lt;=78,"Baby Boomers",Table2[[#This Row],[Age]]&lt;=96,"Silent",Table2[[#This Row],[Age]]&gt;=97,"Greatest")</f>
        <v>Gen Z</v>
      </c>
      <c r="E356" s="1">
        <v>146858</v>
      </c>
      <c r="F356">
        <v>75</v>
      </c>
      <c r="G356" t="str" cm="1">
        <f t="array" ref="G356">_xlfn.IFS(Table2[[#This Row],[Spending Score (1-100)]]&lt;=25,"Low",Table2[[#This Row],[Spending Score (1-100)]]&lt;=50,"Medium",Table2[[#This Row],[Spending Score (1-100)]]&lt;=75,"High",Table2[[#This Row],[Spending Score (1-100)]]&lt;=100,"Very High")</f>
        <v>High</v>
      </c>
      <c r="H356" t="s">
        <v>16</v>
      </c>
      <c r="I356">
        <v>9</v>
      </c>
      <c r="J356" t="str">
        <f>CONCATENATE(Table2[[#This Row],[Work Experience]],"years")</f>
        <v>9years</v>
      </c>
      <c r="K356" t="str">
        <f>CONCATENATE(Table2[[#This Row],[Family Size2]],"members")</f>
        <v>1members</v>
      </c>
      <c r="L356" t="str">
        <f>CONCATENATE(Table2[[#This Row],[Family Size2]],"members")</f>
        <v>1members</v>
      </c>
      <c r="M356">
        <v>1</v>
      </c>
    </row>
    <row r="357" spans="1:13">
      <c r="A357">
        <v>356</v>
      </c>
      <c r="B357" t="s">
        <v>8</v>
      </c>
      <c r="C357">
        <v>22</v>
      </c>
      <c r="D357" t="str" cm="1">
        <f t="array" ref="D357">_xlfn.IFS(Table2[[#This Row],[Age]]&lt;=11,"Gen A",Table2[[#This Row],[Age]]&lt;=27,"Gen Z",Table2[[#This Row],[Age]]&lt;=43,"Millenials",Table2[[#This Row],[Age]]&lt;=59,"Gen X",Table2[[#This Row],[Age]]&lt;=78,"Baby Boomers",Table2[[#This Row],[Age]]&lt;=96,"Silent",Table2[[#This Row],[Age]]&gt;=97,"Greatest")</f>
        <v>Gen Z</v>
      </c>
      <c r="E357" s="1">
        <v>172923</v>
      </c>
      <c r="F357">
        <v>20</v>
      </c>
      <c r="G357" t="str" cm="1">
        <f t="array" ref="G357">_xlfn.IFS(Table2[[#This Row],[Spending Score (1-100)]]&lt;=25,"Low",Table2[[#This Row],[Spending Score (1-100)]]&lt;=50,"Medium",Table2[[#This Row],[Spending Score (1-100)]]&lt;=75,"High",Table2[[#This Row],[Spending Score (1-100)]]&lt;=100,"Very High")</f>
        <v>Low</v>
      </c>
      <c r="H357" t="s">
        <v>10</v>
      </c>
      <c r="I357">
        <v>6</v>
      </c>
      <c r="J357" t="str">
        <f>CONCATENATE(Table2[[#This Row],[Work Experience]],"years")</f>
        <v>6years</v>
      </c>
      <c r="K357" t="str">
        <f>CONCATENATE(Table2[[#This Row],[Family Size2]],"members")</f>
        <v>1members</v>
      </c>
      <c r="L357" t="str">
        <f>CONCATENATE(Table2[[#This Row],[Family Size2]],"members")</f>
        <v>1members</v>
      </c>
      <c r="M357">
        <v>1</v>
      </c>
    </row>
    <row r="358" spans="1:13">
      <c r="A358">
        <v>357</v>
      </c>
      <c r="B358" t="s">
        <v>11</v>
      </c>
      <c r="C358">
        <v>89</v>
      </c>
      <c r="D358" t="str" cm="1">
        <f t="array" ref="D358">_xlfn.IFS(Table2[[#This Row],[Age]]&lt;=11,"Gen A",Table2[[#This Row],[Age]]&lt;=27,"Gen Z",Table2[[#This Row],[Age]]&lt;=43,"Millenials",Table2[[#This Row],[Age]]&lt;=59,"Gen X",Table2[[#This Row],[Age]]&lt;=78,"Baby Boomers",Table2[[#This Row],[Age]]&lt;=96,"Silent",Table2[[#This Row],[Age]]&gt;=97,"Greatest")</f>
        <v>Silent</v>
      </c>
      <c r="E358" s="1">
        <v>115811</v>
      </c>
      <c r="F358">
        <v>87</v>
      </c>
      <c r="G358" t="str" cm="1">
        <f t="array" ref="G358">_xlfn.IFS(Table2[[#This Row],[Spending Score (1-100)]]&lt;=25,"Low",Table2[[#This Row],[Spending Score (1-100)]]&lt;=50,"Medium",Table2[[#This Row],[Spending Score (1-100)]]&lt;=75,"High",Table2[[#This Row],[Spending Score (1-100)]]&lt;=100,"Very High")</f>
        <v>Very High</v>
      </c>
      <c r="H358" t="s">
        <v>17</v>
      </c>
      <c r="I358">
        <v>11</v>
      </c>
      <c r="J358" t="str">
        <f>CONCATENATE(Table2[[#This Row],[Work Experience]],"years")</f>
        <v>11years</v>
      </c>
      <c r="K358" t="str">
        <f>CONCATENATE(Table2[[#This Row],[Family Size2]],"members")</f>
        <v>4members</v>
      </c>
      <c r="L358" t="str">
        <f>CONCATENATE(Table2[[#This Row],[Family Size2]],"members")</f>
        <v>4members</v>
      </c>
      <c r="M358">
        <v>4</v>
      </c>
    </row>
    <row r="359" spans="1:13">
      <c r="A359">
        <v>358</v>
      </c>
      <c r="B359" t="s">
        <v>8</v>
      </c>
      <c r="C359">
        <v>20</v>
      </c>
      <c r="D359" t="str" cm="1">
        <f t="array" ref="D359">_xlfn.IFS(Table2[[#This Row],[Age]]&lt;=11,"Gen A",Table2[[#This Row],[Age]]&lt;=27,"Gen Z",Table2[[#This Row],[Age]]&lt;=43,"Millenials",Table2[[#This Row],[Age]]&lt;=59,"Gen X",Table2[[#This Row],[Age]]&lt;=78,"Baby Boomers",Table2[[#This Row],[Age]]&lt;=96,"Silent",Table2[[#This Row],[Age]]&gt;=97,"Greatest")</f>
        <v>Gen Z</v>
      </c>
      <c r="E359" s="1">
        <v>184324</v>
      </c>
      <c r="F359">
        <v>51</v>
      </c>
      <c r="G359" t="str" cm="1">
        <f t="array" ref="G359">_xlfn.IFS(Table2[[#This Row],[Spending Score (1-100)]]&lt;=25,"Low",Table2[[#This Row],[Spending Score (1-100)]]&lt;=50,"Medium",Table2[[#This Row],[Spending Score (1-100)]]&lt;=75,"High",Table2[[#This Row],[Spending Score (1-100)]]&lt;=100,"Very High")</f>
        <v>High</v>
      </c>
      <c r="H359" t="s">
        <v>18</v>
      </c>
      <c r="I359">
        <v>13</v>
      </c>
      <c r="J359" t="str">
        <f>CONCATENATE(Table2[[#This Row],[Work Experience]],"years")</f>
        <v>13years</v>
      </c>
      <c r="K359" t="str">
        <f>CONCATENATE(Table2[[#This Row],[Family Size2]],"members")</f>
        <v>5members</v>
      </c>
      <c r="L359" t="str">
        <f>CONCATENATE(Table2[[#This Row],[Family Size2]],"members")</f>
        <v>5members</v>
      </c>
      <c r="M359">
        <v>5</v>
      </c>
    </row>
    <row r="360" spans="1:13">
      <c r="A360">
        <v>359</v>
      </c>
      <c r="B360" t="s">
        <v>11</v>
      </c>
      <c r="C360">
        <v>72</v>
      </c>
      <c r="D360" t="str" cm="1">
        <f t="array" ref="D360">_xlfn.IFS(Table2[[#This Row],[Age]]&lt;=11,"Gen A",Table2[[#This Row],[Age]]&lt;=27,"Gen Z",Table2[[#This Row],[Age]]&lt;=43,"Millenials",Table2[[#This Row],[Age]]&lt;=59,"Gen X",Table2[[#This Row],[Age]]&lt;=78,"Baby Boomers",Table2[[#This Row],[Age]]&lt;=96,"Silent",Table2[[#This Row],[Age]]&gt;=97,"Greatest")</f>
        <v>Baby Boomers</v>
      </c>
      <c r="E360" s="1">
        <v>67353</v>
      </c>
      <c r="F360">
        <v>19</v>
      </c>
      <c r="G360" t="str" cm="1">
        <f t="array" ref="G360">_xlfn.IFS(Table2[[#This Row],[Spending Score (1-100)]]&lt;=25,"Low",Table2[[#This Row],[Spending Score (1-100)]]&lt;=50,"Medium",Table2[[#This Row],[Spending Score (1-100)]]&lt;=75,"High",Table2[[#This Row],[Spending Score (1-100)]]&lt;=100,"Very High")</f>
        <v>Low</v>
      </c>
      <c r="H360" t="s">
        <v>12</v>
      </c>
      <c r="I360">
        <v>9</v>
      </c>
      <c r="J360" t="str">
        <f>CONCATENATE(Table2[[#This Row],[Work Experience]],"years")</f>
        <v>9years</v>
      </c>
      <c r="K360" t="str">
        <f>CONCATENATE(Table2[[#This Row],[Family Size2]],"members")</f>
        <v>3members</v>
      </c>
      <c r="L360" t="str">
        <f>CONCATENATE(Table2[[#This Row],[Family Size2]],"members")</f>
        <v>3members</v>
      </c>
      <c r="M360">
        <v>3</v>
      </c>
    </row>
    <row r="361" spans="1:13">
      <c r="A361">
        <v>360</v>
      </c>
      <c r="B361" t="s">
        <v>8</v>
      </c>
      <c r="C361">
        <v>17</v>
      </c>
      <c r="D361" t="str" cm="1">
        <f t="array" ref="D361">_xlfn.IFS(Table2[[#This Row],[Age]]&lt;=11,"Gen A",Table2[[#This Row],[Age]]&lt;=27,"Gen Z",Table2[[#This Row],[Age]]&lt;=43,"Millenials",Table2[[#This Row],[Age]]&lt;=59,"Gen X",Table2[[#This Row],[Age]]&lt;=78,"Baby Boomers",Table2[[#This Row],[Age]]&lt;=96,"Silent",Table2[[#This Row],[Age]]&gt;=97,"Greatest")</f>
        <v>Gen Z</v>
      </c>
      <c r="E361" s="1">
        <v>165999</v>
      </c>
      <c r="F361">
        <v>71</v>
      </c>
      <c r="G361" t="str" cm="1">
        <f t="array" ref="G361">_xlfn.IFS(Table2[[#This Row],[Spending Score (1-100)]]&lt;=25,"Low",Table2[[#This Row],[Spending Score (1-100)]]&lt;=50,"Medium",Table2[[#This Row],[Spending Score (1-100)]]&lt;=75,"High",Table2[[#This Row],[Spending Score (1-100)]]&lt;=100,"Very High")</f>
        <v>High</v>
      </c>
      <c r="H361" t="s">
        <v>9</v>
      </c>
      <c r="I361">
        <v>9</v>
      </c>
      <c r="J361" t="str">
        <f>CONCATENATE(Table2[[#This Row],[Work Experience]],"years")</f>
        <v>9years</v>
      </c>
      <c r="K361" t="str">
        <f>CONCATENATE(Table2[[#This Row],[Family Size2]],"members")</f>
        <v>3members</v>
      </c>
      <c r="L361" t="str">
        <f>CONCATENATE(Table2[[#This Row],[Family Size2]],"members")</f>
        <v>3members</v>
      </c>
      <c r="M361">
        <v>3</v>
      </c>
    </row>
    <row r="362" spans="1:13">
      <c r="A362">
        <v>361</v>
      </c>
      <c r="B362" t="s">
        <v>8</v>
      </c>
      <c r="C362">
        <v>90</v>
      </c>
      <c r="D362" t="str" cm="1">
        <f t="array" ref="D362">_xlfn.IFS(Table2[[#This Row],[Age]]&lt;=11,"Gen A",Table2[[#This Row],[Age]]&lt;=27,"Gen Z",Table2[[#This Row],[Age]]&lt;=43,"Millenials",Table2[[#This Row],[Age]]&lt;=59,"Gen X",Table2[[#This Row],[Age]]&lt;=78,"Baby Boomers",Table2[[#This Row],[Age]]&lt;=96,"Silent",Table2[[#This Row],[Age]]&gt;=97,"Greatest")</f>
        <v>Silent</v>
      </c>
      <c r="E362" s="1">
        <v>164914</v>
      </c>
      <c r="F362">
        <v>18</v>
      </c>
      <c r="G362" t="str" cm="1">
        <f t="array" ref="G362">_xlfn.IFS(Table2[[#This Row],[Spending Score (1-100)]]&lt;=25,"Low",Table2[[#This Row],[Spending Score (1-100)]]&lt;=50,"Medium",Table2[[#This Row],[Spending Score (1-100)]]&lt;=75,"High",Table2[[#This Row],[Spending Score (1-100)]]&lt;=100,"Very High")</f>
        <v>Low</v>
      </c>
      <c r="H362" t="s">
        <v>14</v>
      </c>
      <c r="I362">
        <v>8</v>
      </c>
      <c r="J362" t="str">
        <f>CONCATENATE(Table2[[#This Row],[Work Experience]],"years")</f>
        <v>8years</v>
      </c>
      <c r="K362" t="str">
        <f>CONCATENATE(Table2[[#This Row],[Family Size2]],"members")</f>
        <v>3members</v>
      </c>
      <c r="L362" t="str">
        <f>CONCATENATE(Table2[[#This Row],[Family Size2]],"members")</f>
        <v>3members</v>
      </c>
      <c r="M362">
        <v>3</v>
      </c>
    </row>
    <row r="363" spans="1:13">
      <c r="A363">
        <v>362</v>
      </c>
      <c r="B363" t="s">
        <v>8</v>
      </c>
      <c r="C363">
        <v>99</v>
      </c>
      <c r="D363" t="str" cm="1">
        <f t="array" ref="D363">_xlfn.IFS(Table2[[#This Row],[Age]]&lt;=11,"Gen A",Table2[[#This Row],[Age]]&lt;=27,"Gen Z",Table2[[#This Row],[Age]]&lt;=43,"Millenials",Table2[[#This Row],[Age]]&lt;=59,"Gen X",Table2[[#This Row],[Age]]&lt;=78,"Baby Boomers",Table2[[#This Row],[Age]]&lt;=96,"Silent",Table2[[#This Row],[Age]]&gt;=97,"Greatest")</f>
        <v>Greatest</v>
      </c>
      <c r="E363" s="1">
        <v>63364</v>
      </c>
      <c r="F363">
        <v>61</v>
      </c>
      <c r="G363" t="str" cm="1">
        <f t="array" ref="G363">_xlfn.IFS(Table2[[#This Row],[Spending Score (1-100)]]&lt;=25,"Low",Table2[[#This Row],[Spending Score (1-100)]]&lt;=50,"Medium",Table2[[#This Row],[Spending Score (1-100)]]&lt;=75,"High",Table2[[#This Row],[Spending Score (1-100)]]&lt;=100,"Very High")</f>
        <v>High</v>
      </c>
      <c r="H363" t="s">
        <v>13</v>
      </c>
      <c r="I363">
        <v>1</v>
      </c>
      <c r="J363" t="str">
        <f>CONCATENATE(Table2[[#This Row],[Work Experience]],"years")</f>
        <v>1years</v>
      </c>
      <c r="K363" t="str">
        <f>CONCATENATE(Table2[[#This Row],[Family Size2]],"members")</f>
        <v>2members</v>
      </c>
      <c r="L363" t="str">
        <f>CONCATENATE(Table2[[#This Row],[Family Size2]],"members")</f>
        <v>2members</v>
      </c>
      <c r="M363">
        <v>2</v>
      </c>
    </row>
    <row r="364" spans="1:13">
      <c r="A364">
        <v>363</v>
      </c>
      <c r="B364" t="s">
        <v>11</v>
      </c>
      <c r="C364">
        <v>39</v>
      </c>
      <c r="D364" t="str" cm="1">
        <f t="array" ref="D364">_xlfn.IFS(Table2[[#This Row],[Age]]&lt;=11,"Gen A",Table2[[#This Row],[Age]]&lt;=27,"Gen Z",Table2[[#This Row],[Age]]&lt;=43,"Millenials",Table2[[#This Row],[Age]]&lt;=59,"Gen X",Table2[[#This Row],[Age]]&lt;=78,"Baby Boomers",Table2[[#This Row],[Age]]&lt;=96,"Silent",Table2[[#This Row],[Age]]&gt;=97,"Greatest")</f>
        <v>Millenials</v>
      </c>
      <c r="E364" s="1">
        <v>182352</v>
      </c>
      <c r="F364">
        <v>73</v>
      </c>
      <c r="G364" t="str" cm="1">
        <f t="array" ref="G364">_xlfn.IFS(Table2[[#This Row],[Spending Score (1-100)]]&lt;=25,"Low",Table2[[#This Row],[Spending Score (1-100)]]&lt;=50,"Medium",Table2[[#This Row],[Spending Score (1-100)]]&lt;=75,"High",Table2[[#This Row],[Spending Score (1-100)]]&lt;=100,"Very High")</f>
        <v>High</v>
      </c>
      <c r="H364" t="s">
        <v>10</v>
      </c>
      <c r="I364">
        <v>4</v>
      </c>
      <c r="J364" t="str">
        <f>CONCATENATE(Table2[[#This Row],[Work Experience]],"years")</f>
        <v>4years</v>
      </c>
      <c r="K364" t="str">
        <f>CONCATENATE(Table2[[#This Row],[Family Size2]],"members")</f>
        <v>3members</v>
      </c>
      <c r="L364" t="str">
        <f>CONCATENATE(Table2[[#This Row],[Family Size2]],"members")</f>
        <v>3members</v>
      </c>
      <c r="M364">
        <v>3</v>
      </c>
    </row>
    <row r="365" spans="1:13">
      <c r="A365">
        <v>364</v>
      </c>
      <c r="B365" t="s">
        <v>11</v>
      </c>
      <c r="C365">
        <v>37</v>
      </c>
      <c r="D365" t="str" cm="1">
        <f t="array" ref="D365">_xlfn.IFS(Table2[[#This Row],[Age]]&lt;=11,"Gen A",Table2[[#This Row],[Age]]&lt;=27,"Gen Z",Table2[[#This Row],[Age]]&lt;=43,"Millenials",Table2[[#This Row],[Age]]&lt;=59,"Gen X",Table2[[#This Row],[Age]]&lt;=78,"Baby Boomers",Table2[[#This Row],[Age]]&lt;=96,"Silent",Table2[[#This Row],[Age]]&gt;=97,"Greatest")</f>
        <v>Millenials</v>
      </c>
      <c r="E365" s="1">
        <v>148544</v>
      </c>
      <c r="F365">
        <v>56</v>
      </c>
      <c r="G365" t="str" cm="1">
        <f t="array" ref="G365">_xlfn.IFS(Table2[[#This Row],[Spending Score (1-100)]]&lt;=25,"Low",Table2[[#This Row],[Spending Score (1-100)]]&lt;=50,"Medium",Table2[[#This Row],[Spending Score (1-100)]]&lt;=75,"High",Table2[[#This Row],[Spending Score (1-100)]]&lt;=100,"Very High")</f>
        <v>High</v>
      </c>
      <c r="H365" t="s">
        <v>13</v>
      </c>
      <c r="I365">
        <v>1</v>
      </c>
      <c r="J365" t="str">
        <f>CONCATENATE(Table2[[#This Row],[Work Experience]],"years")</f>
        <v>1years</v>
      </c>
      <c r="K365" t="str">
        <f>CONCATENATE(Table2[[#This Row],[Family Size2]],"members")</f>
        <v>2members</v>
      </c>
      <c r="L365" t="str">
        <f>CONCATENATE(Table2[[#This Row],[Family Size2]],"members")</f>
        <v>2members</v>
      </c>
      <c r="M365">
        <v>2</v>
      </c>
    </row>
    <row r="366" spans="1:13">
      <c r="A366">
        <v>365</v>
      </c>
      <c r="B366" t="s">
        <v>8</v>
      </c>
      <c r="C366">
        <v>46</v>
      </c>
      <c r="D366" t="str" cm="1">
        <f t="array" ref="D366">_xlfn.IFS(Table2[[#This Row],[Age]]&lt;=11,"Gen A",Table2[[#This Row],[Age]]&lt;=27,"Gen Z",Table2[[#This Row],[Age]]&lt;=43,"Millenials",Table2[[#This Row],[Age]]&lt;=59,"Gen X",Table2[[#This Row],[Age]]&lt;=78,"Baby Boomers",Table2[[#This Row],[Age]]&lt;=96,"Silent",Table2[[#This Row],[Age]]&gt;=97,"Greatest")</f>
        <v>Gen X</v>
      </c>
      <c r="E366" s="1">
        <v>62833</v>
      </c>
      <c r="F366">
        <v>85</v>
      </c>
      <c r="G366" t="str" cm="1">
        <f t="array" ref="G366">_xlfn.IFS(Table2[[#This Row],[Spending Score (1-100)]]&lt;=25,"Low",Table2[[#This Row],[Spending Score (1-100)]]&lt;=50,"Medium",Table2[[#This Row],[Spending Score (1-100)]]&lt;=75,"High",Table2[[#This Row],[Spending Score (1-100)]]&lt;=100,"Very High")</f>
        <v>Very High</v>
      </c>
      <c r="H366" t="s">
        <v>14</v>
      </c>
      <c r="I366">
        <v>1</v>
      </c>
      <c r="J366" t="str">
        <f>CONCATENATE(Table2[[#This Row],[Work Experience]],"years")</f>
        <v>1years</v>
      </c>
      <c r="K366" t="str">
        <f>CONCATENATE(Table2[[#This Row],[Family Size2]],"members")</f>
        <v>2members</v>
      </c>
      <c r="L366" t="str">
        <f>CONCATENATE(Table2[[#This Row],[Family Size2]],"members")</f>
        <v>2members</v>
      </c>
      <c r="M366">
        <v>2</v>
      </c>
    </row>
    <row r="367" spans="1:13">
      <c r="A367">
        <v>366</v>
      </c>
      <c r="B367" t="s">
        <v>8</v>
      </c>
      <c r="C367">
        <v>65</v>
      </c>
      <c r="D367" t="str" cm="1">
        <f t="array" ref="D367">_xlfn.IFS(Table2[[#This Row],[Age]]&lt;=11,"Gen A",Table2[[#This Row],[Age]]&lt;=27,"Gen Z",Table2[[#This Row],[Age]]&lt;=43,"Millenials",Table2[[#This Row],[Age]]&lt;=59,"Gen X",Table2[[#This Row],[Age]]&lt;=78,"Baby Boomers",Table2[[#This Row],[Age]]&lt;=96,"Silent",Table2[[#This Row],[Age]]&gt;=97,"Greatest")</f>
        <v>Baby Boomers</v>
      </c>
      <c r="E367" s="1">
        <v>120627</v>
      </c>
      <c r="F367">
        <v>72</v>
      </c>
      <c r="G367" t="str" cm="1">
        <f t="array" ref="G367">_xlfn.IFS(Table2[[#This Row],[Spending Score (1-100)]]&lt;=25,"Low",Table2[[#This Row],[Spending Score (1-100)]]&lt;=50,"Medium",Table2[[#This Row],[Spending Score (1-100)]]&lt;=75,"High",Table2[[#This Row],[Spending Score (1-100)]]&lt;=100,"Very High")</f>
        <v>High</v>
      </c>
      <c r="H367" t="s">
        <v>9</v>
      </c>
      <c r="I367">
        <v>0</v>
      </c>
      <c r="J367" t="str">
        <f>CONCATENATE(Table2[[#This Row],[Work Experience]],"years")</f>
        <v>0years</v>
      </c>
      <c r="K367" t="str">
        <f>CONCATENATE(Table2[[#This Row],[Family Size2]],"members")</f>
        <v>2members</v>
      </c>
      <c r="L367" t="str">
        <f>CONCATENATE(Table2[[#This Row],[Family Size2]],"members")</f>
        <v>2members</v>
      </c>
      <c r="M367">
        <v>2</v>
      </c>
    </row>
    <row r="368" spans="1:13">
      <c r="A368">
        <v>367</v>
      </c>
      <c r="B368" t="s">
        <v>11</v>
      </c>
      <c r="C368">
        <v>60</v>
      </c>
      <c r="D368" t="str" cm="1">
        <f t="array" ref="D368">_xlfn.IFS(Table2[[#This Row],[Age]]&lt;=11,"Gen A",Table2[[#This Row],[Age]]&lt;=27,"Gen Z",Table2[[#This Row],[Age]]&lt;=43,"Millenials",Table2[[#This Row],[Age]]&lt;=59,"Gen X",Table2[[#This Row],[Age]]&lt;=78,"Baby Boomers",Table2[[#This Row],[Age]]&lt;=96,"Silent",Table2[[#This Row],[Age]]&gt;=97,"Greatest")</f>
        <v>Baby Boomers</v>
      </c>
      <c r="E368" s="1">
        <v>130898</v>
      </c>
      <c r="F368">
        <v>30</v>
      </c>
      <c r="G368" t="str" cm="1">
        <f t="array" ref="G368">_xlfn.IFS(Table2[[#This Row],[Spending Score (1-100)]]&lt;=25,"Low",Table2[[#This Row],[Spending Score (1-100)]]&lt;=50,"Medium",Table2[[#This Row],[Spending Score (1-100)]]&lt;=75,"High",Table2[[#This Row],[Spending Score (1-100)]]&lt;=100,"Very High")</f>
        <v>Medium</v>
      </c>
      <c r="H368" t="s">
        <v>14</v>
      </c>
      <c r="I368">
        <v>1</v>
      </c>
      <c r="J368" t="str">
        <f>CONCATENATE(Table2[[#This Row],[Work Experience]],"years")</f>
        <v>1years</v>
      </c>
      <c r="K368" t="str">
        <f>CONCATENATE(Table2[[#This Row],[Family Size2]],"members")</f>
        <v>1members</v>
      </c>
      <c r="L368" t="str">
        <f>CONCATENATE(Table2[[#This Row],[Family Size2]],"members")</f>
        <v>1members</v>
      </c>
      <c r="M368">
        <v>1</v>
      </c>
    </row>
    <row r="369" spans="1:13">
      <c r="A369">
        <v>368</v>
      </c>
      <c r="B369" t="s">
        <v>11</v>
      </c>
      <c r="C369">
        <v>93</v>
      </c>
      <c r="D369" t="str" cm="1">
        <f t="array" ref="D369">_xlfn.IFS(Table2[[#This Row],[Age]]&lt;=11,"Gen A",Table2[[#This Row],[Age]]&lt;=27,"Gen Z",Table2[[#This Row],[Age]]&lt;=43,"Millenials",Table2[[#This Row],[Age]]&lt;=59,"Gen X",Table2[[#This Row],[Age]]&lt;=78,"Baby Boomers",Table2[[#This Row],[Age]]&lt;=96,"Silent",Table2[[#This Row],[Age]]&gt;=97,"Greatest")</f>
        <v>Silent</v>
      </c>
      <c r="E369" s="1">
        <v>103130</v>
      </c>
      <c r="F369">
        <v>74</v>
      </c>
      <c r="G369" t="str" cm="1">
        <f t="array" ref="G369">_xlfn.IFS(Table2[[#This Row],[Spending Score (1-100)]]&lt;=25,"Low",Table2[[#This Row],[Spending Score (1-100)]]&lt;=50,"Medium",Table2[[#This Row],[Spending Score (1-100)]]&lt;=75,"High",Table2[[#This Row],[Spending Score (1-100)]]&lt;=100,"Very High")</f>
        <v>High</v>
      </c>
      <c r="H369" t="s">
        <v>15</v>
      </c>
      <c r="I369">
        <v>12</v>
      </c>
      <c r="J369" t="str">
        <f>CONCATENATE(Table2[[#This Row],[Work Experience]],"years")</f>
        <v>12years</v>
      </c>
      <c r="K369" t="str">
        <f>CONCATENATE(Table2[[#This Row],[Family Size2]],"members")</f>
        <v>3members</v>
      </c>
      <c r="L369" t="str">
        <f>CONCATENATE(Table2[[#This Row],[Family Size2]],"members")</f>
        <v>3members</v>
      </c>
      <c r="M369">
        <v>3</v>
      </c>
    </row>
    <row r="370" spans="1:13">
      <c r="A370">
        <v>369</v>
      </c>
      <c r="B370" t="s">
        <v>8</v>
      </c>
      <c r="C370">
        <v>72</v>
      </c>
      <c r="D370" t="str" cm="1">
        <f t="array" ref="D370">_xlfn.IFS(Table2[[#This Row],[Age]]&lt;=11,"Gen A",Table2[[#This Row],[Age]]&lt;=27,"Gen Z",Table2[[#This Row],[Age]]&lt;=43,"Millenials",Table2[[#This Row],[Age]]&lt;=59,"Gen X",Table2[[#This Row],[Age]]&lt;=78,"Baby Boomers",Table2[[#This Row],[Age]]&lt;=96,"Silent",Table2[[#This Row],[Age]]&gt;=97,"Greatest")</f>
        <v>Baby Boomers</v>
      </c>
      <c r="E370" s="1">
        <v>106681</v>
      </c>
      <c r="F370">
        <v>15</v>
      </c>
      <c r="G370" t="str" cm="1">
        <f t="array" ref="G370">_xlfn.IFS(Table2[[#This Row],[Spending Score (1-100)]]&lt;=25,"Low",Table2[[#This Row],[Spending Score (1-100)]]&lt;=50,"Medium",Table2[[#This Row],[Spending Score (1-100)]]&lt;=75,"High",Table2[[#This Row],[Spending Score (1-100)]]&lt;=100,"Very High")</f>
        <v>Low</v>
      </c>
      <c r="H370" t="s">
        <v>9</v>
      </c>
      <c r="I370">
        <v>9</v>
      </c>
      <c r="J370" t="str">
        <f>CONCATENATE(Table2[[#This Row],[Work Experience]],"years")</f>
        <v>9years</v>
      </c>
      <c r="K370" t="str">
        <f>CONCATENATE(Table2[[#This Row],[Family Size2]],"members")</f>
        <v>5members</v>
      </c>
      <c r="L370" t="str">
        <f>CONCATENATE(Table2[[#This Row],[Family Size2]],"members")</f>
        <v>5members</v>
      </c>
      <c r="M370">
        <v>5</v>
      </c>
    </row>
    <row r="371" spans="1:13">
      <c r="A371">
        <v>370</v>
      </c>
      <c r="B371" t="s">
        <v>11</v>
      </c>
      <c r="C371">
        <v>36</v>
      </c>
      <c r="D371" t="str" cm="1">
        <f t="array" ref="D371">_xlfn.IFS(Table2[[#This Row],[Age]]&lt;=11,"Gen A",Table2[[#This Row],[Age]]&lt;=27,"Gen Z",Table2[[#This Row],[Age]]&lt;=43,"Millenials",Table2[[#This Row],[Age]]&lt;=59,"Gen X",Table2[[#This Row],[Age]]&lt;=78,"Baby Boomers",Table2[[#This Row],[Age]]&lt;=96,"Silent",Table2[[#This Row],[Age]]&gt;=97,"Greatest")</f>
        <v>Millenials</v>
      </c>
      <c r="E371" s="1">
        <v>87353</v>
      </c>
      <c r="F371">
        <v>25</v>
      </c>
      <c r="G371" t="str" cm="1">
        <f t="array" ref="G371">_xlfn.IFS(Table2[[#This Row],[Spending Score (1-100)]]&lt;=25,"Low",Table2[[#This Row],[Spending Score (1-100)]]&lt;=50,"Medium",Table2[[#This Row],[Spending Score (1-100)]]&lt;=75,"High",Table2[[#This Row],[Spending Score (1-100)]]&lt;=100,"Very High")</f>
        <v>Low</v>
      </c>
      <c r="H371" t="s">
        <v>13</v>
      </c>
      <c r="I371">
        <v>1</v>
      </c>
      <c r="J371" t="str">
        <f>CONCATENATE(Table2[[#This Row],[Work Experience]],"years")</f>
        <v>1years</v>
      </c>
      <c r="K371" t="str">
        <f>CONCATENATE(Table2[[#This Row],[Family Size2]],"members")</f>
        <v>5members</v>
      </c>
      <c r="L371" t="str">
        <f>CONCATENATE(Table2[[#This Row],[Family Size2]],"members")</f>
        <v>5members</v>
      </c>
      <c r="M371">
        <v>5</v>
      </c>
    </row>
    <row r="372" spans="1:13">
      <c r="A372">
        <v>371</v>
      </c>
      <c r="B372" t="s">
        <v>8</v>
      </c>
      <c r="C372">
        <v>52</v>
      </c>
      <c r="D372" t="str" cm="1">
        <f t="array" ref="D372">_xlfn.IFS(Table2[[#This Row],[Age]]&lt;=11,"Gen A",Table2[[#This Row],[Age]]&lt;=27,"Gen Z",Table2[[#This Row],[Age]]&lt;=43,"Millenials",Table2[[#This Row],[Age]]&lt;=59,"Gen X",Table2[[#This Row],[Age]]&lt;=78,"Baby Boomers",Table2[[#This Row],[Age]]&lt;=96,"Silent",Table2[[#This Row],[Age]]&gt;=97,"Greatest")</f>
        <v>Gen X</v>
      </c>
      <c r="E372" s="1">
        <v>88046</v>
      </c>
      <c r="F372">
        <v>61</v>
      </c>
      <c r="G372" t="str" cm="1">
        <f t="array" ref="G372">_xlfn.IFS(Table2[[#This Row],[Spending Score (1-100)]]&lt;=25,"Low",Table2[[#This Row],[Spending Score (1-100)]]&lt;=50,"Medium",Table2[[#This Row],[Spending Score (1-100)]]&lt;=75,"High",Table2[[#This Row],[Spending Score (1-100)]]&lt;=100,"Very High")</f>
        <v>High</v>
      </c>
      <c r="H372" t="s">
        <v>14</v>
      </c>
      <c r="I372">
        <v>8</v>
      </c>
      <c r="J372" t="str">
        <f>CONCATENATE(Table2[[#This Row],[Work Experience]],"years")</f>
        <v>8years</v>
      </c>
      <c r="K372" t="str">
        <f>CONCATENATE(Table2[[#This Row],[Family Size2]],"members")</f>
        <v>1members</v>
      </c>
      <c r="L372" t="str">
        <f>CONCATENATE(Table2[[#This Row],[Family Size2]],"members")</f>
        <v>1members</v>
      </c>
      <c r="M372">
        <v>1</v>
      </c>
    </row>
    <row r="373" spans="1:13">
      <c r="A373">
        <v>372</v>
      </c>
      <c r="B373" t="s">
        <v>11</v>
      </c>
      <c r="C373">
        <v>72</v>
      </c>
      <c r="D373" t="str" cm="1">
        <f t="array" ref="D373">_xlfn.IFS(Table2[[#This Row],[Age]]&lt;=11,"Gen A",Table2[[#This Row],[Age]]&lt;=27,"Gen Z",Table2[[#This Row],[Age]]&lt;=43,"Millenials",Table2[[#This Row],[Age]]&lt;=59,"Gen X",Table2[[#This Row],[Age]]&lt;=78,"Baby Boomers",Table2[[#This Row],[Age]]&lt;=96,"Silent",Table2[[#This Row],[Age]]&gt;=97,"Greatest")</f>
        <v>Baby Boomers</v>
      </c>
      <c r="E373" s="1">
        <v>98168</v>
      </c>
      <c r="F373">
        <v>49</v>
      </c>
      <c r="G373" t="str" cm="1">
        <f t="array" ref="G373">_xlfn.IFS(Table2[[#This Row],[Spending Score (1-100)]]&lt;=25,"Low",Table2[[#This Row],[Spending Score (1-100)]]&lt;=50,"Medium",Table2[[#This Row],[Spending Score (1-100)]]&lt;=75,"High",Table2[[#This Row],[Spending Score (1-100)]]&lt;=100,"Very High")</f>
        <v>Medium</v>
      </c>
      <c r="H373" t="s">
        <v>13</v>
      </c>
      <c r="I373">
        <v>1</v>
      </c>
      <c r="J373" t="str">
        <f>CONCATENATE(Table2[[#This Row],[Work Experience]],"years")</f>
        <v>1years</v>
      </c>
      <c r="K373" t="str">
        <f>CONCATENATE(Table2[[#This Row],[Family Size2]],"members")</f>
        <v>2members</v>
      </c>
      <c r="L373" t="str">
        <f>CONCATENATE(Table2[[#This Row],[Family Size2]],"members")</f>
        <v>2members</v>
      </c>
      <c r="M373">
        <v>2</v>
      </c>
    </row>
    <row r="374" spans="1:13">
      <c r="A374">
        <v>373</v>
      </c>
      <c r="B374" t="s">
        <v>11</v>
      </c>
      <c r="C374">
        <v>28</v>
      </c>
      <c r="D374" t="str" cm="1">
        <f t="array" ref="D374">_xlfn.IFS(Table2[[#This Row],[Age]]&lt;=11,"Gen A",Table2[[#This Row],[Age]]&lt;=27,"Gen Z",Table2[[#This Row],[Age]]&lt;=43,"Millenials",Table2[[#This Row],[Age]]&lt;=59,"Gen X",Table2[[#This Row],[Age]]&lt;=78,"Baby Boomers",Table2[[#This Row],[Age]]&lt;=96,"Silent",Table2[[#This Row],[Age]]&gt;=97,"Greatest")</f>
        <v>Millenials</v>
      </c>
      <c r="E374" s="1">
        <v>178265</v>
      </c>
      <c r="F374">
        <v>5</v>
      </c>
      <c r="G374" t="str" cm="1">
        <f t="array" ref="G374">_xlfn.IFS(Table2[[#This Row],[Spending Score (1-100)]]&lt;=25,"Low",Table2[[#This Row],[Spending Score (1-100)]]&lt;=50,"Medium",Table2[[#This Row],[Spending Score (1-100)]]&lt;=75,"High",Table2[[#This Row],[Spending Score (1-100)]]&lt;=100,"Very High")</f>
        <v>Low</v>
      </c>
      <c r="H374" t="s">
        <v>12</v>
      </c>
      <c r="I374">
        <v>2</v>
      </c>
      <c r="J374" t="str">
        <f>CONCATENATE(Table2[[#This Row],[Work Experience]],"years")</f>
        <v>2years</v>
      </c>
      <c r="K374" t="str">
        <f>CONCATENATE(Table2[[#This Row],[Family Size2]],"members")</f>
        <v>1members</v>
      </c>
      <c r="L374" t="str">
        <f>CONCATENATE(Table2[[#This Row],[Family Size2]],"members")</f>
        <v>1members</v>
      </c>
      <c r="M374">
        <v>1</v>
      </c>
    </row>
    <row r="375" spans="1:13">
      <c r="A375">
        <v>374</v>
      </c>
      <c r="B375" t="s">
        <v>11</v>
      </c>
      <c r="C375">
        <v>48</v>
      </c>
      <c r="D375" t="str" cm="1">
        <f t="array" ref="D375">_xlfn.IFS(Table2[[#This Row],[Age]]&lt;=11,"Gen A",Table2[[#This Row],[Age]]&lt;=27,"Gen Z",Table2[[#This Row],[Age]]&lt;=43,"Millenials",Table2[[#This Row],[Age]]&lt;=59,"Gen X",Table2[[#This Row],[Age]]&lt;=78,"Baby Boomers",Table2[[#This Row],[Age]]&lt;=96,"Silent",Table2[[#This Row],[Age]]&gt;=97,"Greatest")</f>
        <v>Gen X</v>
      </c>
      <c r="E375" s="1">
        <v>167232</v>
      </c>
      <c r="F375">
        <v>92</v>
      </c>
      <c r="G375" t="str" cm="1">
        <f t="array" ref="G375">_xlfn.IFS(Table2[[#This Row],[Spending Score (1-100)]]&lt;=25,"Low",Table2[[#This Row],[Spending Score (1-100)]]&lt;=50,"Medium",Table2[[#This Row],[Spending Score (1-100)]]&lt;=75,"High",Table2[[#This Row],[Spending Score (1-100)]]&lt;=100,"Very High")</f>
        <v>Very High</v>
      </c>
      <c r="H375" t="s">
        <v>16</v>
      </c>
      <c r="I375">
        <v>6</v>
      </c>
      <c r="J375" t="str">
        <f>CONCATENATE(Table2[[#This Row],[Work Experience]],"years")</f>
        <v>6years</v>
      </c>
      <c r="K375" t="str">
        <f>CONCATENATE(Table2[[#This Row],[Family Size2]],"members")</f>
        <v>4members</v>
      </c>
      <c r="L375" t="str">
        <f>CONCATENATE(Table2[[#This Row],[Family Size2]],"members")</f>
        <v>4members</v>
      </c>
      <c r="M375">
        <v>4</v>
      </c>
    </row>
    <row r="376" spans="1:13">
      <c r="A376">
        <v>375</v>
      </c>
      <c r="B376" t="s">
        <v>8</v>
      </c>
      <c r="C376">
        <v>85</v>
      </c>
      <c r="D376" t="str" cm="1">
        <f t="array" ref="D376">_xlfn.IFS(Table2[[#This Row],[Age]]&lt;=11,"Gen A",Table2[[#This Row],[Age]]&lt;=27,"Gen Z",Table2[[#This Row],[Age]]&lt;=43,"Millenials",Table2[[#This Row],[Age]]&lt;=59,"Gen X",Table2[[#This Row],[Age]]&lt;=78,"Baby Boomers",Table2[[#This Row],[Age]]&lt;=96,"Silent",Table2[[#This Row],[Age]]&gt;=97,"Greatest")</f>
        <v>Silent</v>
      </c>
      <c r="E376" s="1">
        <v>140478</v>
      </c>
      <c r="F376">
        <v>43</v>
      </c>
      <c r="G376" t="str" cm="1">
        <f t="array" ref="G376">_xlfn.IFS(Table2[[#This Row],[Spending Score (1-100)]]&lt;=25,"Low",Table2[[#This Row],[Spending Score (1-100)]]&lt;=50,"Medium",Table2[[#This Row],[Spending Score (1-100)]]&lt;=75,"High",Table2[[#This Row],[Spending Score (1-100)]]&lt;=100,"Very High")</f>
        <v>Medium</v>
      </c>
      <c r="H376" t="s">
        <v>16</v>
      </c>
      <c r="I376">
        <v>6</v>
      </c>
      <c r="J376" t="str">
        <f>CONCATENATE(Table2[[#This Row],[Work Experience]],"years")</f>
        <v>6years</v>
      </c>
      <c r="K376" t="str">
        <f>CONCATENATE(Table2[[#This Row],[Family Size2]],"members")</f>
        <v>4members</v>
      </c>
      <c r="L376" t="str">
        <f>CONCATENATE(Table2[[#This Row],[Family Size2]],"members")</f>
        <v>4members</v>
      </c>
      <c r="M376">
        <v>4</v>
      </c>
    </row>
    <row r="377" spans="1:13">
      <c r="A377">
        <v>376</v>
      </c>
      <c r="B377" t="s">
        <v>8</v>
      </c>
      <c r="C377">
        <v>22</v>
      </c>
      <c r="D377" t="str" cm="1">
        <f t="array" ref="D377">_xlfn.IFS(Table2[[#This Row],[Age]]&lt;=11,"Gen A",Table2[[#This Row],[Age]]&lt;=27,"Gen Z",Table2[[#This Row],[Age]]&lt;=43,"Millenials",Table2[[#This Row],[Age]]&lt;=59,"Gen X",Table2[[#This Row],[Age]]&lt;=78,"Baby Boomers",Table2[[#This Row],[Age]]&lt;=96,"Silent",Table2[[#This Row],[Age]]&gt;=97,"Greatest")</f>
        <v>Gen Z</v>
      </c>
      <c r="E377" s="1">
        <v>159296</v>
      </c>
      <c r="F377">
        <v>83</v>
      </c>
      <c r="G377" t="str" cm="1">
        <f t="array" ref="G377">_xlfn.IFS(Table2[[#This Row],[Spending Score (1-100)]]&lt;=25,"Low",Table2[[#This Row],[Spending Score (1-100)]]&lt;=50,"Medium",Table2[[#This Row],[Spending Score (1-100)]]&lt;=75,"High",Table2[[#This Row],[Spending Score (1-100)]]&lt;=100,"Very High")</f>
        <v>Very High</v>
      </c>
      <c r="H377" t="s">
        <v>14</v>
      </c>
      <c r="I377">
        <v>8</v>
      </c>
      <c r="J377" t="str">
        <f>CONCATENATE(Table2[[#This Row],[Work Experience]],"years")</f>
        <v>8years</v>
      </c>
      <c r="K377" t="str">
        <f>CONCATENATE(Table2[[#This Row],[Family Size2]],"members")</f>
        <v>1members</v>
      </c>
      <c r="L377" t="str">
        <f>CONCATENATE(Table2[[#This Row],[Family Size2]],"members")</f>
        <v>1members</v>
      </c>
      <c r="M377">
        <v>1</v>
      </c>
    </row>
    <row r="378" spans="1:13">
      <c r="A378">
        <v>377</v>
      </c>
      <c r="B378" t="s">
        <v>11</v>
      </c>
      <c r="C378">
        <v>30</v>
      </c>
      <c r="D378" t="str" cm="1">
        <f t="array" ref="D378">_xlfn.IFS(Table2[[#This Row],[Age]]&lt;=11,"Gen A",Table2[[#This Row],[Age]]&lt;=27,"Gen Z",Table2[[#This Row],[Age]]&lt;=43,"Millenials",Table2[[#This Row],[Age]]&lt;=59,"Gen X",Table2[[#This Row],[Age]]&lt;=78,"Baby Boomers",Table2[[#This Row],[Age]]&lt;=96,"Silent",Table2[[#This Row],[Age]]&gt;=97,"Greatest")</f>
        <v>Millenials</v>
      </c>
      <c r="E378" s="1">
        <v>144043</v>
      </c>
      <c r="F378">
        <v>78</v>
      </c>
      <c r="G378" t="str" cm="1">
        <f t="array" ref="G378">_xlfn.IFS(Table2[[#This Row],[Spending Score (1-100)]]&lt;=25,"Low",Table2[[#This Row],[Spending Score (1-100)]]&lt;=50,"Medium",Table2[[#This Row],[Spending Score (1-100)]]&lt;=75,"High",Table2[[#This Row],[Spending Score (1-100)]]&lt;=100,"Very High")</f>
        <v>Very High</v>
      </c>
      <c r="H378" t="s">
        <v>16</v>
      </c>
      <c r="I378">
        <v>1</v>
      </c>
      <c r="J378" t="str">
        <f>CONCATENATE(Table2[[#This Row],[Work Experience]],"years")</f>
        <v>1years</v>
      </c>
      <c r="K378" t="str">
        <f>CONCATENATE(Table2[[#This Row],[Family Size2]],"members")</f>
        <v>1members</v>
      </c>
      <c r="L378" t="str">
        <f>CONCATENATE(Table2[[#This Row],[Family Size2]],"members")</f>
        <v>1members</v>
      </c>
      <c r="M378">
        <v>1</v>
      </c>
    </row>
    <row r="379" spans="1:13">
      <c r="A379">
        <v>378</v>
      </c>
      <c r="B379" t="s">
        <v>8</v>
      </c>
      <c r="C379">
        <v>46</v>
      </c>
      <c r="D379" t="str" cm="1">
        <f t="array" ref="D379">_xlfn.IFS(Table2[[#This Row],[Age]]&lt;=11,"Gen A",Table2[[#This Row],[Age]]&lt;=27,"Gen Z",Table2[[#This Row],[Age]]&lt;=43,"Millenials",Table2[[#This Row],[Age]]&lt;=59,"Gen X",Table2[[#This Row],[Age]]&lt;=78,"Baby Boomers",Table2[[#This Row],[Age]]&lt;=96,"Silent",Table2[[#This Row],[Age]]&gt;=97,"Greatest")</f>
        <v>Gen X</v>
      </c>
      <c r="E379" s="1">
        <v>72594</v>
      </c>
      <c r="F379">
        <v>64</v>
      </c>
      <c r="G379" t="str" cm="1">
        <f t="array" ref="G379">_xlfn.IFS(Table2[[#This Row],[Spending Score (1-100)]]&lt;=25,"Low",Table2[[#This Row],[Spending Score (1-100)]]&lt;=50,"Medium",Table2[[#This Row],[Spending Score (1-100)]]&lt;=75,"High",Table2[[#This Row],[Spending Score (1-100)]]&lt;=100,"Very High")</f>
        <v>High</v>
      </c>
      <c r="H379" t="s">
        <v>14</v>
      </c>
      <c r="I379">
        <v>1</v>
      </c>
      <c r="J379" t="str">
        <f>CONCATENATE(Table2[[#This Row],[Work Experience]],"years")</f>
        <v>1years</v>
      </c>
      <c r="K379" t="str">
        <f>CONCATENATE(Table2[[#This Row],[Family Size2]],"members")</f>
        <v>2members</v>
      </c>
      <c r="L379" t="str">
        <f>CONCATENATE(Table2[[#This Row],[Family Size2]],"members")</f>
        <v>2members</v>
      </c>
      <c r="M379">
        <v>2</v>
      </c>
    </row>
    <row r="380" spans="1:13">
      <c r="A380">
        <v>379</v>
      </c>
      <c r="B380" t="s">
        <v>11</v>
      </c>
      <c r="C380">
        <v>82</v>
      </c>
      <c r="D380" t="str" cm="1">
        <f t="array" ref="D380">_xlfn.IFS(Table2[[#This Row],[Age]]&lt;=11,"Gen A",Table2[[#This Row],[Age]]&lt;=27,"Gen Z",Table2[[#This Row],[Age]]&lt;=43,"Millenials",Table2[[#This Row],[Age]]&lt;=59,"Gen X",Table2[[#This Row],[Age]]&lt;=78,"Baby Boomers",Table2[[#This Row],[Age]]&lt;=96,"Silent",Table2[[#This Row],[Age]]&gt;=97,"Greatest")</f>
        <v>Silent</v>
      </c>
      <c r="E380" s="1">
        <v>180288</v>
      </c>
      <c r="F380">
        <v>77</v>
      </c>
      <c r="G380" t="str" cm="1">
        <f t="array" ref="G380">_xlfn.IFS(Table2[[#This Row],[Spending Score (1-100)]]&lt;=25,"Low",Table2[[#This Row],[Spending Score (1-100)]]&lt;=50,"Medium",Table2[[#This Row],[Spending Score (1-100)]]&lt;=75,"High",Table2[[#This Row],[Spending Score (1-100)]]&lt;=100,"Very High")</f>
        <v>Very High</v>
      </c>
      <c r="H380" t="s">
        <v>14</v>
      </c>
      <c r="I380">
        <v>2</v>
      </c>
      <c r="J380" t="str">
        <f>CONCATENATE(Table2[[#This Row],[Work Experience]],"years")</f>
        <v>2years</v>
      </c>
      <c r="K380" t="str">
        <f>CONCATENATE(Table2[[#This Row],[Family Size2]],"members")</f>
        <v>2members</v>
      </c>
      <c r="L380" t="str">
        <f>CONCATENATE(Table2[[#This Row],[Family Size2]],"members")</f>
        <v>2members</v>
      </c>
      <c r="M380">
        <v>2</v>
      </c>
    </row>
    <row r="381" spans="1:13">
      <c r="A381">
        <v>380</v>
      </c>
      <c r="B381" t="s">
        <v>11</v>
      </c>
      <c r="C381">
        <v>73</v>
      </c>
      <c r="D381" t="str" cm="1">
        <f t="array" ref="D381">_xlfn.IFS(Table2[[#This Row],[Age]]&lt;=11,"Gen A",Table2[[#This Row],[Age]]&lt;=27,"Gen Z",Table2[[#This Row],[Age]]&lt;=43,"Millenials",Table2[[#This Row],[Age]]&lt;=59,"Gen X",Table2[[#This Row],[Age]]&lt;=78,"Baby Boomers",Table2[[#This Row],[Age]]&lt;=96,"Silent",Table2[[#This Row],[Age]]&gt;=97,"Greatest")</f>
        <v>Baby Boomers</v>
      </c>
      <c r="E381" s="1">
        <v>165734</v>
      </c>
      <c r="F381">
        <v>51</v>
      </c>
      <c r="G381" t="str" cm="1">
        <f t="array" ref="G381">_xlfn.IFS(Table2[[#This Row],[Spending Score (1-100)]]&lt;=25,"Low",Table2[[#This Row],[Spending Score (1-100)]]&lt;=50,"Medium",Table2[[#This Row],[Spending Score (1-100)]]&lt;=75,"High",Table2[[#This Row],[Spending Score (1-100)]]&lt;=100,"Very High")</f>
        <v>High</v>
      </c>
      <c r="H381" t="s">
        <v>13</v>
      </c>
      <c r="I381">
        <v>0</v>
      </c>
      <c r="J381" t="str">
        <f>CONCATENATE(Table2[[#This Row],[Work Experience]],"years")</f>
        <v>0years</v>
      </c>
      <c r="K381" t="str">
        <f>CONCATENATE(Table2[[#This Row],[Family Size2]],"members")</f>
        <v>1members</v>
      </c>
      <c r="L381" t="str">
        <f>CONCATENATE(Table2[[#This Row],[Family Size2]],"members")</f>
        <v>1members</v>
      </c>
      <c r="M381">
        <v>1</v>
      </c>
    </row>
    <row r="382" spans="1:13">
      <c r="A382">
        <v>381</v>
      </c>
      <c r="B382" t="s">
        <v>8</v>
      </c>
      <c r="C382">
        <v>8</v>
      </c>
      <c r="D382" t="str" cm="1">
        <f t="array" ref="D382">_xlfn.IFS(Table2[[#This Row],[Age]]&lt;=11,"Gen A",Table2[[#This Row],[Age]]&lt;=27,"Gen Z",Table2[[#This Row],[Age]]&lt;=43,"Millenials",Table2[[#This Row],[Age]]&lt;=59,"Gen X",Table2[[#This Row],[Age]]&lt;=78,"Baby Boomers",Table2[[#This Row],[Age]]&lt;=96,"Silent",Table2[[#This Row],[Age]]&gt;=97,"Greatest")</f>
        <v>Gen A</v>
      </c>
      <c r="E382" s="1">
        <v>175407</v>
      </c>
      <c r="F382">
        <v>2</v>
      </c>
      <c r="G382" t="str" cm="1">
        <f t="array" ref="G382">_xlfn.IFS(Table2[[#This Row],[Spending Score (1-100)]]&lt;=25,"Low",Table2[[#This Row],[Spending Score (1-100)]]&lt;=50,"Medium",Table2[[#This Row],[Spending Score (1-100)]]&lt;=75,"High",Table2[[#This Row],[Spending Score (1-100)]]&lt;=100,"Very High")</f>
        <v>Low</v>
      </c>
      <c r="H382" t="s">
        <v>14</v>
      </c>
      <c r="I382">
        <v>5</v>
      </c>
      <c r="J382" t="str">
        <f>CONCATENATE(Table2[[#This Row],[Work Experience]],"years")</f>
        <v>5years</v>
      </c>
      <c r="K382" t="str">
        <f>CONCATENATE(Table2[[#This Row],[Family Size2]],"members")</f>
        <v>1members</v>
      </c>
      <c r="L382" t="str">
        <f>CONCATENATE(Table2[[#This Row],[Family Size2]],"members")</f>
        <v>1members</v>
      </c>
      <c r="M382">
        <v>1</v>
      </c>
    </row>
    <row r="383" spans="1:13">
      <c r="A383">
        <v>382</v>
      </c>
      <c r="B383" t="s">
        <v>8</v>
      </c>
      <c r="C383">
        <v>90</v>
      </c>
      <c r="D383" t="str" cm="1">
        <f t="array" ref="D383">_xlfn.IFS(Table2[[#This Row],[Age]]&lt;=11,"Gen A",Table2[[#This Row],[Age]]&lt;=27,"Gen Z",Table2[[#This Row],[Age]]&lt;=43,"Millenials",Table2[[#This Row],[Age]]&lt;=59,"Gen X",Table2[[#This Row],[Age]]&lt;=78,"Baby Boomers",Table2[[#This Row],[Age]]&lt;=96,"Silent",Table2[[#This Row],[Age]]&gt;=97,"Greatest")</f>
        <v>Silent</v>
      </c>
      <c r="E383" s="1">
        <v>70201</v>
      </c>
      <c r="F383">
        <v>8</v>
      </c>
      <c r="G383" t="str" cm="1">
        <f t="array" ref="G383">_xlfn.IFS(Table2[[#This Row],[Spending Score (1-100)]]&lt;=25,"Low",Table2[[#This Row],[Spending Score (1-100)]]&lt;=50,"Medium",Table2[[#This Row],[Spending Score (1-100)]]&lt;=75,"High",Table2[[#This Row],[Spending Score (1-100)]]&lt;=100,"Very High")</f>
        <v>Low</v>
      </c>
      <c r="H383" t="s">
        <v>10</v>
      </c>
      <c r="I383">
        <v>0</v>
      </c>
      <c r="J383" t="str">
        <f>CONCATENATE(Table2[[#This Row],[Work Experience]],"years")</f>
        <v>0years</v>
      </c>
      <c r="K383" t="str">
        <f>CONCATENATE(Table2[[#This Row],[Family Size2]],"members")</f>
        <v>2members</v>
      </c>
      <c r="L383" t="str">
        <f>CONCATENATE(Table2[[#This Row],[Family Size2]],"members")</f>
        <v>2members</v>
      </c>
      <c r="M383">
        <v>2</v>
      </c>
    </row>
    <row r="384" spans="1:13">
      <c r="A384">
        <v>383</v>
      </c>
      <c r="B384" t="s">
        <v>8</v>
      </c>
      <c r="C384">
        <v>34</v>
      </c>
      <c r="D384" t="str" cm="1">
        <f t="array" ref="D384">_xlfn.IFS(Table2[[#This Row],[Age]]&lt;=11,"Gen A",Table2[[#This Row],[Age]]&lt;=27,"Gen Z",Table2[[#This Row],[Age]]&lt;=43,"Millenials",Table2[[#This Row],[Age]]&lt;=59,"Gen X",Table2[[#This Row],[Age]]&lt;=78,"Baby Boomers",Table2[[#This Row],[Age]]&lt;=96,"Silent",Table2[[#This Row],[Age]]&gt;=97,"Greatest")</f>
        <v>Millenials</v>
      </c>
      <c r="E384" s="1">
        <v>91503</v>
      </c>
      <c r="F384">
        <v>26</v>
      </c>
      <c r="G384" t="str" cm="1">
        <f t="array" ref="G384">_xlfn.IFS(Table2[[#This Row],[Spending Score (1-100)]]&lt;=25,"Low",Table2[[#This Row],[Spending Score (1-100)]]&lt;=50,"Medium",Table2[[#This Row],[Spending Score (1-100)]]&lt;=75,"High",Table2[[#This Row],[Spending Score (1-100)]]&lt;=100,"Very High")</f>
        <v>Medium</v>
      </c>
      <c r="H384" t="s">
        <v>14</v>
      </c>
      <c r="I384">
        <v>0</v>
      </c>
      <c r="J384" t="str">
        <f>CONCATENATE(Table2[[#This Row],[Work Experience]],"years")</f>
        <v>0years</v>
      </c>
      <c r="K384" t="str">
        <f>CONCATENATE(Table2[[#This Row],[Family Size2]],"members")</f>
        <v>6members</v>
      </c>
      <c r="L384" t="str">
        <f>CONCATENATE(Table2[[#This Row],[Family Size2]],"members")</f>
        <v>6members</v>
      </c>
      <c r="M384">
        <v>6</v>
      </c>
    </row>
    <row r="385" spans="1:13">
      <c r="A385">
        <v>384</v>
      </c>
      <c r="B385" t="s">
        <v>11</v>
      </c>
      <c r="C385">
        <v>10</v>
      </c>
      <c r="D385" t="str" cm="1">
        <f t="array" ref="D385">_xlfn.IFS(Table2[[#This Row],[Age]]&lt;=11,"Gen A",Table2[[#This Row],[Age]]&lt;=27,"Gen Z",Table2[[#This Row],[Age]]&lt;=43,"Millenials",Table2[[#This Row],[Age]]&lt;=59,"Gen X",Table2[[#This Row],[Age]]&lt;=78,"Baby Boomers",Table2[[#This Row],[Age]]&lt;=96,"Silent",Table2[[#This Row],[Age]]&gt;=97,"Greatest")</f>
        <v>Gen A</v>
      </c>
      <c r="E385" s="1">
        <v>184522</v>
      </c>
      <c r="F385">
        <v>43</v>
      </c>
      <c r="G385" t="str" cm="1">
        <f t="array" ref="G385">_xlfn.IFS(Table2[[#This Row],[Spending Score (1-100)]]&lt;=25,"Low",Table2[[#This Row],[Spending Score (1-100)]]&lt;=50,"Medium",Table2[[#This Row],[Spending Score (1-100)]]&lt;=75,"High",Table2[[#This Row],[Spending Score (1-100)]]&lt;=100,"Very High")</f>
        <v>Medium</v>
      </c>
      <c r="H385" t="s">
        <v>14</v>
      </c>
      <c r="I385">
        <v>0</v>
      </c>
      <c r="J385" t="str">
        <f>CONCATENATE(Table2[[#This Row],[Work Experience]],"years")</f>
        <v>0years</v>
      </c>
      <c r="K385" t="str">
        <f>CONCATENATE(Table2[[#This Row],[Family Size2]],"members")</f>
        <v>2members</v>
      </c>
      <c r="L385" t="str">
        <f>CONCATENATE(Table2[[#This Row],[Family Size2]],"members")</f>
        <v>2members</v>
      </c>
      <c r="M385">
        <v>2</v>
      </c>
    </row>
    <row r="386" spans="1:13">
      <c r="A386">
        <v>385</v>
      </c>
      <c r="B386" t="s">
        <v>11</v>
      </c>
      <c r="C386">
        <v>79</v>
      </c>
      <c r="D386" t="str" cm="1">
        <f t="array" ref="D386">_xlfn.IFS(Table2[[#This Row],[Age]]&lt;=11,"Gen A",Table2[[#This Row],[Age]]&lt;=27,"Gen Z",Table2[[#This Row],[Age]]&lt;=43,"Millenials",Table2[[#This Row],[Age]]&lt;=59,"Gen X",Table2[[#This Row],[Age]]&lt;=78,"Baby Boomers",Table2[[#This Row],[Age]]&lt;=96,"Silent",Table2[[#This Row],[Age]]&gt;=97,"Greatest")</f>
        <v>Silent</v>
      </c>
      <c r="E386" s="1">
        <v>143560</v>
      </c>
      <c r="F386">
        <v>83</v>
      </c>
      <c r="G386" t="str" cm="1">
        <f t="array" ref="G386">_xlfn.IFS(Table2[[#This Row],[Spending Score (1-100)]]&lt;=25,"Low",Table2[[#This Row],[Spending Score (1-100)]]&lt;=50,"Medium",Table2[[#This Row],[Spending Score (1-100)]]&lt;=75,"High",Table2[[#This Row],[Spending Score (1-100)]]&lt;=100,"Very High")</f>
        <v>Very High</v>
      </c>
      <c r="H386" t="s">
        <v>14</v>
      </c>
      <c r="I386">
        <v>1</v>
      </c>
      <c r="J386" t="str">
        <f>CONCATENATE(Table2[[#This Row],[Work Experience]],"years")</f>
        <v>1years</v>
      </c>
      <c r="K386" t="str">
        <f>CONCATENATE(Table2[[#This Row],[Family Size2]],"members")</f>
        <v>3members</v>
      </c>
      <c r="L386" t="str">
        <f>CONCATENATE(Table2[[#This Row],[Family Size2]],"members")</f>
        <v>3members</v>
      </c>
      <c r="M386">
        <v>3</v>
      </c>
    </row>
    <row r="387" spans="1:13">
      <c r="A387">
        <v>386</v>
      </c>
      <c r="B387" t="s">
        <v>8</v>
      </c>
      <c r="C387">
        <v>83</v>
      </c>
      <c r="D387" t="str" cm="1">
        <f t="array" ref="D387">_xlfn.IFS(Table2[[#This Row],[Age]]&lt;=11,"Gen A",Table2[[#This Row],[Age]]&lt;=27,"Gen Z",Table2[[#This Row],[Age]]&lt;=43,"Millenials",Table2[[#This Row],[Age]]&lt;=59,"Gen X",Table2[[#This Row],[Age]]&lt;=78,"Baby Boomers",Table2[[#This Row],[Age]]&lt;=96,"Silent",Table2[[#This Row],[Age]]&gt;=97,"Greatest")</f>
        <v>Silent</v>
      </c>
      <c r="E387" s="1">
        <v>131574</v>
      </c>
      <c r="F387">
        <v>97</v>
      </c>
      <c r="G387" t="str" cm="1">
        <f t="array" ref="G387">_xlfn.IFS(Table2[[#This Row],[Spending Score (1-100)]]&lt;=25,"Low",Table2[[#This Row],[Spending Score (1-100)]]&lt;=50,"Medium",Table2[[#This Row],[Spending Score (1-100)]]&lt;=75,"High",Table2[[#This Row],[Spending Score (1-100)]]&lt;=100,"Very High")</f>
        <v>Very High</v>
      </c>
      <c r="H387" t="s">
        <v>14</v>
      </c>
      <c r="I387">
        <v>1</v>
      </c>
      <c r="J387" t="str">
        <f>CONCATENATE(Table2[[#This Row],[Work Experience]],"years")</f>
        <v>1years</v>
      </c>
      <c r="K387" t="str">
        <f>CONCATENATE(Table2[[#This Row],[Family Size2]],"members")</f>
        <v>2members</v>
      </c>
      <c r="L387" t="str">
        <f>CONCATENATE(Table2[[#This Row],[Family Size2]],"members")</f>
        <v>2members</v>
      </c>
      <c r="M387">
        <v>2</v>
      </c>
    </row>
    <row r="388" spans="1:13">
      <c r="A388">
        <v>387</v>
      </c>
      <c r="B388" t="s">
        <v>11</v>
      </c>
      <c r="C388">
        <v>20</v>
      </c>
      <c r="D388" t="str" cm="1">
        <f t="array" ref="D388">_xlfn.IFS(Table2[[#This Row],[Age]]&lt;=11,"Gen A",Table2[[#This Row],[Age]]&lt;=27,"Gen Z",Table2[[#This Row],[Age]]&lt;=43,"Millenials",Table2[[#This Row],[Age]]&lt;=59,"Gen X",Table2[[#This Row],[Age]]&lt;=78,"Baby Boomers",Table2[[#This Row],[Age]]&lt;=96,"Silent",Table2[[#This Row],[Age]]&gt;=97,"Greatest")</f>
        <v>Gen Z</v>
      </c>
      <c r="E388" s="1">
        <v>151124</v>
      </c>
      <c r="F388">
        <v>18</v>
      </c>
      <c r="G388" t="str" cm="1">
        <f t="array" ref="G388">_xlfn.IFS(Table2[[#This Row],[Spending Score (1-100)]]&lt;=25,"Low",Table2[[#This Row],[Spending Score (1-100)]]&lt;=50,"Medium",Table2[[#This Row],[Spending Score (1-100)]]&lt;=75,"High",Table2[[#This Row],[Spending Score (1-100)]]&lt;=100,"Very High")</f>
        <v>Low</v>
      </c>
      <c r="H388" t="s">
        <v>14</v>
      </c>
      <c r="I388">
        <v>15</v>
      </c>
      <c r="J388" t="str">
        <f>CONCATENATE(Table2[[#This Row],[Work Experience]],"years")</f>
        <v>15years</v>
      </c>
      <c r="K388" t="str">
        <f>CONCATENATE(Table2[[#This Row],[Family Size2]],"members")</f>
        <v>3members</v>
      </c>
      <c r="L388" t="str">
        <f>CONCATENATE(Table2[[#This Row],[Family Size2]],"members")</f>
        <v>3members</v>
      </c>
      <c r="M388">
        <v>3</v>
      </c>
    </row>
    <row r="389" spans="1:13">
      <c r="A389">
        <v>388</v>
      </c>
      <c r="B389" t="s">
        <v>11</v>
      </c>
      <c r="C389">
        <v>25</v>
      </c>
      <c r="D389" t="str" cm="1">
        <f t="array" ref="D389">_xlfn.IFS(Table2[[#This Row],[Age]]&lt;=11,"Gen A",Table2[[#This Row],[Age]]&lt;=27,"Gen Z",Table2[[#This Row],[Age]]&lt;=43,"Millenials",Table2[[#This Row],[Age]]&lt;=59,"Gen X",Table2[[#This Row],[Age]]&lt;=78,"Baby Boomers",Table2[[#This Row],[Age]]&lt;=96,"Silent",Table2[[#This Row],[Age]]&gt;=97,"Greatest")</f>
        <v>Gen Z</v>
      </c>
      <c r="E389" s="1">
        <v>67447</v>
      </c>
      <c r="F389">
        <v>5</v>
      </c>
      <c r="G389" t="str" cm="1">
        <f t="array" ref="G389">_xlfn.IFS(Table2[[#This Row],[Spending Score (1-100)]]&lt;=25,"Low",Table2[[#This Row],[Spending Score (1-100)]]&lt;=50,"Medium",Table2[[#This Row],[Spending Score (1-100)]]&lt;=75,"High",Table2[[#This Row],[Spending Score (1-100)]]&lt;=100,"Very High")</f>
        <v>Low</v>
      </c>
      <c r="H389" t="s">
        <v>14</v>
      </c>
      <c r="I389">
        <v>15</v>
      </c>
      <c r="J389" t="str">
        <f>CONCATENATE(Table2[[#This Row],[Work Experience]],"years")</f>
        <v>15years</v>
      </c>
      <c r="K389" t="str">
        <f>CONCATENATE(Table2[[#This Row],[Family Size2]],"members")</f>
        <v>2members</v>
      </c>
      <c r="L389" t="str">
        <f>CONCATENATE(Table2[[#This Row],[Family Size2]],"members")</f>
        <v>2members</v>
      </c>
      <c r="M389">
        <v>2</v>
      </c>
    </row>
    <row r="390" spans="1:13">
      <c r="A390">
        <v>389</v>
      </c>
      <c r="B390" t="s">
        <v>11</v>
      </c>
      <c r="C390">
        <v>26</v>
      </c>
      <c r="D390" t="str" cm="1">
        <f t="array" ref="D390">_xlfn.IFS(Table2[[#This Row],[Age]]&lt;=11,"Gen A",Table2[[#This Row],[Age]]&lt;=27,"Gen Z",Table2[[#This Row],[Age]]&lt;=43,"Millenials",Table2[[#This Row],[Age]]&lt;=59,"Gen X",Table2[[#This Row],[Age]]&lt;=78,"Baby Boomers",Table2[[#This Row],[Age]]&lt;=96,"Silent",Table2[[#This Row],[Age]]&gt;=97,"Greatest")</f>
        <v>Gen Z</v>
      </c>
      <c r="E390" s="1">
        <v>117454</v>
      </c>
      <c r="F390">
        <v>8</v>
      </c>
      <c r="G390" t="str" cm="1">
        <f t="array" ref="G390">_xlfn.IFS(Table2[[#This Row],[Spending Score (1-100)]]&lt;=25,"Low",Table2[[#This Row],[Spending Score (1-100)]]&lt;=50,"Medium",Table2[[#This Row],[Spending Score (1-100)]]&lt;=75,"High",Table2[[#This Row],[Spending Score (1-100)]]&lt;=100,"Very High")</f>
        <v>Low</v>
      </c>
      <c r="H390" t="s">
        <v>9</v>
      </c>
      <c r="I390">
        <v>16</v>
      </c>
      <c r="J390" t="str">
        <f>CONCATENATE(Table2[[#This Row],[Work Experience]],"years")</f>
        <v>16years</v>
      </c>
      <c r="K390" t="str">
        <f>CONCATENATE(Table2[[#This Row],[Family Size2]],"members")</f>
        <v>2members</v>
      </c>
      <c r="L390" t="str">
        <f>CONCATENATE(Table2[[#This Row],[Family Size2]],"members")</f>
        <v>2members</v>
      </c>
      <c r="M390">
        <v>2</v>
      </c>
    </row>
    <row r="391" spans="1:13">
      <c r="A391">
        <v>390</v>
      </c>
      <c r="B391" t="s">
        <v>11</v>
      </c>
      <c r="C391">
        <v>18</v>
      </c>
      <c r="D391" t="str" cm="1">
        <f t="array" ref="D391">_xlfn.IFS(Table2[[#This Row],[Age]]&lt;=11,"Gen A",Table2[[#This Row],[Age]]&lt;=27,"Gen Z",Table2[[#This Row],[Age]]&lt;=43,"Millenials",Table2[[#This Row],[Age]]&lt;=59,"Gen X",Table2[[#This Row],[Age]]&lt;=78,"Baby Boomers",Table2[[#This Row],[Age]]&lt;=96,"Silent",Table2[[#This Row],[Age]]&gt;=97,"Greatest")</f>
        <v>Gen Z</v>
      </c>
      <c r="E391" s="1">
        <v>86203</v>
      </c>
      <c r="F391">
        <v>23</v>
      </c>
      <c r="G391" t="str" cm="1">
        <f t="array" ref="G391">_xlfn.IFS(Table2[[#This Row],[Spending Score (1-100)]]&lt;=25,"Low",Table2[[#This Row],[Spending Score (1-100)]]&lt;=50,"Medium",Table2[[#This Row],[Spending Score (1-100)]]&lt;=75,"High",Table2[[#This Row],[Spending Score (1-100)]]&lt;=100,"Very High")</f>
        <v>Low</v>
      </c>
      <c r="H391" t="s">
        <v>16</v>
      </c>
      <c r="I391">
        <v>13</v>
      </c>
      <c r="J391" t="str">
        <f>CONCATENATE(Table2[[#This Row],[Work Experience]],"years")</f>
        <v>13years</v>
      </c>
      <c r="K391" t="str">
        <f>CONCATENATE(Table2[[#This Row],[Family Size2]],"members")</f>
        <v>1members</v>
      </c>
      <c r="L391" t="str">
        <f>CONCATENATE(Table2[[#This Row],[Family Size2]],"members")</f>
        <v>1members</v>
      </c>
      <c r="M391">
        <v>1</v>
      </c>
    </row>
    <row r="392" spans="1:13">
      <c r="A392">
        <v>391</v>
      </c>
      <c r="B392" t="s">
        <v>11</v>
      </c>
      <c r="C392">
        <v>7</v>
      </c>
      <c r="D392" t="str" cm="1">
        <f t="array" ref="D392">_xlfn.IFS(Table2[[#This Row],[Age]]&lt;=11,"Gen A",Table2[[#This Row],[Age]]&lt;=27,"Gen Z",Table2[[#This Row],[Age]]&lt;=43,"Millenials",Table2[[#This Row],[Age]]&lt;=59,"Gen X",Table2[[#This Row],[Age]]&lt;=78,"Baby Boomers",Table2[[#This Row],[Age]]&lt;=96,"Silent",Table2[[#This Row],[Age]]&gt;=97,"Greatest")</f>
        <v>Gen A</v>
      </c>
      <c r="E392" s="1">
        <v>136231</v>
      </c>
      <c r="F392">
        <v>10</v>
      </c>
      <c r="G392" t="str" cm="1">
        <f t="array" ref="G392">_xlfn.IFS(Table2[[#This Row],[Spending Score (1-100)]]&lt;=25,"Low",Table2[[#This Row],[Spending Score (1-100)]]&lt;=50,"Medium",Table2[[#This Row],[Spending Score (1-100)]]&lt;=75,"High",Table2[[#This Row],[Spending Score (1-100)]]&lt;=100,"Very High")</f>
        <v>Low</v>
      </c>
      <c r="H392" t="s">
        <v>14</v>
      </c>
      <c r="I392">
        <v>7</v>
      </c>
      <c r="J392" t="str">
        <f>CONCATENATE(Table2[[#This Row],[Work Experience]],"years")</f>
        <v>7years</v>
      </c>
      <c r="K392" t="str">
        <f>CONCATENATE(Table2[[#This Row],[Family Size2]],"members")</f>
        <v>1members</v>
      </c>
      <c r="L392" t="str">
        <f>CONCATENATE(Table2[[#This Row],[Family Size2]],"members")</f>
        <v>1members</v>
      </c>
      <c r="M392">
        <v>1</v>
      </c>
    </row>
    <row r="393" spans="1:13">
      <c r="A393">
        <v>392</v>
      </c>
      <c r="B393" t="s">
        <v>8</v>
      </c>
      <c r="C393">
        <v>1</v>
      </c>
      <c r="D393" t="str" cm="1">
        <f t="array" ref="D393">_xlfn.IFS(Table2[[#This Row],[Age]]&lt;=11,"Gen A",Table2[[#This Row],[Age]]&lt;=27,"Gen Z",Table2[[#This Row],[Age]]&lt;=43,"Millenials",Table2[[#This Row],[Age]]&lt;=59,"Gen X",Table2[[#This Row],[Age]]&lt;=78,"Baby Boomers",Table2[[#This Row],[Age]]&lt;=96,"Silent",Table2[[#This Row],[Age]]&gt;=97,"Greatest")</f>
        <v>Gen A</v>
      </c>
      <c r="E393" s="1">
        <v>89144</v>
      </c>
      <c r="F393">
        <v>1</v>
      </c>
      <c r="G393" t="str" cm="1">
        <f t="array" ref="G393">_xlfn.IFS(Table2[[#This Row],[Spending Score (1-100)]]&lt;=25,"Low",Table2[[#This Row],[Spending Score (1-100)]]&lt;=50,"Medium",Table2[[#This Row],[Spending Score (1-100)]]&lt;=75,"High",Table2[[#This Row],[Spending Score (1-100)]]&lt;=100,"Very High")</f>
        <v>Low</v>
      </c>
      <c r="H393" t="s">
        <v>16</v>
      </c>
      <c r="I393">
        <v>12</v>
      </c>
      <c r="J393" t="str">
        <f>CONCATENATE(Table2[[#This Row],[Work Experience]],"years")</f>
        <v>12years</v>
      </c>
      <c r="K393" t="str">
        <f>CONCATENATE(Table2[[#This Row],[Family Size2]],"members")</f>
        <v>2members</v>
      </c>
      <c r="L393" t="str">
        <f>CONCATENATE(Table2[[#This Row],[Family Size2]],"members")</f>
        <v>2members</v>
      </c>
      <c r="M393">
        <v>2</v>
      </c>
    </row>
    <row r="394" spans="1:13">
      <c r="A394">
        <v>393</v>
      </c>
      <c r="B394" t="s">
        <v>8</v>
      </c>
      <c r="C394">
        <v>21</v>
      </c>
      <c r="D394" t="str" cm="1">
        <f t="array" ref="D394">_xlfn.IFS(Table2[[#This Row],[Age]]&lt;=11,"Gen A",Table2[[#This Row],[Age]]&lt;=27,"Gen Z",Table2[[#This Row],[Age]]&lt;=43,"Millenials",Table2[[#This Row],[Age]]&lt;=59,"Gen X",Table2[[#This Row],[Age]]&lt;=78,"Baby Boomers",Table2[[#This Row],[Age]]&lt;=96,"Silent",Table2[[#This Row],[Age]]&gt;=97,"Greatest")</f>
        <v>Gen Z</v>
      </c>
      <c r="E394" s="1">
        <v>119116</v>
      </c>
      <c r="F394">
        <v>30</v>
      </c>
      <c r="G394" t="str" cm="1">
        <f t="array" ref="G394">_xlfn.IFS(Table2[[#This Row],[Spending Score (1-100)]]&lt;=25,"Low",Table2[[#This Row],[Spending Score (1-100)]]&lt;=50,"Medium",Table2[[#This Row],[Spending Score (1-100)]]&lt;=75,"High",Table2[[#This Row],[Spending Score (1-100)]]&lt;=100,"Very High")</f>
        <v>Medium</v>
      </c>
      <c r="H394" t="s">
        <v>14</v>
      </c>
      <c r="I394">
        <v>17</v>
      </c>
      <c r="J394" t="str">
        <f>CONCATENATE(Table2[[#This Row],[Work Experience]],"years")</f>
        <v>17years</v>
      </c>
      <c r="K394" t="str">
        <f>CONCATENATE(Table2[[#This Row],[Family Size2]],"members")</f>
        <v>4members</v>
      </c>
      <c r="L394" t="str">
        <f>CONCATENATE(Table2[[#This Row],[Family Size2]],"members")</f>
        <v>4members</v>
      </c>
      <c r="M394">
        <v>4</v>
      </c>
    </row>
    <row r="395" spans="1:13">
      <c r="A395">
        <v>394</v>
      </c>
      <c r="B395" t="s">
        <v>11</v>
      </c>
      <c r="C395">
        <v>86</v>
      </c>
      <c r="D395" t="str" cm="1">
        <f t="array" ref="D395">_xlfn.IFS(Table2[[#This Row],[Age]]&lt;=11,"Gen A",Table2[[#This Row],[Age]]&lt;=27,"Gen Z",Table2[[#This Row],[Age]]&lt;=43,"Millenials",Table2[[#This Row],[Age]]&lt;=59,"Gen X",Table2[[#This Row],[Age]]&lt;=78,"Baby Boomers",Table2[[#This Row],[Age]]&lt;=96,"Silent",Table2[[#This Row],[Age]]&gt;=97,"Greatest")</f>
        <v>Silent</v>
      </c>
      <c r="E395" s="1">
        <v>163463</v>
      </c>
      <c r="F395">
        <v>31</v>
      </c>
      <c r="G395" t="str" cm="1">
        <f t="array" ref="G395">_xlfn.IFS(Table2[[#This Row],[Spending Score (1-100)]]&lt;=25,"Low",Table2[[#This Row],[Spending Score (1-100)]]&lt;=50,"Medium",Table2[[#This Row],[Spending Score (1-100)]]&lt;=75,"High",Table2[[#This Row],[Spending Score (1-100)]]&lt;=100,"Very High")</f>
        <v>Medium</v>
      </c>
      <c r="H395" t="s">
        <v>14</v>
      </c>
      <c r="I395">
        <v>9</v>
      </c>
      <c r="J395" t="str">
        <f>CONCATENATE(Table2[[#This Row],[Work Experience]],"years")</f>
        <v>9years</v>
      </c>
      <c r="K395" t="str">
        <f>CONCATENATE(Table2[[#This Row],[Family Size2]],"members")</f>
        <v>4members</v>
      </c>
      <c r="L395" t="str">
        <f>CONCATENATE(Table2[[#This Row],[Family Size2]],"members")</f>
        <v>4members</v>
      </c>
      <c r="M395">
        <v>4</v>
      </c>
    </row>
    <row r="396" spans="1:13">
      <c r="A396">
        <v>395</v>
      </c>
      <c r="B396" t="s">
        <v>11</v>
      </c>
      <c r="C396">
        <v>75</v>
      </c>
      <c r="D396" t="str" cm="1">
        <f t="array" ref="D396">_xlfn.IFS(Table2[[#This Row],[Age]]&lt;=11,"Gen A",Table2[[#This Row],[Age]]&lt;=27,"Gen Z",Table2[[#This Row],[Age]]&lt;=43,"Millenials",Table2[[#This Row],[Age]]&lt;=59,"Gen X",Table2[[#This Row],[Age]]&lt;=78,"Baby Boomers",Table2[[#This Row],[Age]]&lt;=96,"Silent",Table2[[#This Row],[Age]]&gt;=97,"Greatest")</f>
        <v>Baby Boomers</v>
      </c>
      <c r="E396" s="1">
        <v>151696</v>
      </c>
      <c r="F396">
        <v>82</v>
      </c>
      <c r="G396" t="str" cm="1">
        <f t="array" ref="G396">_xlfn.IFS(Table2[[#This Row],[Spending Score (1-100)]]&lt;=25,"Low",Table2[[#This Row],[Spending Score (1-100)]]&lt;=50,"Medium",Table2[[#This Row],[Spending Score (1-100)]]&lt;=75,"High",Table2[[#This Row],[Spending Score (1-100)]]&lt;=100,"Very High")</f>
        <v>Very High</v>
      </c>
      <c r="H396" t="s">
        <v>14</v>
      </c>
      <c r="I396">
        <v>15</v>
      </c>
      <c r="J396" t="str">
        <f>CONCATENATE(Table2[[#This Row],[Work Experience]],"years")</f>
        <v>15years</v>
      </c>
      <c r="K396" t="str">
        <f>CONCATENATE(Table2[[#This Row],[Family Size2]],"members")</f>
        <v>1members</v>
      </c>
      <c r="L396" t="str">
        <f>CONCATENATE(Table2[[#This Row],[Family Size2]],"members")</f>
        <v>1members</v>
      </c>
      <c r="M396">
        <v>1</v>
      </c>
    </row>
    <row r="397" spans="1:13">
      <c r="A397">
        <v>396</v>
      </c>
      <c r="B397" t="s">
        <v>8</v>
      </c>
      <c r="C397">
        <v>78</v>
      </c>
      <c r="D397" t="str" cm="1">
        <f t="array" ref="D397">_xlfn.IFS(Table2[[#This Row],[Age]]&lt;=11,"Gen A",Table2[[#This Row],[Age]]&lt;=27,"Gen Z",Table2[[#This Row],[Age]]&lt;=43,"Millenials",Table2[[#This Row],[Age]]&lt;=59,"Gen X",Table2[[#This Row],[Age]]&lt;=78,"Baby Boomers",Table2[[#This Row],[Age]]&lt;=96,"Silent",Table2[[#This Row],[Age]]&gt;=97,"Greatest")</f>
        <v>Baby Boomers</v>
      </c>
      <c r="E397" s="1">
        <v>184736</v>
      </c>
      <c r="F397">
        <v>52</v>
      </c>
      <c r="G397" t="str" cm="1">
        <f t="array" ref="G397">_xlfn.IFS(Table2[[#This Row],[Spending Score (1-100)]]&lt;=25,"Low",Table2[[#This Row],[Spending Score (1-100)]]&lt;=50,"Medium",Table2[[#This Row],[Spending Score (1-100)]]&lt;=75,"High",Table2[[#This Row],[Spending Score (1-100)]]&lt;=100,"Very High")</f>
        <v>High</v>
      </c>
      <c r="H397" t="s">
        <v>12</v>
      </c>
      <c r="I397">
        <v>13</v>
      </c>
      <c r="J397" t="str">
        <f>CONCATENATE(Table2[[#This Row],[Work Experience]],"years")</f>
        <v>13years</v>
      </c>
      <c r="K397" t="str">
        <f>CONCATENATE(Table2[[#This Row],[Family Size2]],"members")</f>
        <v>1members</v>
      </c>
      <c r="L397" t="str">
        <f>CONCATENATE(Table2[[#This Row],[Family Size2]],"members")</f>
        <v>1members</v>
      </c>
      <c r="M397">
        <v>1</v>
      </c>
    </row>
    <row r="398" spans="1:13">
      <c r="A398">
        <v>397</v>
      </c>
      <c r="B398" t="s">
        <v>11</v>
      </c>
      <c r="C398">
        <v>87</v>
      </c>
      <c r="D398" t="str" cm="1">
        <f t="array" ref="D398">_xlfn.IFS(Table2[[#This Row],[Age]]&lt;=11,"Gen A",Table2[[#This Row],[Age]]&lt;=27,"Gen Z",Table2[[#This Row],[Age]]&lt;=43,"Millenials",Table2[[#This Row],[Age]]&lt;=59,"Gen X",Table2[[#This Row],[Age]]&lt;=78,"Baby Boomers",Table2[[#This Row],[Age]]&lt;=96,"Silent",Table2[[#This Row],[Age]]&gt;=97,"Greatest")</f>
        <v>Silent</v>
      </c>
      <c r="E398" s="1">
        <v>70419</v>
      </c>
      <c r="F398">
        <v>69</v>
      </c>
      <c r="G398" t="str" cm="1">
        <f t="array" ref="G398">_xlfn.IFS(Table2[[#This Row],[Spending Score (1-100)]]&lt;=25,"Low",Table2[[#This Row],[Spending Score (1-100)]]&lt;=50,"Medium",Table2[[#This Row],[Spending Score (1-100)]]&lt;=75,"High",Table2[[#This Row],[Spending Score (1-100)]]&lt;=100,"Very High")</f>
        <v>High</v>
      </c>
      <c r="H398" t="s">
        <v>17</v>
      </c>
      <c r="I398">
        <v>6</v>
      </c>
      <c r="J398" t="str">
        <f>CONCATENATE(Table2[[#This Row],[Work Experience]],"years")</f>
        <v>6years</v>
      </c>
      <c r="K398" t="str">
        <f>CONCATENATE(Table2[[#This Row],[Family Size2]],"members")</f>
        <v>4members</v>
      </c>
      <c r="L398" t="str">
        <f>CONCATENATE(Table2[[#This Row],[Family Size2]],"members")</f>
        <v>4members</v>
      </c>
      <c r="M398">
        <v>4</v>
      </c>
    </row>
    <row r="399" spans="1:13">
      <c r="A399">
        <v>398</v>
      </c>
      <c r="B399" t="s">
        <v>11</v>
      </c>
      <c r="C399">
        <v>8</v>
      </c>
      <c r="D399" t="str" cm="1">
        <f t="array" ref="D399">_xlfn.IFS(Table2[[#This Row],[Age]]&lt;=11,"Gen A",Table2[[#This Row],[Age]]&lt;=27,"Gen Z",Table2[[#This Row],[Age]]&lt;=43,"Millenials",Table2[[#This Row],[Age]]&lt;=59,"Gen X",Table2[[#This Row],[Age]]&lt;=78,"Baby Boomers",Table2[[#This Row],[Age]]&lt;=96,"Silent",Table2[[#This Row],[Age]]&gt;=97,"Greatest")</f>
        <v>Gen A</v>
      </c>
      <c r="E399" s="1">
        <v>119104</v>
      </c>
      <c r="F399">
        <v>41</v>
      </c>
      <c r="G399" t="str" cm="1">
        <f t="array" ref="G399">_xlfn.IFS(Table2[[#This Row],[Spending Score (1-100)]]&lt;=25,"Low",Table2[[#This Row],[Spending Score (1-100)]]&lt;=50,"Medium",Table2[[#This Row],[Spending Score (1-100)]]&lt;=75,"High",Table2[[#This Row],[Spending Score (1-100)]]&lt;=100,"Very High")</f>
        <v>Medium</v>
      </c>
      <c r="H399" t="s">
        <v>13</v>
      </c>
      <c r="I399">
        <v>14</v>
      </c>
      <c r="J399" t="str">
        <f>CONCATENATE(Table2[[#This Row],[Work Experience]],"years")</f>
        <v>14years</v>
      </c>
      <c r="K399" t="str">
        <f>CONCATENATE(Table2[[#This Row],[Family Size2]],"members")</f>
        <v>3members</v>
      </c>
      <c r="L399" t="str">
        <f>CONCATENATE(Table2[[#This Row],[Family Size2]],"members")</f>
        <v>3members</v>
      </c>
      <c r="M399">
        <v>3</v>
      </c>
    </row>
    <row r="400" spans="1:13">
      <c r="A400">
        <v>399</v>
      </c>
      <c r="B400" t="s">
        <v>8</v>
      </c>
      <c r="C400">
        <v>59</v>
      </c>
      <c r="D400" t="str" cm="1">
        <f t="array" ref="D400">_xlfn.IFS(Table2[[#This Row],[Age]]&lt;=11,"Gen A",Table2[[#This Row],[Age]]&lt;=27,"Gen Z",Table2[[#This Row],[Age]]&lt;=43,"Millenials",Table2[[#This Row],[Age]]&lt;=59,"Gen X",Table2[[#This Row],[Age]]&lt;=78,"Baby Boomers",Table2[[#This Row],[Age]]&lt;=96,"Silent",Table2[[#This Row],[Age]]&gt;=97,"Greatest")</f>
        <v>Gen X</v>
      </c>
      <c r="E400" s="1">
        <v>130950</v>
      </c>
      <c r="F400">
        <v>28</v>
      </c>
      <c r="G400" t="str" cm="1">
        <f t="array" ref="G400">_xlfn.IFS(Table2[[#This Row],[Spending Score (1-100)]]&lt;=25,"Low",Table2[[#This Row],[Spending Score (1-100)]]&lt;=50,"Medium",Table2[[#This Row],[Spending Score (1-100)]]&lt;=75,"High",Table2[[#This Row],[Spending Score (1-100)]]&lt;=100,"Very High")</f>
        <v>Medium</v>
      </c>
      <c r="H400" t="s">
        <v>15</v>
      </c>
      <c r="I400">
        <v>5</v>
      </c>
      <c r="J400" t="str">
        <f>CONCATENATE(Table2[[#This Row],[Work Experience]],"years")</f>
        <v>5years</v>
      </c>
      <c r="K400" t="str">
        <f>CONCATENATE(Table2[[#This Row],[Family Size2]],"members")</f>
        <v>3members</v>
      </c>
      <c r="L400" t="str">
        <f>CONCATENATE(Table2[[#This Row],[Family Size2]],"members")</f>
        <v>3members</v>
      </c>
      <c r="M400">
        <v>3</v>
      </c>
    </row>
    <row r="401" spans="1:13">
      <c r="A401">
        <v>400</v>
      </c>
      <c r="B401" t="s">
        <v>8</v>
      </c>
      <c r="C401">
        <v>13</v>
      </c>
      <c r="D401" t="str" cm="1">
        <f t="array" ref="D401">_xlfn.IFS(Table2[[#This Row],[Age]]&lt;=11,"Gen A",Table2[[#This Row],[Age]]&lt;=27,"Gen Z",Table2[[#This Row],[Age]]&lt;=43,"Millenials",Table2[[#This Row],[Age]]&lt;=59,"Gen X",Table2[[#This Row],[Age]]&lt;=78,"Baby Boomers",Table2[[#This Row],[Age]]&lt;=96,"Silent",Table2[[#This Row],[Age]]&gt;=97,"Greatest")</f>
        <v>Gen Z</v>
      </c>
      <c r="E401" s="1">
        <v>140950</v>
      </c>
      <c r="F401">
        <v>77</v>
      </c>
      <c r="G401" t="str" cm="1">
        <f t="array" ref="G401">_xlfn.IFS(Table2[[#This Row],[Spending Score (1-100)]]&lt;=25,"Low",Table2[[#This Row],[Spending Score (1-100)]]&lt;=50,"Medium",Table2[[#This Row],[Spending Score (1-100)]]&lt;=75,"High",Table2[[#This Row],[Spending Score (1-100)]]&lt;=100,"Very High")</f>
        <v>Very High</v>
      </c>
      <c r="H401" t="s">
        <v>14</v>
      </c>
      <c r="I401">
        <v>15</v>
      </c>
      <c r="J401" t="str">
        <f>CONCATENATE(Table2[[#This Row],[Work Experience]],"years")</f>
        <v>15years</v>
      </c>
      <c r="K401" t="str">
        <f>CONCATENATE(Table2[[#This Row],[Family Size2]],"members")</f>
        <v>2members</v>
      </c>
      <c r="L401" t="str">
        <f>CONCATENATE(Table2[[#This Row],[Family Size2]],"members")</f>
        <v>2members</v>
      </c>
      <c r="M401">
        <v>2</v>
      </c>
    </row>
    <row r="402" spans="1:13">
      <c r="A402">
        <v>401</v>
      </c>
      <c r="B402" t="s">
        <v>11</v>
      </c>
      <c r="C402">
        <v>55</v>
      </c>
      <c r="D402" t="str" cm="1">
        <f t="array" ref="D402">_xlfn.IFS(Table2[[#This Row],[Age]]&lt;=11,"Gen A",Table2[[#This Row],[Age]]&lt;=27,"Gen Z",Table2[[#This Row],[Age]]&lt;=43,"Millenials",Table2[[#This Row],[Age]]&lt;=59,"Gen X",Table2[[#This Row],[Age]]&lt;=78,"Baby Boomers",Table2[[#This Row],[Age]]&lt;=96,"Silent",Table2[[#This Row],[Age]]&gt;=97,"Greatest")</f>
        <v>Gen X</v>
      </c>
      <c r="E402" s="1">
        <v>82285</v>
      </c>
      <c r="F402">
        <v>35</v>
      </c>
      <c r="G402" t="str" cm="1">
        <f t="array" ref="G402">_xlfn.IFS(Table2[[#This Row],[Spending Score (1-100)]]&lt;=25,"Low",Table2[[#This Row],[Spending Score (1-100)]]&lt;=50,"Medium",Table2[[#This Row],[Spending Score (1-100)]]&lt;=75,"High",Table2[[#This Row],[Spending Score (1-100)]]&lt;=100,"Very High")</f>
        <v>Medium</v>
      </c>
      <c r="H402" t="s">
        <v>10</v>
      </c>
      <c r="I402">
        <v>16</v>
      </c>
      <c r="J402" t="str">
        <f>CONCATENATE(Table2[[#This Row],[Work Experience]],"years")</f>
        <v>16years</v>
      </c>
      <c r="K402" t="str">
        <f>CONCATENATE(Table2[[#This Row],[Family Size2]],"members")</f>
        <v>1members</v>
      </c>
      <c r="L402" t="str">
        <f>CONCATENATE(Table2[[#This Row],[Family Size2]],"members")</f>
        <v>1members</v>
      </c>
      <c r="M402">
        <v>1</v>
      </c>
    </row>
    <row r="403" spans="1:13">
      <c r="A403">
        <v>402</v>
      </c>
      <c r="B403" t="s">
        <v>11</v>
      </c>
      <c r="C403">
        <v>50</v>
      </c>
      <c r="D403" t="str" cm="1">
        <f t="array" ref="D403">_xlfn.IFS(Table2[[#This Row],[Age]]&lt;=11,"Gen A",Table2[[#This Row],[Age]]&lt;=27,"Gen Z",Table2[[#This Row],[Age]]&lt;=43,"Millenials",Table2[[#This Row],[Age]]&lt;=59,"Gen X",Table2[[#This Row],[Age]]&lt;=78,"Baby Boomers",Table2[[#This Row],[Age]]&lt;=96,"Silent",Table2[[#This Row],[Age]]&gt;=97,"Greatest")</f>
        <v>Gen X</v>
      </c>
      <c r="E403" s="1">
        <v>91389</v>
      </c>
      <c r="F403">
        <v>92</v>
      </c>
      <c r="G403" t="str" cm="1">
        <f t="array" ref="G403">_xlfn.IFS(Table2[[#This Row],[Spending Score (1-100)]]&lt;=25,"Low",Table2[[#This Row],[Spending Score (1-100)]]&lt;=50,"Medium",Table2[[#This Row],[Spending Score (1-100)]]&lt;=75,"High",Table2[[#This Row],[Spending Score (1-100)]]&lt;=100,"Very High")</f>
        <v>Very High</v>
      </c>
      <c r="H403" t="s">
        <v>9</v>
      </c>
      <c r="I403">
        <v>11</v>
      </c>
      <c r="J403" t="str">
        <f>CONCATENATE(Table2[[#This Row],[Work Experience]],"years")</f>
        <v>11years</v>
      </c>
      <c r="K403" t="str">
        <f>CONCATENATE(Table2[[#This Row],[Family Size2]],"members")</f>
        <v>7members</v>
      </c>
      <c r="L403" t="str">
        <f>CONCATENATE(Table2[[#This Row],[Family Size2]],"members")</f>
        <v>7members</v>
      </c>
      <c r="M403">
        <v>7</v>
      </c>
    </row>
    <row r="404" spans="1:13">
      <c r="A404">
        <v>403</v>
      </c>
      <c r="B404" t="s">
        <v>8</v>
      </c>
      <c r="C404">
        <v>54</v>
      </c>
      <c r="D404" t="str" cm="1">
        <f t="array" ref="D404">_xlfn.IFS(Table2[[#This Row],[Age]]&lt;=11,"Gen A",Table2[[#This Row],[Age]]&lt;=27,"Gen Z",Table2[[#This Row],[Age]]&lt;=43,"Millenials",Table2[[#This Row],[Age]]&lt;=59,"Gen X",Table2[[#This Row],[Age]]&lt;=78,"Baby Boomers",Table2[[#This Row],[Age]]&lt;=96,"Silent",Table2[[#This Row],[Age]]&gt;=97,"Greatest")</f>
        <v>Gen X</v>
      </c>
      <c r="E404" s="1">
        <v>186359</v>
      </c>
      <c r="F404">
        <v>95</v>
      </c>
      <c r="G404" t="str" cm="1">
        <f t="array" ref="G404">_xlfn.IFS(Table2[[#This Row],[Spending Score (1-100)]]&lt;=25,"Low",Table2[[#This Row],[Spending Score (1-100)]]&lt;=50,"Medium",Table2[[#This Row],[Spending Score (1-100)]]&lt;=75,"High",Table2[[#This Row],[Spending Score (1-100)]]&lt;=100,"Very High")</f>
        <v>Very High</v>
      </c>
      <c r="H404" t="s">
        <v>16</v>
      </c>
      <c r="I404">
        <v>13</v>
      </c>
      <c r="J404" t="str">
        <f>CONCATENATE(Table2[[#This Row],[Work Experience]],"years")</f>
        <v>13years</v>
      </c>
      <c r="K404" t="str">
        <f>CONCATENATE(Table2[[#This Row],[Family Size2]],"members")</f>
        <v>2members</v>
      </c>
      <c r="L404" t="str">
        <f>CONCATENATE(Table2[[#This Row],[Family Size2]],"members")</f>
        <v>2members</v>
      </c>
      <c r="M404">
        <v>2</v>
      </c>
    </row>
    <row r="405" spans="1:13">
      <c r="A405">
        <v>404</v>
      </c>
      <c r="B405" t="s">
        <v>8</v>
      </c>
      <c r="C405">
        <v>13</v>
      </c>
      <c r="D405" t="str" cm="1">
        <f t="array" ref="D405">_xlfn.IFS(Table2[[#This Row],[Age]]&lt;=11,"Gen A",Table2[[#This Row],[Age]]&lt;=27,"Gen Z",Table2[[#This Row],[Age]]&lt;=43,"Millenials",Table2[[#This Row],[Age]]&lt;=59,"Gen X",Table2[[#This Row],[Age]]&lt;=78,"Baby Boomers",Table2[[#This Row],[Age]]&lt;=96,"Silent",Table2[[#This Row],[Age]]&gt;=97,"Greatest")</f>
        <v>Gen Z</v>
      </c>
      <c r="E405" s="1">
        <v>178989</v>
      </c>
      <c r="F405">
        <v>46</v>
      </c>
      <c r="G405" t="str" cm="1">
        <f t="array" ref="G405">_xlfn.IFS(Table2[[#This Row],[Spending Score (1-100)]]&lt;=25,"Low",Table2[[#This Row],[Spending Score (1-100)]]&lt;=50,"Medium",Table2[[#This Row],[Spending Score (1-100)]]&lt;=75,"High",Table2[[#This Row],[Spending Score (1-100)]]&lt;=100,"Very High")</f>
        <v>Medium</v>
      </c>
      <c r="H405" t="s">
        <v>16</v>
      </c>
      <c r="I405">
        <v>14</v>
      </c>
      <c r="J405" t="str">
        <f>CONCATENATE(Table2[[#This Row],[Work Experience]],"years")</f>
        <v>14years</v>
      </c>
      <c r="K405" t="str">
        <f>CONCATENATE(Table2[[#This Row],[Family Size2]],"members")</f>
        <v>3members</v>
      </c>
      <c r="L405" t="str">
        <f>CONCATENATE(Table2[[#This Row],[Family Size2]],"members")</f>
        <v>3members</v>
      </c>
      <c r="M405">
        <v>3</v>
      </c>
    </row>
    <row r="406" spans="1:13">
      <c r="A406">
        <v>405</v>
      </c>
      <c r="B406" t="s">
        <v>8</v>
      </c>
      <c r="C406">
        <v>79</v>
      </c>
      <c r="D406" t="str" cm="1">
        <f t="array" ref="D406">_xlfn.IFS(Table2[[#This Row],[Age]]&lt;=11,"Gen A",Table2[[#This Row],[Age]]&lt;=27,"Gen Z",Table2[[#This Row],[Age]]&lt;=43,"Millenials",Table2[[#This Row],[Age]]&lt;=59,"Gen X",Table2[[#This Row],[Age]]&lt;=78,"Baby Boomers",Table2[[#This Row],[Age]]&lt;=96,"Silent",Table2[[#This Row],[Age]]&gt;=97,"Greatest")</f>
        <v>Silent</v>
      </c>
      <c r="E406" s="1">
        <v>166335</v>
      </c>
      <c r="F406">
        <v>45</v>
      </c>
      <c r="G406" t="str" cm="1">
        <f t="array" ref="G406">_xlfn.IFS(Table2[[#This Row],[Spending Score (1-100)]]&lt;=25,"Low",Table2[[#This Row],[Spending Score (1-100)]]&lt;=50,"Medium",Table2[[#This Row],[Spending Score (1-100)]]&lt;=75,"High",Table2[[#This Row],[Spending Score (1-100)]]&lt;=100,"Very High")</f>
        <v>Medium</v>
      </c>
      <c r="H406" t="s">
        <v>10</v>
      </c>
      <c r="I406">
        <v>5</v>
      </c>
      <c r="J406" t="str">
        <f>CONCATENATE(Table2[[#This Row],[Work Experience]],"years")</f>
        <v>5years</v>
      </c>
      <c r="K406" t="str">
        <f>CONCATENATE(Table2[[#This Row],[Family Size2]],"members")</f>
        <v>5members</v>
      </c>
      <c r="L406" t="str">
        <f>CONCATENATE(Table2[[#This Row],[Family Size2]],"members")</f>
        <v>5members</v>
      </c>
      <c r="M406">
        <v>5</v>
      </c>
    </row>
    <row r="407" spans="1:13">
      <c r="A407">
        <v>406</v>
      </c>
      <c r="B407" t="s">
        <v>11</v>
      </c>
      <c r="C407">
        <v>65</v>
      </c>
      <c r="D407" t="str" cm="1">
        <f t="array" ref="D407">_xlfn.IFS(Table2[[#This Row],[Age]]&lt;=11,"Gen A",Table2[[#This Row],[Age]]&lt;=27,"Gen Z",Table2[[#This Row],[Age]]&lt;=43,"Millenials",Table2[[#This Row],[Age]]&lt;=59,"Gen X",Table2[[#This Row],[Age]]&lt;=78,"Baby Boomers",Table2[[#This Row],[Age]]&lt;=96,"Silent",Table2[[#This Row],[Age]]&gt;=97,"Greatest")</f>
        <v>Baby Boomers</v>
      </c>
      <c r="E407" s="1">
        <v>119889</v>
      </c>
      <c r="F407">
        <v>11</v>
      </c>
      <c r="G407" t="str" cm="1">
        <f t="array" ref="G407">_xlfn.IFS(Table2[[#This Row],[Spending Score (1-100)]]&lt;=25,"Low",Table2[[#This Row],[Spending Score (1-100)]]&lt;=50,"Medium",Table2[[#This Row],[Spending Score (1-100)]]&lt;=75,"High",Table2[[#This Row],[Spending Score (1-100)]]&lt;=100,"Very High")</f>
        <v>Low</v>
      </c>
      <c r="H407" t="s">
        <v>14</v>
      </c>
      <c r="I407">
        <v>17</v>
      </c>
      <c r="J407" t="str">
        <f>CONCATENATE(Table2[[#This Row],[Work Experience]],"years")</f>
        <v>17years</v>
      </c>
      <c r="K407" t="str">
        <f>CONCATENATE(Table2[[#This Row],[Family Size2]],"members")</f>
        <v>6members</v>
      </c>
      <c r="L407" t="str">
        <f>CONCATENATE(Table2[[#This Row],[Family Size2]],"members")</f>
        <v>6members</v>
      </c>
      <c r="M407">
        <v>6</v>
      </c>
    </row>
    <row r="408" spans="1:13">
      <c r="A408">
        <v>407</v>
      </c>
      <c r="B408" t="s">
        <v>11</v>
      </c>
      <c r="C408">
        <v>51</v>
      </c>
      <c r="D408" t="str" cm="1">
        <f t="array" ref="D408">_xlfn.IFS(Table2[[#This Row],[Age]]&lt;=11,"Gen A",Table2[[#This Row],[Age]]&lt;=27,"Gen Z",Table2[[#This Row],[Age]]&lt;=43,"Millenials",Table2[[#This Row],[Age]]&lt;=59,"Gen X",Table2[[#This Row],[Age]]&lt;=78,"Baby Boomers",Table2[[#This Row],[Age]]&lt;=96,"Silent",Table2[[#This Row],[Age]]&gt;=97,"Greatest")</f>
        <v>Gen X</v>
      </c>
      <c r="E408" s="1">
        <v>66852</v>
      </c>
      <c r="F408">
        <v>73</v>
      </c>
      <c r="G408" t="str" cm="1">
        <f t="array" ref="G408">_xlfn.IFS(Table2[[#This Row],[Spending Score (1-100)]]&lt;=25,"Low",Table2[[#This Row],[Spending Score (1-100)]]&lt;=50,"Medium",Table2[[#This Row],[Spending Score (1-100)]]&lt;=75,"High",Table2[[#This Row],[Spending Score (1-100)]]&lt;=100,"Very High")</f>
        <v>High</v>
      </c>
      <c r="H408" t="s">
        <v>15</v>
      </c>
      <c r="I408">
        <v>15</v>
      </c>
      <c r="J408" t="str">
        <f>CONCATENATE(Table2[[#This Row],[Work Experience]],"years")</f>
        <v>15years</v>
      </c>
      <c r="K408" t="str">
        <f>CONCATENATE(Table2[[#This Row],[Family Size2]],"members")</f>
        <v>3members</v>
      </c>
      <c r="L408" t="str">
        <f>CONCATENATE(Table2[[#This Row],[Family Size2]],"members")</f>
        <v>3members</v>
      </c>
      <c r="M408">
        <v>3</v>
      </c>
    </row>
    <row r="409" spans="1:13">
      <c r="A409">
        <v>408</v>
      </c>
      <c r="B409" t="s">
        <v>8</v>
      </c>
      <c r="C409">
        <v>18</v>
      </c>
      <c r="D409" t="str" cm="1">
        <f t="array" ref="D409">_xlfn.IFS(Table2[[#This Row],[Age]]&lt;=11,"Gen A",Table2[[#This Row],[Age]]&lt;=27,"Gen Z",Table2[[#This Row],[Age]]&lt;=43,"Millenials",Table2[[#This Row],[Age]]&lt;=59,"Gen X",Table2[[#This Row],[Age]]&lt;=78,"Baby Boomers",Table2[[#This Row],[Age]]&lt;=96,"Silent",Table2[[#This Row],[Age]]&gt;=97,"Greatest")</f>
        <v>Gen Z</v>
      </c>
      <c r="E409" s="1">
        <v>103896</v>
      </c>
      <c r="F409">
        <v>36</v>
      </c>
      <c r="G409" t="str" cm="1">
        <f t="array" ref="G409">_xlfn.IFS(Table2[[#This Row],[Spending Score (1-100)]]&lt;=25,"Low",Table2[[#This Row],[Spending Score (1-100)]]&lt;=50,"Medium",Table2[[#This Row],[Spending Score (1-100)]]&lt;=75,"High",Table2[[#This Row],[Spending Score (1-100)]]&lt;=100,"Very High")</f>
        <v>Medium</v>
      </c>
      <c r="H409" t="s">
        <v>15</v>
      </c>
      <c r="I409">
        <v>16</v>
      </c>
      <c r="J409" t="str">
        <f>CONCATENATE(Table2[[#This Row],[Work Experience]],"years")</f>
        <v>16years</v>
      </c>
      <c r="K409" t="str">
        <f>CONCATENATE(Table2[[#This Row],[Family Size2]],"members")</f>
        <v>4members</v>
      </c>
      <c r="L409" t="str">
        <f>CONCATENATE(Table2[[#This Row],[Family Size2]],"members")</f>
        <v>4members</v>
      </c>
      <c r="M409">
        <v>4</v>
      </c>
    </row>
    <row r="410" spans="1:13">
      <c r="A410">
        <v>409</v>
      </c>
      <c r="B410" t="s">
        <v>8</v>
      </c>
      <c r="C410">
        <v>21</v>
      </c>
      <c r="D410" t="str" cm="1">
        <f t="array" ref="D410">_xlfn.IFS(Table2[[#This Row],[Age]]&lt;=11,"Gen A",Table2[[#This Row],[Age]]&lt;=27,"Gen Z",Table2[[#This Row],[Age]]&lt;=43,"Millenials",Table2[[#This Row],[Age]]&lt;=59,"Gen X",Table2[[#This Row],[Age]]&lt;=78,"Baby Boomers",Table2[[#This Row],[Age]]&lt;=96,"Silent",Table2[[#This Row],[Age]]&gt;=97,"Greatest")</f>
        <v>Gen Z</v>
      </c>
      <c r="E410" s="1">
        <v>187761</v>
      </c>
      <c r="F410">
        <v>87</v>
      </c>
      <c r="G410" t="str" cm="1">
        <f t="array" ref="G410">_xlfn.IFS(Table2[[#This Row],[Spending Score (1-100)]]&lt;=25,"Low",Table2[[#This Row],[Spending Score (1-100)]]&lt;=50,"Medium",Table2[[#This Row],[Spending Score (1-100)]]&lt;=75,"High",Table2[[#This Row],[Spending Score (1-100)]]&lt;=100,"Very High")</f>
        <v>Very High</v>
      </c>
      <c r="H410" t="s">
        <v>9</v>
      </c>
      <c r="I410">
        <v>2</v>
      </c>
      <c r="J410" t="str">
        <f>CONCATENATE(Table2[[#This Row],[Work Experience]],"years")</f>
        <v>2years</v>
      </c>
      <c r="K410" t="str">
        <f>CONCATENATE(Table2[[#This Row],[Family Size2]],"members")</f>
        <v>3members</v>
      </c>
      <c r="L410" t="str">
        <f>CONCATENATE(Table2[[#This Row],[Family Size2]],"members")</f>
        <v>3members</v>
      </c>
      <c r="M410">
        <v>3</v>
      </c>
    </row>
    <row r="411" spans="1:13">
      <c r="A411">
        <v>410</v>
      </c>
      <c r="B411" t="s">
        <v>8</v>
      </c>
      <c r="C411">
        <v>37</v>
      </c>
      <c r="D411" t="str" cm="1">
        <f t="array" ref="D411">_xlfn.IFS(Table2[[#This Row],[Age]]&lt;=11,"Gen A",Table2[[#This Row],[Age]]&lt;=27,"Gen Z",Table2[[#This Row],[Age]]&lt;=43,"Millenials",Table2[[#This Row],[Age]]&lt;=59,"Gen X",Table2[[#This Row],[Age]]&lt;=78,"Baby Boomers",Table2[[#This Row],[Age]]&lt;=96,"Silent",Table2[[#This Row],[Age]]&gt;=97,"Greatest")</f>
        <v>Millenials</v>
      </c>
      <c r="E411" s="1">
        <v>102717</v>
      </c>
      <c r="F411">
        <v>93</v>
      </c>
      <c r="G411" t="str" cm="1">
        <f t="array" ref="G411">_xlfn.IFS(Table2[[#This Row],[Spending Score (1-100)]]&lt;=25,"Low",Table2[[#This Row],[Spending Score (1-100)]]&lt;=50,"Medium",Table2[[#This Row],[Spending Score (1-100)]]&lt;=75,"High",Table2[[#This Row],[Spending Score (1-100)]]&lt;=100,"Very High")</f>
        <v>Very High</v>
      </c>
      <c r="H411" t="s">
        <v>9</v>
      </c>
      <c r="I411">
        <v>7</v>
      </c>
      <c r="J411" t="str">
        <f>CONCATENATE(Table2[[#This Row],[Work Experience]],"years")</f>
        <v>7years</v>
      </c>
      <c r="K411" t="str">
        <f>CONCATENATE(Table2[[#This Row],[Family Size2]],"members")</f>
        <v>4members</v>
      </c>
      <c r="L411" t="str">
        <f>CONCATENATE(Table2[[#This Row],[Family Size2]],"members")</f>
        <v>4members</v>
      </c>
      <c r="M411">
        <v>4</v>
      </c>
    </row>
    <row r="412" spans="1:13">
      <c r="A412">
        <v>411</v>
      </c>
      <c r="B412" t="s">
        <v>8</v>
      </c>
      <c r="C412">
        <v>83</v>
      </c>
      <c r="D412" t="str" cm="1">
        <f t="array" ref="D412">_xlfn.IFS(Table2[[#This Row],[Age]]&lt;=11,"Gen A",Table2[[#This Row],[Age]]&lt;=27,"Gen Z",Table2[[#This Row],[Age]]&lt;=43,"Millenials",Table2[[#This Row],[Age]]&lt;=59,"Gen X",Table2[[#This Row],[Age]]&lt;=78,"Baby Boomers",Table2[[#This Row],[Age]]&lt;=96,"Silent",Table2[[#This Row],[Age]]&gt;=97,"Greatest")</f>
        <v>Silent</v>
      </c>
      <c r="E412" s="1">
        <v>102647</v>
      </c>
      <c r="F412">
        <v>83</v>
      </c>
      <c r="G412" t="str" cm="1">
        <f t="array" ref="G412">_xlfn.IFS(Table2[[#This Row],[Spending Score (1-100)]]&lt;=25,"Low",Table2[[#This Row],[Spending Score (1-100)]]&lt;=50,"Medium",Table2[[#This Row],[Spending Score (1-100)]]&lt;=75,"High",Table2[[#This Row],[Spending Score (1-100)]]&lt;=100,"Very High")</f>
        <v>Very High</v>
      </c>
      <c r="H412" t="s">
        <v>13</v>
      </c>
      <c r="I412">
        <v>0</v>
      </c>
      <c r="J412" t="str">
        <f>CONCATENATE(Table2[[#This Row],[Work Experience]],"years")</f>
        <v>0years</v>
      </c>
      <c r="K412" t="str">
        <f>CONCATENATE(Table2[[#This Row],[Family Size2]],"members")</f>
        <v>2members</v>
      </c>
      <c r="L412" t="str">
        <f>CONCATENATE(Table2[[#This Row],[Family Size2]],"members")</f>
        <v>2members</v>
      </c>
      <c r="M412">
        <v>2</v>
      </c>
    </row>
    <row r="413" spans="1:13">
      <c r="A413">
        <v>412</v>
      </c>
      <c r="B413" t="s">
        <v>11</v>
      </c>
      <c r="C413">
        <v>96</v>
      </c>
      <c r="D413" t="str" cm="1">
        <f t="array" ref="D413">_xlfn.IFS(Table2[[#This Row],[Age]]&lt;=11,"Gen A",Table2[[#This Row],[Age]]&lt;=27,"Gen Z",Table2[[#This Row],[Age]]&lt;=43,"Millenials",Table2[[#This Row],[Age]]&lt;=59,"Gen X",Table2[[#This Row],[Age]]&lt;=78,"Baby Boomers",Table2[[#This Row],[Age]]&lt;=96,"Silent",Table2[[#This Row],[Age]]&gt;=97,"Greatest")</f>
        <v>Silent</v>
      </c>
      <c r="E413" s="1">
        <v>113585</v>
      </c>
      <c r="F413">
        <v>31</v>
      </c>
      <c r="G413" t="str" cm="1">
        <f t="array" ref="G413">_xlfn.IFS(Table2[[#This Row],[Spending Score (1-100)]]&lt;=25,"Low",Table2[[#This Row],[Spending Score (1-100)]]&lt;=50,"Medium",Table2[[#This Row],[Spending Score (1-100)]]&lt;=75,"High",Table2[[#This Row],[Spending Score (1-100)]]&lt;=100,"Very High")</f>
        <v>Medium</v>
      </c>
      <c r="H413" t="s">
        <v>12</v>
      </c>
      <c r="I413">
        <v>0</v>
      </c>
      <c r="J413" t="str">
        <f>CONCATENATE(Table2[[#This Row],[Work Experience]],"years")</f>
        <v>0years</v>
      </c>
      <c r="K413" t="str">
        <f>CONCATENATE(Table2[[#This Row],[Family Size2]],"members")</f>
        <v>4members</v>
      </c>
      <c r="L413" t="str">
        <f>CONCATENATE(Table2[[#This Row],[Family Size2]],"members")</f>
        <v>4members</v>
      </c>
      <c r="M413">
        <v>4</v>
      </c>
    </row>
    <row r="414" spans="1:13">
      <c r="A414">
        <v>413</v>
      </c>
      <c r="B414" t="s">
        <v>11</v>
      </c>
      <c r="C414">
        <v>65</v>
      </c>
      <c r="D414" t="str" cm="1">
        <f t="array" ref="D414">_xlfn.IFS(Table2[[#This Row],[Age]]&lt;=11,"Gen A",Table2[[#This Row],[Age]]&lt;=27,"Gen Z",Table2[[#This Row],[Age]]&lt;=43,"Millenials",Table2[[#This Row],[Age]]&lt;=59,"Gen X",Table2[[#This Row],[Age]]&lt;=78,"Baby Boomers",Table2[[#This Row],[Age]]&lt;=96,"Silent",Table2[[#This Row],[Age]]&gt;=97,"Greatest")</f>
        <v>Baby Boomers</v>
      </c>
      <c r="E414" s="1">
        <v>86509</v>
      </c>
      <c r="F414">
        <v>88</v>
      </c>
      <c r="G414" t="str" cm="1">
        <f t="array" ref="G414">_xlfn.IFS(Table2[[#This Row],[Spending Score (1-100)]]&lt;=25,"Low",Table2[[#This Row],[Spending Score (1-100)]]&lt;=50,"Medium",Table2[[#This Row],[Spending Score (1-100)]]&lt;=75,"High",Table2[[#This Row],[Spending Score (1-100)]]&lt;=100,"Very High")</f>
        <v>Very High</v>
      </c>
      <c r="H414" t="s">
        <v>14</v>
      </c>
      <c r="I414">
        <v>0</v>
      </c>
      <c r="J414" t="str">
        <f>CONCATENATE(Table2[[#This Row],[Work Experience]],"years")</f>
        <v>0years</v>
      </c>
      <c r="K414" t="str">
        <f>CONCATENATE(Table2[[#This Row],[Family Size2]],"members")</f>
        <v>4members</v>
      </c>
      <c r="L414" t="str">
        <f>CONCATENATE(Table2[[#This Row],[Family Size2]],"members")</f>
        <v>4members</v>
      </c>
      <c r="M414">
        <v>4</v>
      </c>
    </row>
    <row r="415" spans="1:13">
      <c r="A415">
        <v>414</v>
      </c>
      <c r="B415" t="s">
        <v>8</v>
      </c>
      <c r="C415">
        <v>80</v>
      </c>
      <c r="D415" t="str" cm="1">
        <f t="array" ref="D415">_xlfn.IFS(Table2[[#This Row],[Age]]&lt;=11,"Gen A",Table2[[#This Row],[Age]]&lt;=27,"Gen Z",Table2[[#This Row],[Age]]&lt;=43,"Millenials",Table2[[#This Row],[Age]]&lt;=59,"Gen X",Table2[[#This Row],[Age]]&lt;=78,"Baby Boomers",Table2[[#This Row],[Age]]&lt;=96,"Silent",Table2[[#This Row],[Age]]&gt;=97,"Greatest")</f>
        <v>Silent</v>
      </c>
      <c r="E415" s="1">
        <v>59099</v>
      </c>
      <c r="F415">
        <v>44</v>
      </c>
      <c r="G415" t="str" cm="1">
        <f t="array" ref="G415">_xlfn.IFS(Table2[[#This Row],[Spending Score (1-100)]]&lt;=25,"Low",Table2[[#This Row],[Spending Score (1-100)]]&lt;=50,"Medium",Table2[[#This Row],[Spending Score (1-100)]]&lt;=75,"High",Table2[[#This Row],[Spending Score (1-100)]]&lt;=100,"Very High")</f>
        <v>Medium</v>
      </c>
      <c r="H415" t="s">
        <v>18</v>
      </c>
      <c r="I415">
        <v>1</v>
      </c>
      <c r="J415" t="str">
        <f>CONCATENATE(Table2[[#This Row],[Work Experience]],"years")</f>
        <v>1years</v>
      </c>
      <c r="K415" t="str">
        <f>CONCATENATE(Table2[[#This Row],[Family Size2]],"members")</f>
        <v>7members</v>
      </c>
      <c r="L415" t="str">
        <f>CONCATENATE(Table2[[#This Row],[Family Size2]],"members")</f>
        <v>7members</v>
      </c>
      <c r="M415">
        <v>7</v>
      </c>
    </row>
    <row r="416" spans="1:13">
      <c r="A416">
        <v>415</v>
      </c>
      <c r="B416" t="s">
        <v>11</v>
      </c>
      <c r="C416">
        <v>75</v>
      </c>
      <c r="D416" t="str" cm="1">
        <f t="array" ref="D416">_xlfn.IFS(Table2[[#This Row],[Age]]&lt;=11,"Gen A",Table2[[#This Row],[Age]]&lt;=27,"Gen Z",Table2[[#This Row],[Age]]&lt;=43,"Millenials",Table2[[#This Row],[Age]]&lt;=59,"Gen X",Table2[[#This Row],[Age]]&lt;=78,"Baby Boomers",Table2[[#This Row],[Age]]&lt;=96,"Silent",Table2[[#This Row],[Age]]&gt;=97,"Greatest")</f>
        <v>Baby Boomers</v>
      </c>
      <c r="E416" s="1">
        <v>135088</v>
      </c>
      <c r="F416">
        <v>5</v>
      </c>
      <c r="G416" t="str" cm="1">
        <f t="array" ref="G416">_xlfn.IFS(Table2[[#This Row],[Spending Score (1-100)]]&lt;=25,"Low",Table2[[#This Row],[Spending Score (1-100)]]&lt;=50,"Medium",Table2[[#This Row],[Spending Score (1-100)]]&lt;=75,"High",Table2[[#This Row],[Spending Score (1-100)]]&lt;=100,"Very High")</f>
        <v>Low</v>
      </c>
      <c r="H416" t="s">
        <v>12</v>
      </c>
      <c r="I416">
        <v>1</v>
      </c>
      <c r="J416" t="str">
        <f>CONCATENATE(Table2[[#This Row],[Work Experience]],"years")</f>
        <v>1years</v>
      </c>
      <c r="K416" t="str">
        <f>CONCATENATE(Table2[[#This Row],[Family Size2]],"members")</f>
        <v>5members</v>
      </c>
      <c r="L416" t="str">
        <f>CONCATENATE(Table2[[#This Row],[Family Size2]],"members")</f>
        <v>5members</v>
      </c>
      <c r="M416">
        <v>5</v>
      </c>
    </row>
    <row r="417" spans="1:13">
      <c r="A417">
        <v>416</v>
      </c>
      <c r="B417" t="s">
        <v>11</v>
      </c>
      <c r="C417">
        <v>87</v>
      </c>
      <c r="D417" t="str" cm="1">
        <f t="array" ref="D417">_xlfn.IFS(Table2[[#This Row],[Age]]&lt;=11,"Gen A",Table2[[#This Row],[Age]]&lt;=27,"Gen Z",Table2[[#This Row],[Age]]&lt;=43,"Millenials",Table2[[#This Row],[Age]]&lt;=59,"Gen X",Table2[[#This Row],[Age]]&lt;=78,"Baby Boomers",Table2[[#This Row],[Age]]&lt;=96,"Silent",Table2[[#This Row],[Age]]&gt;=97,"Greatest")</f>
        <v>Silent</v>
      </c>
      <c r="E417" s="1">
        <v>110870</v>
      </c>
      <c r="F417">
        <v>78</v>
      </c>
      <c r="G417" t="str" cm="1">
        <f t="array" ref="G417">_xlfn.IFS(Table2[[#This Row],[Spending Score (1-100)]]&lt;=25,"Low",Table2[[#This Row],[Spending Score (1-100)]]&lt;=50,"Medium",Table2[[#This Row],[Spending Score (1-100)]]&lt;=75,"High",Table2[[#This Row],[Spending Score (1-100)]]&lt;=100,"Very High")</f>
        <v>Very High</v>
      </c>
      <c r="H417" t="s">
        <v>10</v>
      </c>
      <c r="I417">
        <v>1</v>
      </c>
      <c r="J417" t="str">
        <f>CONCATENATE(Table2[[#This Row],[Work Experience]],"years")</f>
        <v>1years</v>
      </c>
      <c r="K417" t="str">
        <f>CONCATENATE(Table2[[#This Row],[Family Size2]],"members")</f>
        <v>4members</v>
      </c>
      <c r="L417" t="str">
        <f>CONCATENATE(Table2[[#This Row],[Family Size2]],"members")</f>
        <v>4members</v>
      </c>
      <c r="M417">
        <v>4</v>
      </c>
    </row>
    <row r="418" spans="1:13">
      <c r="A418">
        <v>417</v>
      </c>
      <c r="B418" t="s">
        <v>11</v>
      </c>
      <c r="C418">
        <v>86</v>
      </c>
      <c r="D418" t="str" cm="1">
        <f t="array" ref="D418">_xlfn.IFS(Table2[[#This Row],[Age]]&lt;=11,"Gen A",Table2[[#This Row],[Age]]&lt;=27,"Gen Z",Table2[[#This Row],[Age]]&lt;=43,"Millenials",Table2[[#This Row],[Age]]&lt;=59,"Gen X",Table2[[#This Row],[Age]]&lt;=78,"Baby Boomers",Table2[[#This Row],[Age]]&lt;=96,"Silent",Table2[[#This Row],[Age]]&gt;=97,"Greatest")</f>
        <v>Silent</v>
      </c>
      <c r="E418" s="1">
        <v>187667</v>
      </c>
      <c r="F418">
        <v>12</v>
      </c>
      <c r="G418" t="str" cm="1">
        <f t="array" ref="G418">_xlfn.IFS(Table2[[#This Row],[Spending Score (1-100)]]&lt;=25,"Low",Table2[[#This Row],[Spending Score (1-100)]]&lt;=50,"Medium",Table2[[#This Row],[Spending Score (1-100)]]&lt;=75,"High",Table2[[#This Row],[Spending Score (1-100)]]&lt;=100,"Very High")</f>
        <v>Low</v>
      </c>
      <c r="H418" t="s">
        <v>14</v>
      </c>
      <c r="I418">
        <v>0</v>
      </c>
      <c r="J418" t="str">
        <f>CONCATENATE(Table2[[#This Row],[Work Experience]],"years")</f>
        <v>0years</v>
      </c>
      <c r="K418" t="str">
        <f>CONCATENATE(Table2[[#This Row],[Family Size2]],"members")</f>
        <v>1members</v>
      </c>
      <c r="L418" t="str">
        <f>CONCATENATE(Table2[[#This Row],[Family Size2]],"members")</f>
        <v>1members</v>
      </c>
      <c r="M418">
        <v>1</v>
      </c>
    </row>
    <row r="419" spans="1:13">
      <c r="A419">
        <v>418</v>
      </c>
      <c r="B419" t="s">
        <v>11</v>
      </c>
      <c r="C419">
        <v>36</v>
      </c>
      <c r="D419" t="str" cm="1">
        <f t="array" ref="D419">_xlfn.IFS(Table2[[#This Row],[Age]]&lt;=11,"Gen A",Table2[[#This Row],[Age]]&lt;=27,"Gen Z",Table2[[#This Row],[Age]]&lt;=43,"Millenials",Table2[[#This Row],[Age]]&lt;=59,"Gen X",Table2[[#This Row],[Age]]&lt;=78,"Baby Boomers",Table2[[#This Row],[Age]]&lt;=96,"Silent",Table2[[#This Row],[Age]]&gt;=97,"Greatest")</f>
        <v>Millenials</v>
      </c>
      <c r="E419" s="1">
        <v>124614</v>
      </c>
      <c r="F419">
        <v>25</v>
      </c>
      <c r="G419" t="str" cm="1">
        <f t="array" ref="G419">_xlfn.IFS(Table2[[#This Row],[Spending Score (1-100)]]&lt;=25,"Low",Table2[[#This Row],[Spending Score (1-100)]]&lt;=50,"Medium",Table2[[#This Row],[Spending Score (1-100)]]&lt;=75,"High",Table2[[#This Row],[Spending Score (1-100)]]&lt;=100,"Very High")</f>
        <v>Low</v>
      </c>
      <c r="H419" t="s">
        <v>14</v>
      </c>
      <c r="I419">
        <v>8</v>
      </c>
      <c r="J419" t="str">
        <f>CONCATENATE(Table2[[#This Row],[Work Experience]],"years")</f>
        <v>8years</v>
      </c>
      <c r="K419" t="str">
        <f>CONCATENATE(Table2[[#This Row],[Family Size2]],"members")</f>
        <v>5members</v>
      </c>
      <c r="L419" t="str">
        <f>CONCATENATE(Table2[[#This Row],[Family Size2]],"members")</f>
        <v>5members</v>
      </c>
      <c r="M419">
        <v>5</v>
      </c>
    </row>
    <row r="420" spans="1:13">
      <c r="A420">
        <v>419</v>
      </c>
      <c r="B420" t="s">
        <v>11</v>
      </c>
      <c r="C420">
        <v>78</v>
      </c>
      <c r="D420" t="str" cm="1">
        <f t="array" ref="D420">_xlfn.IFS(Table2[[#This Row],[Age]]&lt;=11,"Gen A",Table2[[#This Row],[Age]]&lt;=27,"Gen Z",Table2[[#This Row],[Age]]&lt;=43,"Millenials",Table2[[#This Row],[Age]]&lt;=59,"Gen X",Table2[[#This Row],[Age]]&lt;=78,"Baby Boomers",Table2[[#This Row],[Age]]&lt;=96,"Silent",Table2[[#This Row],[Age]]&gt;=97,"Greatest")</f>
        <v>Baby Boomers</v>
      </c>
      <c r="E420" s="1">
        <v>166492</v>
      </c>
      <c r="F420">
        <v>40</v>
      </c>
      <c r="G420" t="str" cm="1">
        <f t="array" ref="G420">_xlfn.IFS(Table2[[#This Row],[Spending Score (1-100)]]&lt;=25,"Low",Table2[[#This Row],[Spending Score (1-100)]]&lt;=50,"Medium",Table2[[#This Row],[Spending Score (1-100)]]&lt;=75,"High",Table2[[#This Row],[Spending Score (1-100)]]&lt;=100,"Very High")</f>
        <v>Medium</v>
      </c>
      <c r="H420" t="s">
        <v>17</v>
      </c>
      <c r="I420">
        <v>9</v>
      </c>
      <c r="J420" t="str">
        <f>CONCATENATE(Table2[[#This Row],[Work Experience]],"years")</f>
        <v>9years</v>
      </c>
      <c r="K420" t="str">
        <f>CONCATENATE(Table2[[#This Row],[Family Size2]],"members")</f>
        <v>7members</v>
      </c>
      <c r="L420" t="str">
        <f>CONCATENATE(Table2[[#This Row],[Family Size2]],"members")</f>
        <v>7members</v>
      </c>
      <c r="M420">
        <v>7</v>
      </c>
    </row>
    <row r="421" spans="1:13">
      <c r="A421">
        <v>420</v>
      </c>
      <c r="B421" t="s">
        <v>11</v>
      </c>
      <c r="C421">
        <v>62</v>
      </c>
      <c r="D421" t="str" cm="1">
        <f t="array" ref="D421">_xlfn.IFS(Table2[[#This Row],[Age]]&lt;=11,"Gen A",Table2[[#This Row],[Age]]&lt;=27,"Gen Z",Table2[[#This Row],[Age]]&lt;=43,"Millenials",Table2[[#This Row],[Age]]&lt;=59,"Gen X",Table2[[#This Row],[Age]]&lt;=78,"Baby Boomers",Table2[[#This Row],[Age]]&lt;=96,"Silent",Table2[[#This Row],[Age]]&gt;=97,"Greatest")</f>
        <v>Baby Boomers</v>
      </c>
      <c r="E421" s="1">
        <v>172758</v>
      </c>
      <c r="F421">
        <v>69</v>
      </c>
      <c r="G421" t="str" cm="1">
        <f t="array" ref="G421">_xlfn.IFS(Table2[[#This Row],[Spending Score (1-100)]]&lt;=25,"Low",Table2[[#This Row],[Spending Score (1-100)]]&lt;=50,"Medium",Table2[[#This Row],[Spending Score (1-100)]]&lt;=75,"High",Table2[[#This Row],[Spending Score (1-100)]]&lt;=100,"Very High")</f>
        <v>High</v>
      </c>
      <c r="H421" t="s">
        <v>13</v>
      </c>
      <c r="I421">
        <v>1</v>
      </c>
      <c r="J421" t="str">
        <f>CONCATENATE(Table2[[#This Row],[Work Experience]],"years")</f>
        <v>1years</v>
      </c>
      <c r="K421" t="str">
        <f>CONCATENATE(Table2[[#This Row],[Family Size2]],"members")</f>
        <v>2members</v>
      </c>
      <c r="L421" t="str">
        <f>CONCATENATE(Table2[[#This Row],[Family Size2]],"members")</f>
        <v>2members</v>
      </c>
      <c r="M421">
        <v>2</v>
      </c>
    </row>
    <row r="422" spans="1:13">
      <c r="A422">
        <v>421</v>
      </c>
      <c r="B422" t="s">
        <v>8</v>
      </c>
      <c r="C422">
        <v>89</v>
      </c>
      <c r="D422" t="str" cm="1">
        <f t="array" ref="D422">_xlfn.IFS(Table2[[#This Row],[Age]]&lt;=11,"Gen A",Table2[[#This Row],[Age]]&lt;=27,"Gen Z",Table2[[#This Row],[Age]]&lt;=43,"Millenials",Table2[[#This Row],[Age]]&lt;=59,"Gen X",Table2[[#This Row],[Age]]&lt;=78,"Baby Boomers",Table2[[#This Row],[Age]]&lt;=96,"Silent",Table2[[#This Row],[Age]]&gt;=97,"Greatest")</f>
        <v>Silent</v>
      </c>
      <c r="E422" s="1">
        <v>122430</v>
      </c>
      <c r="F422">
        <v>19</v>
      </c>
      <c r="G422" t="str" cm="1">
        <f t="array" ref="G422">_xlfn.IFS(Table2[[#This Row],[Spending Score (1-100)]]&lt;=25,"Low",Table2[[#This Row],[Spending Score (1-100)]]&lt;=50,"Medium",Table2[[#This Row],[Spending Score (1-100)]]&lt;=75,"High",Table2[[#This Row],[Spending Score (1-100)]]&lt;=100,"Very High")</f>
        <v>Low</v>
      </c>
      <c r="H422" t="s">
        <v>9</v>
      </c>
      <c r="I422">
        <v>1</v>
      </c>
      <c r="J422" t="str">
        <f>CONCATENATE(Table2[[#This Row],[Work Experience]],"years")</f>
        <v>1years</v>
      </c>
      <c r="K422" t="str">
        <f>CONCATENATE(Table2[[#This Row],[Family Size2]],"members")</f>
        <v>1members</v>
      </c>
      <c r="L422" t="str">
        <f>CONCATENATE(Table2[[#This Row],[Family Size2]],"members")</f>
        <v>1members</v>
      </c>
      <c r="M422">
        <v>1</v>
      </c>
    </row>
    <row r="423" spans="1:13">
      <c r="A423">
        <v>422</v>
      </c>
      <c r="B423" t="s">
        <v>11</v>
      </c>
      <c r="C423">
        <v>56</v>
      </c>
      <c r="D423" t="str" cm="1">
        <f t="array" ref="D423">_xlfn.IFS(Table2[[#This Row],[Age]]&lt;=11,"Gen A",Table2[[#This Row],[Age]]&lt;=27,"Gen Z",Table2[[#This Row],[Age]]&lt;=43,"Millenials",Table2[[#This Row],[Age]]&lt;=59,"Gen X",Table2[[#This Row],[Age]]&lt;=78,"Baby Boomers",Table2[[#This Row],[Age]]&lt;=96,"Silent",Table2[[#This Row],[Age]]&gt;=97,"Greatest")</f>
        <v>Gen X</v>
      </c>
      <c r="E423" s="1">
        <v>183540</v>
      </c>
      <c r="F423">
        <v>96</v>
      </c>
      <c r="G423" t="str" cm="1">
        <f t="array" ref="G423">_xlfn.IFS(Table2[[#This Row],[Spending Score (1-100)]]&lt;=25,"Low",Table2[[#This Row],[Spending Score (1-100)]]&lt;=50,"Medium",Table2[[#This Row],[Spending Score (1-100)]]&lt;=75,"High",Table2[[#This Row],[Spending Score (1-100)]]&lt;=100,"Very High")</f>
        <v>Very High</v>
      </c>
      <c r="H423" t="s">
        <v>13</v>
      </c>
      <c r="I423">
        <v>0</v>
      </c>
      <c r="J423" t="str">
        <f>CONCATENATE(Table2[[#This Row],[Work Experience]],"years")</f>
        <v>0years</v>
      </c>
      <c r="K423" t="str">
        <f>CONCATENATE(Table2[[#This Row],[Family Size2]],"members")</f>
        <v>6members</v>
      </c>
      <c r="L423" t="str">
        <f>CONCATENATE(Table2[[#This Row],[Family Size2]],"members")</f>
        <v>6members</v>
      </c>
      <c r="M423">
        <v>6</v>
      </c>
    </row>
    <row r="424" spans="1:13">
      <c r="A424">
        <v>423</v>
      </c>
      <c r="B424" t="s">
        <v>11</v>
      </c>
      <c r="C424">
        <v>35</v>
      </c>
      <c r="D424" t="str" cm="1">
        <f t="array" ref="D424">_xlfn.IFS(Table2[[#This Row],[Age]]&lt;=11,"Gen A",Table2[[#This Row],[Age]]&lt;=27,"Gen Z",Table2[[#This Row],[Age]]&lt;=43,"Millenials",Table2[[#This Row],[Age]]&lt;=59,"Gen X",Table2[[#This Row],[Age]]&lt;=78,"Baby Boomers",Table2[[#This Row],[Age]]&lt;=96,"Silent",Table2[[#This Row],[Age]]&gt;=97,"Greatest")</f>
        <v>Millenials</v>
      </c>
      <c r="E424" s="1">
        <v>96484</v>
      </c>
      <c r="F424">
        <v>34</v>
      </c>
      <c r="G424" t="str" cm="1">
        <f t="array" ref="G424">_xlfn.IFS(Table2[[#This Row],[Spending Score (1-100)]]&lt;=25,"Low",Table2[[#This Row],[Spending Score (1-100)]]&lt;=50,"Medium",Table2[[#This Row],[Spending Score (1-100)]]&lt;=75,"High",Table2[[#This Row],[Spending Score (1-100)]]&lt;=100,"Very High")</f>
        <v>Medium</v>
      </c>
      <c r="H424" t="s">
        <v>14</v>
      </c>
      <c r="I424">
        <v>5</v>
      </c>
      <c r="J424" t="str">
        <f>CONCATENATE(Table2[[#This Row],[Work Experience]],"years")</f>
        <v>5years</v>
      </c>
      <c r="K424" t="str">
        <f>CONCATENATE(Table2[[#This Row],[Family Size2]],"members")</f>
        <v>4members</v>
      </c>
      <c r="L424" t="str">
        <f>CONCATENATE(Table2[[#This Row],[Family Size2]],"members")</f>
        <v>4members</v>
      </c>
      <c r="M424">
        <v>4</v>
      </c>
    </row>
    <row r="425" spans="1:13">
      <c r="A425">
        <v>424</v>
      </c>
      <c r="B425" t="s">
        <v>8</v>
      </c>
      <c r="C425">
        <v>33</v>
      </c>
      <c r="D425" t="str" cm="1">
        <f t="array" ref="D425">_xlfn.IFS(Table2[[#This Row],[Age]]&lt;=11,"Gen A",Table2[[#This Row],[Age]]&lt;=27,"Gen Z",Table2[[#This Row],[Age]]&lt;=43,"Millenials",Table2[[#This Row],[Age]]&lt;=59,"Gen X",Table2[[#This Row],[Age]]&lt;=78,"Baby Boomers",Table2[[#This Row],[Age]]&lt;=96,"Silent",Table2[[#This Row],[Age]]&gt;=97,"Greatest")</f>
        <v>Millenials</v>
      </c>
      <c r="E425" s="1">
        <v>112587</v>
      </c>
      <c r="F425">
        <v>71</v>
      </c>
      <c r="G425" t="str" cm="1">
        <f t="array" ref="G425">_xlfn.IFS(Table2[[#This Row],[Spending Score (1-100)]]&lt;=25,"Low",Table2[[#This Row],[Spending Score (1-100)]]&lt;=50,"Medium",Table2[[#This Row],[Spending Score (1-100)]]&lt;=75,"High",Table2[[#This Row],[Spending Score (1-100)]]&lt;=100,"Very High")</f>
        <v>High</v>
      </c>
      <c r="H425" t="s">
        <v>14</v>
      </c>
      <c r="I425">
        <v>1</v>
      </c>
      <c r="J425" t="str">
        <f>CONCATENATE(Table2[[#This Row],[Work Experience]],"years")</f>
        <v>1years</v>
      </c>
      <c r="K425" t="str">
        <f>CONCATENATE(Table2[[#This Row],[Family Size2]],"members")</f>
        <v>4members</v>
      </c>
      <c r="L425" t="str">
        <f>CONCATENATE(Table2[[#This Row],[Family Size2]],"members")</f>
        <v>4members</v>
      </c>
      <c r="M425">
        <v>4</v>
      </c>
    </row>
    <row r="426" spans="1:13">
      <c r="A426">
        <v>425</v>
      </c>
      <c r="B426" t="s">
        <v>11</v>
      </c>
      <c r="C426">
        <v>58</v>
      </c>
      <c r="D426" t="str" cm="1">
        <f t="array" ref="D426">_xlfn.IFS(Table2[[#This Row],[Age]]&lt;=11,"Gen A",Table2[[#This Row],[Age]]&lt;=27,"Gen Z",Table2[[#This Row],[Age]]&lt;=43,"Millenials",Table2[[#This Row],[Age]]&lt;=59,"Gen X",Table2[[#This Row],[Age]]&lt;=78,"Baby Boomers",Table2[[#This Row],[Age]]&lt;=96,"Silent",Table2[[#This Row],[Age]]&gt;=97,"Greatest")</f>
        <v>Gen X</v>
      </c>
      <c r="E426" s="1">
        <v>155672</v>
      </c>
      <c r="F426">
        <v>71</v>
      </c>
      <c r="G426" t="str" cm="1">
        <f t="array" ref="G426">_xlfn.IFS(Table2[[#This Row],[Spending Score (1-100)]]&lt;=25,"Low",Table2[[#This Row],[Spending Score (1-100)]]&lt;=50,"Medium",Table2[[#This Row],[Spending Score (1-100)]]&lt;=75,"High",Table2[[#This Row],[Spending Score (1-100)]]&lt;=100,"Very High")</f>
        <v>High</v>
      </c>
      <c r="H426" t="s">
        <v>13</v>
      </c>
      <c r="I426">
        <v>7</v>
      </c>
      <c r="J426" t="str">
        <f>CONCATENATE(Table2[[#This Row],[Work Experience]],"years")</f>
        <v>7years</v>
      </c>
      <c r="K426" t="str">
        <f>CONCATENATE(Table2[[#This Row],[Family Size2]],"members")</f>
        <v>7members</v>
      </c>
      <c r="L426" t="str">
        <f>CONCATENATE(Table2[[#This Row],[Family Size2]],"members")</f>
        <v>7members</v>
      </c>
      <c r="M426">
        <v>7</v>
      </c>
    </row>
    <row r="427" spans="1:13">
      <c r="A427">
        <v>426</v>
      </c>
      <c r="B427" t="s">
        <v>11</v>
      </c>
      <c r="C427">
        <v>68</v>
      </c>
      <c r="D427" t="str" cm="1">
        <f t="array" ref="D427">_xlfn.IFS(Table2[[#This Row],[Age]]&lt;=11,"Gen A",Table2[[#This Row],[Age]]&lt;=27,"Gen Z",Table2[[#This Row],[Age]]&lt;=43,"Millenials",Table2[[#This Row],[Age]]&lt;=59,"Gen X",Table2[[#This Row],[Age]]&lt;=78,"Baby Boomers",Table2[[#This Row],[Age]]&lt;=96,"Silent",Table2[[#This Row],[Age]]&gt;=97,"Greatest")</f>
        <v>Baby Boomers</v>
      </c>
      <c r="E427" s="1">
        <v>72847</v>
      </c>
      <c r="F427">
        <v>93</v>
      </c>
      <c r="G427" t="str" cm="1">
        <f t="array" ref="G427">_xlfn.IFS(Table2[[#This Row],[Spending Score (1-100)]]&lt;=25,"Low",Table2[[#This Row],[Spending Score (1-100)]]&lt;=50,"Medium",Table2[[#This Row],[Spending Score (1-100)]]&lt;=75,"High",Table2[[#This Row],[Spending Score (1-100)]]&lt;=100,"Very High")</f>
        <v>Very High</v>
      </c>
      <c r="H427" t="s">
        <v>14</v>
      </c>
      <c r="I427">
        <v>1</v>
      </c>
      <c r="J427" t="str">
        <f>CONCATENATE(Table2[[#This Row],[Work Experience]],"years")</f>
        <v>1years</v>
      </c>
      <c r="K427" t="str">
        <f>CONCATENATE(Table2[[#This Row],[Family Size2]],"members")</f>
        <v>2members</v>
      </c>
      <c r="L427" t="str">
        <f>CONCATENATE(Table2[[#This Row],[Family Size2]],"members")</f>
        <v>2members</v>
      </c>
      <c r="M427">
        <v>2</v>
      </c>
    </row>
    <row r="428" spans="1:13">
      <c r="A428">
        <v>427</v>
      </c>
      <c r="B428" t="s">
        <v>8</v>
      </c>
      <c r="C428">
        <v>38</v>
      </c>
      <c r="D428" t="str" cm="1">
        <f t="array" ref="D428">_xlfn.IFS(Table2[[#This Row],[Age]]&lt;=11,"Gen A",Table2[[#This Row],[Age]]&lt;=27,"Gen Z",Table2[[#This Row],[Age]]&lt;=43,"Millenials",Table2[[#This Row],[Age]]&lt;=59,"Gen X",Table2[[#This Row],[Age]]&lt;=78,"Baby Boomers",Table2[[#This Row],[Age]]&lt;=96,"Silent",Table2[[#This Row],[Age]]&gt;=97,"Greatest")</f>
        <v>Millenials</v>
      </c>
      <c r="E428" s="1">
        <v>71897</v>
      </c>
      <c r="F428">
        <v>32</v>
      </c>
      <c r="G428" t="str" cm="1">
        <f t="array" ref="G428">_xlfn.IFS(Table2[[#This Row],[Spending Score (1-100)]]&lt;=25,"Low",Table2[[#This Row],[Spending Score (1-100)]]&lt;=50,"Medium",Table2[[#This Row],[Spending Score (1-100)]]&lt;=75,"High",Table2[[#This Row],[Spending Score (1-100)]]&lt;=100,"Very High")</f>
        <v>Medium</v>
      </c>
      <c r="H428" t="s">
        <v>13</v>
      </c>
      <c r="I428">
        <v>2</v>
      </c>
      <c r="J428" t="str">
        <f>CONCATENATE(Table2[[#This Row],[Work Experience]],"years")</f>
        <v>2years</v>
      </c>
      <c r="K428" t="str">
        <f>CONCATENATE(Table2[[#This Row],[Family Size2]],"members")</f>
        <v>3members</v>
      </c>
      <c r="L428" t="str">
        <f>CONCATENATE(Table2[[#This Row],[Family Size2]],"members")</f>
        <v>3members</v>
      </c>
      <c r="M428">
        <v>3</v>
      </c>
    </row>
    <row r="429" spans="1:13">
      <c r="A429">
        <v>428</v>
      </c>
      <c r="B429" t="s">
        <v>8</v>
      </c>
      <c r="C429">
        <v>31</v>
      </c>
      <c r="D429" t="str" cm="1">
        <f t="array" ref="D429">_xlfn.IFS(Table2[[#This Row],[Age]]&lt;=11,"Gen A",Table2[[#This Row],[Age]]&lt;=27,"Gen Z",Table2[[#This Row],[Age]]&lt;=43,"Millenials",Table2[[#This Row],[Age]]&lt;=59,"Gen X",Table2[[#This Row],[Age]]&lt;=78,"Baby Boomers",Table2[[#This Row],[Age]]&lt;=96,"Silent",Table2[[#This Row],[Age]]&gt;=97,"Greatest")</f>
        <v>Millenials</v>
      </c>
      <c r="E429" s="1">
        <v>158479</v>
      </c>
      <c r="F429">
        <v>57</v>
      </c>
      <c r="G429" t="str" cm="1">
        <f t="array" ref="G429">_xlfn.IFS(Table2[[#This Row],[Spending Score (1-100)]]&lt;=25,"Low",Table2[[#This Row],[Spending Score (1-100)]]&lt;=50,"Medium",Table2[[#This Row],[Spending Score (1-100)]]&lt;=75,"High",Table2[[#This Row],[Spending Score (1-100)]]&lt;=100,"Very High")</f>
        <v>High</v>
      </c>
      <c r="H429" t="s">
        <v>16</v>
      </c>
      <c r="I429">
        <v>1</v>
      </c>
      <c r="J429" t="str">
        <f>CONCATENATE(Table2[[#This Row],[Work Experience]],"years")</f>
        <v>1years</v>
      </c>
      <c r="K429" t="str">
        <f>CONCATENATE(Table2[[#This Row],[Family Size2]],"members")</f>
        <v>5members</v>
      </c>
      <c r="L429" t="str">
        <f>CONCATENATE(Table2[[#This Row],[Family Size2]],"members")</f>
        <v>5members</v>
      </c>
      <c r="M429">
        <v>5</v>
      </c>
    </row>
    <row r="430" spans="1:13">
      <c r="A430">
        <v>429</v>
      </c>
      <c r="B430" t="s">
        <v>8</v>
      </c>
      <c r="C430">
        <v>90</v>
      </c>
      <c r="D430" t="str" cm="1">
        <f t="array" ref="D430">_xlfn.IFS(Table2[[#This Row],[Age]]&lt;=11,"Gen A",Table2[[#This Row],[Age]]&lt;=27,"Gen Z",Table2[[#This Row],[Age]]&lt;=43,"Millenials",Table2[[#This Row],[Age]]&lt;=59,"Gen X",Table2[[#This Row],[Age]]&lt;=78,"Baby Boomers",Table2[[#This Row],[Age]]&lt;=96,"Silent",Table2[[#This Row],[Age]]&gt;=97,"Greatest")</f>
        <v>Silent</v>
      </c>
      <c r="E430" s="1">
        <v>89251</v>
      </c>
      <c r="F430">
        <v>4</v>
      </c>
      <c r="G430" t="str" cm="1">
        <f t="array" ref="G430">_xlfn.IFS(Table2[[#This Row],[Spending Score (1-100)]]&lt;=25,"Low",Table2[[#This Row],[Spending Score (1-100)]]&lt;=50,"Medium",Table2[[#This Row],[Spending Score (1-100)]]&lt;=75,"High",Table2[[#This Row],[Spending Score (1-100)]]&lt;=100,"Very High")</f>
        <v>Low</v>
      </c>
      <c r="H430" t="s">
        <v>13</v>
      </c>
      <c r="I430">
        <v>1</v>
      </c>
      <c r="J430" t="str">
        <f>CONCATENATE(Table2[[#This Row],[Work Experience]],"years")</f>
        <v>1years</v>
      </c>
      <c r="K430" t="str">
        <f>CONCATENATE(Table2[[#This Row],[Family Size2]],"members")</f>
        <v>1members</v>
      </c>
      <c r="L430" t="str">
        <f>CONCATENATE(Table2[[#This Row],[Family Size2]],"members")</f>
        <v>1members</v>
      </c>
      <c r="M430">
        <v>1</v>
      </c>
    </row>
    <row r="431" spans="1:13">
      <c r="A431">
        <v>430</v>
      </c>
      <c r="B431" t="s">
        <v>8</v>
      </c>
      <c r="C431">
        <v>28</v>
      </c>
      <c r="D431" t="str" cm="1">
        <f t="array" ref="D431">_xlfn.IFS(Table2[[#This Row],[Age]]&lt;=11,"Gen A",Table2[[#This Row],[Age]]&lt;=27,"Gen Z",Table2[[#This Row],[Age]]&lt;=43,"Millenials",Table2[[#This Row],[Age]]&lt;=59,"Gen X",Table2[[#This Row],[Age]]&lt;=78,"Baby Boomers",Table2[[#This Row],[Age]]&lt;=96,"Silent",Table2[[#This Row],[Age]]&gt;=97,"Greatest")</f>
        <v>Millenials</v>
      </c>
      <c r="E431" s="1">
        <v>179911</v>
      </c>
      <c r="F431">
        <v>24</v>
      </c>
      <c r="G431" t="str" cm="1">
        <f t="array" ref="G431">_xlfn.IFS(Table2[[#This Row],[Spending Score (1-100)]]&lt;=25,"Low",Table2[[#This Row],[Spending Score (1-100)]]&lt;=50,"Medium",Table2[[#This Row],[Spending Score (1-100)]]&lt;=75,"High",Table2[[#This Row],[Spending Score (1-100)]]&lt;=100,"Very High")</f>
        <v>Low</v>
      </c>
      <c r="H431" t="s">
        <v>10</v>
      </c>
      <c r="I431">
        <v>1</v>
      </c>
      <c r="J431" t="str">
        <f>CONCATENATE(Table2[[#This Row],[Work Experience]],"years")</f>
        <v>1years</v>
      </c>
      <c r="K431" t="str">
        <f>CONCATENATE(Table2[[#This Row],[Family Size2]],"members")</f>
        <v>1members</v>
      </c>
      <c r="L431" t="str">
        <f>CONCATENATE(Table2[[#This Row],[Family Size2]],"members")</f>
        <v>1members</v>
      </c>
      <c r="M431">
        <v>1</v>
      </c>
    </row>
    <row r="432" spans="1:13">
      <c r="A432">
        <v>431</v>
      </c>
      <c r="B432" t="s">
        <v>8</v>
      </c>
      <c r="C432">
        <v>1</v>
      </c>
      <c r="D432" t="str" cm="1">
        <f t="array" ref="D432">_xlfn.IFS(Table2[[#This Row],[Age]]&lt;=11,"Gen A",Table2[[#This Row],[Age]]&lt;=27,"Gen Z",Table2[[#This Row],[Age]]&lt;=43,"Millenials",Table2[[#This Row],[Age]]&lt;=59,"Gen X",Table2[[#This Row],[Age]]&lt;=78,"Baby Boomers",Table2[[#This Row],[Age]]&lt;=96,"Silent",Table2[[#This Row],[Age]]&gt;=97,"Greatest")</f>
        <v>Gen A</v>
      </c>
      <c r="E432" s="1">
        <v>111558</v>
      </c>
      <c r="F432">
        <v>85</v>
      </c>
      <c r="G432" t="str" cm="1">
        <f t="array" ref="G432">_xlfn.IFS(Table2[[#This Row],[Spending Score (1-100)]]&lt;=25,"Low",Table2[[#This Row],[Spending Score (1-100)]]&lt;=50,"Medium",Table2[[#This Row],[Spending Score (1-100)]]&lt;=75,"High",Table2[[#This Row],[Spending Score (1-100)]]&lt;=100,"Very High")</f>
        <v>Very High</v>
      </c>
      <c r="H432" t="s">
        <v>9</v>
      </c>
      <c r="I432">
        <v>7</v>
      </c>
      <c r="J432" t="str">
        <f>CONCATENATE(Table2[[#This Row],[Work Experience]],"years")</f>
        <v>7years</v>
      </c>
      <c r="K432" t="str">
        <f>CONCATENATE(Table2[[#This Row],[Family Size2]],"members")</f>
        <v>4members</v>
      </c>
      <c r="L432" t="str">
        <f>CONCATENATE(Table2[[#This Row],[Family Size2]],"members")</f>
        <v>4members</v>
      </c>
      <c r="M432">
        <v>4</v>
      </c>
    </row>
    <row r="433" spans="1:13">
      <c r="A433">
        <v>432</v>
      </c>
      <c r="B433" t="s">
        <v>8</v>
      </c>
      <c r="C433">
        <v>78</v>
      </c>
      <c r="D433" t="str" cm="1">
        <f t="array" ref="D433">_xlfn.IFS(Table2[[#This Row],[Age]]&lt;=11,"Gen A",Table2[[#This Row],[Age]]&lt;=27,"Gen Z",Table2[[#This Row],[Age]]&lt;=43,"Millenials",Table2[[#This Row],[Age]]&lt;=59,"Gen X",Table2[[#This Row],[Age]]&lt;=78,"Baby Boomers",Table2[[#This Row],[Age]]&lt;=96,"Silent",Table2[[#This Row],[Age]]&gt;=97,"Greatest")</f>
        <v>Baby Boomers</v>
      </c>
      <c r="E433" s="1">
        <v>127615</v>
      </c>
      <c r="F433">
        <v>78</v>
      </c>
      <c r="G433" t="str" cm="1">
        <f t="array" ref="G433">_xlfn.IFS(Table2[[#This Row],[Spending Score (1-100)]]&lt;=25,"Low",Table2[[#This Row],[Spending Score (1-100)]]&lt;=50,"Medium",Table2[[#This Row],[Spending Score (1-100)]]&lt;=75,"High",Table2[[#This Row],[Spending Score (1-100)]]&lt;=100,"Very High")</f>
        <v>Very High</v>
      </c>
      <c r="H433" t="s">
        <v>15</v>
      </c>
      <c r="I433">
        <v>10</v>
      </c>
      <c r="J433" t="str">
        <f>CONCATENATE(Table2[[#This Row],[Work Experience]],"years")</f>
        <v>10years</v>
      </c>
      <c r="K433" t="str">
        <f>CONCATENATE(Table2[[#This Row],[Family Size2]],"members")</f>
        <v>7members</v>
      </c>
      <c r="L433" t="str">
        <f>CONCATENATE(Table2[[#This Row],[Family Size2]],"members")</f>
        <v>7members</v>
      </c>
      <c r="M433">
        <v>7</v>
      </c>
    </row>
    <row r="434" spans="1:13">
      <c r="A434">
        <v>433</v>
      </c>
      <c r="B434" t="s">
        <v>11</v>
      </c>
      <c r="C434">
        <v>23</v>
      </c>
      <c r="D434" t="str" cm="1">
        <f t="array" ref="D434">_xlfn.IFS(Table2[[#This Row],[Age]]&lt;=11,"Gen A",Table2[[#This Row],[Age]]&lt;=27,"Gen Z",Table2[[#This Row],[Age]]&lt;=43,"Millenials",Table2[[#This Row],[Age]]&lt;=59,"Gen X",Table2[[#This Row],[Age]]&lt;=78,"Baby Boomers",Table2[[#This Row],[Age]]&lt;=96,"Silent",Table2[[#This Row],[Age]]&gt;=97,"Greatest")</f>
        <v>Gen Z</v>
      </c>
      <c r="E434" s="1">
        <v>50076</v>
      </c>
      <c r="F434">
        <v>32</v>
      </c>
      <c r="G434" t="str" cm="1">
        <f t="array" ref="G434">_xlfn.IFS(Table2[[#This Row],[Spending Score (1-100)]]&lt;=25,"Low",Table2[[#This Row],[Spending Score (1-100)]]&lt;=50,"Medium",Table2[[#This Row],[Spending Score (1-100)]]&lt;=75,"High",Table2[[#This Row],[Spending Score (1-100)]]&lt;=100,"Very High")</f>
        <v>Medium</v>
      </c>
      <c r="H434" t="s">
        <v>14</v>
      </c>
      <c r="I434">
        <v>3</v>
      </c>
      <c r="J434" t="str">
        <f>CONCATENATE(Table2[[#This Row],[Work Experience]],"years")</f>
        <v>3years</v>
      </c>
      <c r="K434" t="str">
        <f>CONCATENATE(Table2[[#This Row],[Family Size2]],"members")</f>
        <v>5members</v>
      </c>
      <c r="L434" t="str">
        <f>CONCATENATE(Table2[[#This Row],[Family Size2]],"members")</f>
        <v>5members</v>
      </c>
      <c r="M434">
        <v>5</v>
      </c>
    </row>
    <row r="435" spans="1:13">
      <c r="A435">
        <v>434</v>
      </c>
      <c r="B435" t="s">
        <v>11</v>
      </c>
      <c r="C435">
        <v>25</v>
      </c>
      <c r="D435" t="str" cm="1">
        <f t="array" ref="D435">_xlfn.IFS(Table2[[#This Row],[Age]]&lt;=11,"Gen A",Table2[[#This Row],[Age]]&lt;=27,"Gen Z",Table2[[#This Row],[Age]]&lt;=43,"Millenials",Table2[[#This Row],[Age]]&lt;=59,"Gen X",Table2[[#This Row],[Age]]&lt;=78,"Baby Boomers",Table2[[#This Row],[Age]]&lt;=96,"Silent",Table2[[#This Row],[Age]]&gt;=97,"Greatest")</f>
        <v>Gen Z</v>
      </c>
      <c r="E435" s="1">
        <v>77779</v>
      </c>
      <c r="F435">
        <v>62</v>
      </c>
      <c r="G435" t="str" cm="1">
        <f t="array" ref="G435">_xlfn.IFS(Table2[[#This Row],[Spending Score (1-100)]]&lt;=25,"Low",Table2[[#This Row],[Spending Score (1-100)]]&lt;=50,"Medium",Table2[[#This Row],[Spending Score (1-100)]]&lt;=75,"High",Table2[[#This Row],[Spending Score (1-100)]]&lt;=100,"Very High")</f>
        <v>High</v>
      </c>
      <c r="H435" t="s">
        <v>14</v>
      </c>
      <c r="I435">
        <v>4</v>
      </c>
      <c r="J435" t="str">
        <f>CONCATENATE(Table2[[#This Row],[Work Experience]],"years")</f>
        <v>4years</v>
      </c>
      <c r="K435" t="str">
        <f>CONCATENATE(Table2[[#This Row],[Family Size2]],"members")</f>
        <v>1members</v>
      </c>
      <c r="L435" t="str">
        <f>CONCATENATE(Table2[[#This Row],[Family Size2]],"members")</f>
        <v>1members</v>
      </c>
      <c r="M435">
        <v>1</v>
      </c>
    </row>
    <row r="436" spans="1:13">
      <c r="A436">
        <v>435</v>
      </c>
      <c r="B436" t="s">
        <v>8</v>
      </c>
      <c r="C436">
        <v>59</v>
      </c>
      <c r="D436" t="str" cm="1">
        <f t="array" ref="D436">_xlfn.IFS(Table2[[#This Row],[Age]]&lt;=11,"Gen A",Table2[[#This Row],[Age]]&lt;=27,"Gen Z",Table2[[#This Row],[Age]]&lt;=43,"Millenials",Table2[[#This Row],[Age]]&lt;=59,"Gen X",Table2[[#This Row],[Age]]&lt;=78,"Baby Boomers",Table2[[#This Row],[Age]]&lt;=96,"Silent",Table2[[#This Row],[Age]]&gt;=97,"Greatest")</f>
        <v>Gen X</v>
      </c>
      <c r="E436" s="1">
        <v>169999</v>
      </c>
      <c r="F436">
        <v>38</v>
      </c>
      <c r="G436" t="str" cm="1">
        <f t="array" ref="G436">_xlfn.IFS(Table2[[#This Row],[Spending Score (1-100)]]&lt;=25,"Low",Table2[[#This Row],[Spending Score (1-100)]]&lt;=50,"Medium",Table2[[#This Row],[Spending Score (1-100)]]&lt;=75,"High",Table2[[#This Row],[Spending Score (1-100)]]&lt;=100,"Very High")</f>
        <v>Medium</v>
      </c>
      <c r="H436" t="s">
        <v>10</v>
      </c>
      <c r="I436">
        <v>5</v>
      </c>
      <c r="J436" t="str">
        <f>CONCATENATE(Table2[[#This Row],[Work Experience]],"years")</f>
        <v>5years</v>
      </c>
      <c r="K436" t="str">
        <f>CONCATENATE(Table2[[#This Row],[Family Size2]],"members")</f>
        <v>5members</v>
      </c>
      <c r="L436" t="str">
        <f>CONCATENATE(Table2[[#This Row],[Family Size2]],"members")</f>
        <v>5members</v>
      </c>
      <c r="M436">
        <v>5</v>
      </c>
    </row>
    <row r="437" spans="1:13">
      <c r="A437">
        <v>436</v>
      </c>
      <c r="B437" t="s">
        <v>11</v>
      </c>
      <c r="C437">
        <v>7</v>
      </c>
      <c r="D437" t="str" cm="1">
        <f t="array" ref="D437">_xlfn.IFS(Table2[[#This Row],[Age]]&lt;=11,"Gen A",Table2[[#This Row],[Age]]&lt;=27,"Gen Z",Table2[[#This Row],[Age]]&lt;=43,"Millenials",Table2[[#This Row],[Age]]&lt;=59,"Gen X",Table2[[#This Row],[Age]]&lt;=78,"Baby Boomers",Table2[[#This Row],[Age]]&lt;=96,"Silent",Table2[[#This Row],[Age]]&gt;=97,"Greatest")</f>
        <v>Gen A</v>
      </c>
      <c r="E437" s="1">
        <v>106581</v>
      </c>
      <c r="F437">
        <v>76</v>
      </c>
      <c r="G437" t="str" cm="1">
        <f t="array" ref="G437">_xlfn.IFS(Table2[[#This Row],[Spending Score (1-100)]]&lt;=25,"Low",Table2[[#This Row],[Spending Score (1-100)]]&lt;=50,"Medium",Table2[[#This Row],[Spending Score (1-100)]]&lt;=75,"High",Table2[[#This Row],[Spending Score (1-100)]]&lt;=100,"Very High")</f>
        <v>Very High</v>
      </c>
      <c r="H437" t="s">
        <v>16</v>
      </c>
      <c r="I437">
        <v>1</v>
      </c>
      <c r="J437" t="str">
        <f>CONCATENATE(Table2[[#This Row],[Work Experience]],"years")</f>
        <v>1years</v>
      </c>
      <c r="K437" t="str">
        <f>CONCATENATE(Table2[[#This Row],[Family Size2]],"members")</f>
        <v>7members</v>
      </c>
      <c r="L437" t="str">
        <f>CONCATENATE(Table2[[#This Row],[Family Size2]],"members")</f>
        <v>7members</v>
      </c>
      <c r="M437">
        <v>7</v>
      </c>
    </row>
    <row r="438" spans="1:13">
      <c r="A438">
        <v>437</v>
      </c>
      <c r="B438" t="s">
        <v>11</v>
      </c>
      <c r="C438">
        <v>24</v>
      </c>
      <c r="D438" t="str" cm="1">
        <f t="array" ref="D438">_xlfn.IFS(Table2[[#This Row],[Age]]&lt;=11,"Gen A",Table2[[#This Row],[Age]]&lt;=27,"Gen Z",Table2[[#This Row],[Age]]&lt;=43,"Millenials",Table2[[#This Row],[Age]]&lt;=59,"Gen X",Table2[[#This Row],[Age]]&lt;=78,"Baby Boomers",Table2[[#This Row],[Age]]&lt;=96,"Silent",Table2[[#This Row],[Age]]&gt;=97,"Greatest")</f>
        <v>Gen Z</v>
      </c>
      <c r="E438" s="1">
        <v>78223</v>
      </c>
      <c r="F438">
        <v>41</v>
      </c>
      <c r="G438" t="str" cm="1">
        <f t="array" ref="G438">_xlfn.IFS(Table2[[#This Row],[Spending Score (1-100)]]&lt;=25,"Low",Table2[[#This Row],[Spending Score (1-100)]]&lt;=50,"Medium",Table2[[#This Row],[Spending Score (1-100)]]&lt;=75,"High",Table2[[#This Row],[Spending Score (1-100)]]&lt;=100,"Very High")</f>
        <v>Medium</v>
      </c>
      <c r="H438" t="s">
        <v>12</v>
      </c>
      <c r="I438">
        <v>0</v>
      </c>
      <c r="J438" t="str">
        <f>CONCATENATE(Table2[[#This Row],[Work Experience]],"years")</f>
        <v>0years</v>
      </c>
      <c r="K438" t="str">
        <f>CONCATENATE(Table2[[#This Row],[Family Size2]],"members")</f>
        <v>1members</v>
      </c>
      <c r="L438" t="str">
        <f>CONCATENATE(Table2[[#This Row],[Family Size2]],"members")</f>
        <v>1members</v>
      </c>
      <c r="M438">
        <v>1</v>
      </c>
    </row>
    <row r="439" spans="1:13">
      <c r="A439">
        <v>438</v>
      </c>
      <c r="B439" t="s">
        <v>8</v>
      </c>
      <c r="C439">
        <v>76</v>
      </c>
      <c r="D439" t="str" cm="1">
        <f t="array" ref="D439">_xlfn.IFS(Table2[[#This Row],[Age]]&lt;=11,"Gen A",Table2[[#This Row],[Age]]&lt;=27,"Gen Z",Table2[[#This Row],[Age]]&lt;=43,"Millenials",Table2[[#This Row],[Age]]&lt;=59,"Gen X",Table2[[#This Row],[Age]]&lt;=78,"Baby Boomers",Table2[[#This Row],[Age]]&lt;=96,"Silent",Table2[[#This Row],[Age]]&gt;=97,"Greatest")</f>
        <v>Baby Boomers</v>
      </c>
      <c r="E439" s="1">
        <v>136259</v>
      </c>
      <c r="F439">
        <v>14</v>
      </c>
      <c r="G439" t="str" cm="1">
        <f t="array" ref="G439">_xlfn.IFS(Table2[[#This Row],[Spending Score (1-100)]]&lt;=25,"Low",Table2[[#This Row],[Spending Score (1-100)]]&lt;=50,"Medium",Table2[[#This Row],[Spending Score (1-100)]]&lt;=75,"High",Table2[[#This Row],[Spending Score (1-100)]]&lt;=100,"Very High")</f>
        <v>Low</v>
      </c>
      <c r="H439" t="s">
        <v>19</v>
      </c>
      <c r="I439">
        <v>0</v>
      </c>
      <c r="J439" t="str">
        <f>CONCATENATE(Table2[[#This Row],[Work Experience]],"years")</f>
        <v>0years</v>
      </c>
      <c r="K439" t="str">
        <f>CONCATENATE(Table2[[#This Row],[Family Size2]],"members")</f>
        <v>7members</v>
      </c>
      <c r="L439" t="str">
        <f>CONCATENATE(Table2[[#This Row],[Family Size2]],"members")</f>
        <v>7members</v>
      </c>
      <c r="M439">
        <v>7</v>
      </c>
    </row>
    <row r="440" spans="1:13">
      <c r="A440">
        <v>439</v>
      </c>
      <c r="B440" t="s">
        <v>8</v>
      </c>
      <c r="C440">
        <v>37</v>
      </c>
      <c r="D440" t="str" cm="1">
        <f t="array" ref="D440">_xlfn.IFS(Table2[[#This Row],[Age]]&lt;=11,"Gen A",Table2[[#This Row],[Age]]&lt;=27,"Gen Z",Table2[[#This Row],[Age]]&lt;=43,"Millenials",Table2[[#This Row],[Age]]&lt;=59,"Gen X",Table2[[#This Row],[Age]]&lt;=78,"Baby Boomers",Table2[[#This Row],[Age]]&lt;=96,"Silent",Table2[[#This Row],[Age]]&gt;=97,"Greatest")</f>
        <v>Millenials</v>
      </c>
      <c r="E440" s="1">
        <v>153399</v>
      </c>
      <c r="F440">
        <v>93</v>
      </c>
      <c r="G440" t="str" cm="1">
        <f t="array" ref="G440">_xlfn.IFS(Table2[[#This Row],[Spending Score (1-100)]]&lt;=25,"Low",Table2[[#This Row],[Spending Score (1-100)]]&lt;=50,"Medium",Table2[[#This Row],[Spending Score (1-100)]]&lt;=75,"High",Table2[[#This Row],[Spending Score (1-100)]]&lt;=100,"Very High")</f>
        <v>Very High</v>
      </c>
      <c r="H440" t="s">
        <v>13</v>
      </c>
      <c r="I440">
        <v>1</v>
      </c>
      <c r="J440" t="str">
        <f>CONCATENATE(Table2[[#This Row],[Work Experience]],"years")</f>
        <v>1years</v>
      </c>
      <c r="K440" t="str">
        <f>CONCATENATE(Table2[[#This Row],[Family Size2]],"members")</f>
        <v>6members</v>
      </c>
      <c r="L440" t="str">
        <f>CONCATENATE(Table2[[#This Row],[Family Size2]],"members")</f>
        <v>6members</v>
      </c>
      <c r="M440">
        <v>6</v>
      </c>
    </row>
    <row r="441" spans="1:13">
      <c r="A441">
        <v>440</v>
      </c>
      <c r="B441" t="s">
        <v>11</v>
      </c>
      <c r="C441">
        <v>6</v>
      </c>
      <c r="D441" t="str" cm="1">
        <f t="array" ref="D441">_xlfn.IFS(Table2[[#This Row],[Age]]&lt;=11,"Gen A",Table2[[#This Row],[Age]]&lt;=27,"Gen Z",Table2[[#This Row],[Age]]&lt;=43,"Millenials",Table2[[#This Row],[Age]]&lt;=59,"Gen X",Table2[[#This Row],[Age]]&lt;=78,"Baby Boomers",Table2[[#This Row],[Age]]&lt;=96,"Silent",Table2[[#This Row],[Age]]&gt;=97,"Greatest")</f>
        <v>Gen A</v>
      </c>
      <c r="E441" s="1">
        <v>162858</v>
      </c>
      <c r="F441">
        <v>91</v>
      </c>
      <c r="G441" t="str" cm="1">
        <f t="array" ref="G441">_xlfn.IFS(Table2[[#This Row],[Spending Score (1-100)]]&lt;=25,"Low",Table2[[#This Row],[Spending Score (1-100)]]&lt;=50,"Medium",Table2[[#This Row],[Spending Score (1-100)]]&lt;=75,"High",Table2[[#This Row],[Spending Score (1-100)]]&lt;=100,"Very High")</f>
        <v>Very High</v>
      </c>
      <c r="H441" t="s">
        <v>14</v>
      </c>
      <c r="I441">
        <v>0</v>
      </c>
      <c r="J441" t="str">
        <f>CONCATENATE(Table2[[#This Row],[Work Experience]],"years")</f>
        <v>0years</v>
      </c>
      <c r="K441" t="str">
        <f>CONCATENATE(Table2[[#This Row],[Family Size2]],"members")</f>
        <v>1members</v>
      </c>
      <c r="L441" t="str">
        <f>CONCATENATE(Table2[[#This Row],[Family Size2]],"members")</f>
        <v>1members</v>
      </c>
      <c r="M441">
        <v>1</v>
      </c>
    </row>
    <row r="442" spans="1:13">
      <c r="A442">
        <v>441</v>
      </c>
      <c r="B442" t="s">
        <v>11</v>
      </c>
      <c r="C442">
        <v>0</v>
      </c>
      <c r="D442" t="str" cm="1">
        <f t="array" ref="D442">_xlfn.IFS(Table2[[#This Row],[Age]]&lt;=11,"Gen A",Table2[[#This Row],[Age]]&lt;=27,"Gen Z",Table2[[#This Row],[Age]]&lt;=43,"Millenials",Table2[[#This Row],[Age]]&lt;=59,"Gen X",Table2[[#This Row],[Age]]&lt;=78,"Baby Boomers",Table2[[#This Row],[Age]]&lt;=96,"Silent",Table2[[#This Row],[Age]]&gt;=97,"Greatest")</f>
        <v>Gen A</v>
      </c>
      <c r="E442" s="1">
        <v>57373</v>
      </c>
      <c r="F442">
        <v>29</v>
      </c>
      <c r="G442" t="str" cm="1">
        <f t="array" ref="G442">_xlfn.IFS(Table2[[#This Row],[Spending Score (1-100)]]&lt;=25,"Low",Table2[[#This Row],[Spending Score (1-100)]]&lt;=50,"Medium",Table2[[#This Row],[Spending Score (1-100)]]&lt;=75,"High",Table2[[#This Row],[Spending Score (1-100)]]&lt;=100,"Very High")</f>
        <v>Medium</v>
      </c>
      <c r="H442" t="s">
        <v>19</v>
      </c>
      <c r="I442">
        <v>0</v>
      </c>
      <c r="J442" t="str">
        <f>CONCATENATE(Table2[[#This Row],[Work Experience]],"years")</f>
        <v>0years</v>
      </c>
      <c r="K442" t="str">
        <f>CONCATENATE(Table2[[#This Row],[Family Size2]],"members")</f>
        <v>7members</v>
      </c>
      <c r="L442" t="str">
        <f>CONCATENATE(Table2[[#This Row],[Family Size2]],"members")</f>
        <v>7members</v>
      </c>
      <c r="M442">
        <v>7</v>
      </c>
    </row>
    <row r="443" spans="1:13">
      <c r="A443">
        <v>442</v>
      </c>
      <c r="B443" t="s">
        <v>8</v>
      </c>
      <c r="C443">
        <v>3</v>
      </c>
      <c r="D443" t="str" cm="1">
        <f t="array" ref="D443">_xlfn.IFS(Table2[[#This Row],[Age]]&lt;=11,"Gen A",Table2[[#This Row],[Age]]&lt;=27,"Gen Z",Table2[[#This Row],[Age]]&lt;=43,"Millenials",Table2[[#This Row],[Age]]&lt;=59,"Gen X",Table2[[#This Row],[Age]]&lt;=78,"Baby Boomers",Table2[[#This Row],[Age]]&lt;=96,"Silent",Table2[[#This Row],[Age]]&gt;=97,"Greatest")</f>
        <v>Gen A</v>
      </c>
      <c r="E443" s="1">
        <v>133602</v>
      </c>
      <c r="F443">
        <v>47</v>
      </c>
      <c r="G443" t="str" cm="1">
        <f t="array" ref="G443">_xlfn.IFS(Table2[[#This Row],[Spending Score (1-100)]]&lt;=25,"Low",Table2[[#This Row],[Spending Score (1-100)]]&lt;=50,"Medium",Table2[[#This Row],[Spending Score (1-100)]]&lt;=75,"High",Table2[[#This Row],[Spending Score (1-100)]]&lt;=100,"Very High")</f>
        <v>Medium</v>
      </c>
      <c r="H443" t="s">
        <v>14</v>
      </c>
      <c r="I443">
        <v>1</v>
      </c>
      <c r="J443" t="str">
        <f>CONCATENATE(Table2[[#This Row],[Work Experience]],"years")</f>
        <v>1years</v>
      </c>
      <c r="K443" t="str">
        <f>CONCATENATE(Table2[[#This Row],[Family Size2]],"members")</f>
        <v>1members</v>
      </c>
      <c r="L443" t="str">
        <f>CONCATENATE(Table2[[#This Row],[Family Size2]],"members")</f>
        <v>1members</v>
      </c>
      <c r="M443">
        <v>1</v>
      </c>
    </row>
    <row r="444" spans="1:13">
      <c r="A444">
        <v>443</v>
      </c>
      <c r="B444" t="s">
        <v>11</v>
      </c>
      <c r="C444">
        <v>95</v>
      </c>
      <c r="D444" t="str" cm="1">
        <f t="array" ref="D444">_xlfn.IFS(Table2[[#This Row],[Age]]&lt;=11,"Gen A",Table2[[#This Row],[Age]]&lt;=27,"Gen Z",Table2[[#This Row],[Age]]&lt;=43,"Millenials",Table2[[#This Row],[Age]]&lt;=59,"Gen X",Table2[[#This Row],[Age]]&lt;=78,"Baby Boomers",Table2[[#This Row],[Age]]&lt;=96,"Silent",Table2[[#This Row],[Age]]&gt;=97,"Greatest")</f>
        <v>Silent</v>
      </c>
      <c r="E444" s="1">
        <v>66322</v>
      </c>
      <c r="F444">
        <v>88</v>
      </c>
      <c r="G444" t="str" cm="1">
        <f t="array" ref="G444">_xlfn.IFS(Table2[[#This Row],[Spending Score (1-100)]]&lt;=25,"Low",Table2[[#This Row],[Spending Score (1-100)]]&lt;=50,"Medium",Table2[[#This Row],[Spending Score (1-100)]]&lt;=75,"High",Table2[[#This Row],[Spending Score (1-100)]]&lt;=100,"Very High")</f>
        <v>Very High</v>
      </c>
      <c r="H444" t="s">
        <v>14</v>
      </c>
      <c r="I444">
        <v>0</v>
      </c>
      <c r="J444" t="str">
        <f>CONCATENATE(Table2[[#This Row],[Work Experience]],"years")</f>
        <v>0years</v>
      </c>
      <c r="K444" t="str">
        <f>CONCATENATE(Table2[[#This Row],[Family Size2]],"members")</f>
        <v>3members</v>
      </c>
      <c r="L444" t="str">
        <f>CONCATENATE(Table2[[#This Row],[Family Size2]],"members")</f>
        <v>3members</v>
      </c>
      <c r="M444">
        <v>3</v>
      </c>
    </row>
    <row r="445" spans="1:13">
      <c r="A445">
        <v>444</v>
      </c>
      <c r="B445" t="s">
        <v>11</v>
      </c>
      <c r="C445">
        <v>0</v>
      </c>
      <c r="D445" t="str" cm="1">
        <f t="array" ref="D445">_xlfn.IFS(Table2[[#This Row],[Age]]&lt;=11,"Gen A",Table2[[#This Row],[Age]]&lt;=27,"Gen Z",Table2[[#This Row],[Age]]&lt;=43,"Millenials",Table2[[#This Row],[Age]]&lt;=59,"Gen X",Table2[[#This Row],[Age]]&lt;=78,"Baby Boomers",Table2[[#This Row],[Age]]&lt;=96,"Silent",Table2[[#This Row],[Age]]&gt;=97,"Greatest")</f>
        <v>Gen A</v>
      </c>
      <c r="E445" s="1">
        <v>68761</v>
      </c>
      <c r="F445">
        <v>16</v>
      </c>
      <c r="G445" t="str" cm="1">
        <f t="array" ref="G445">_xlfn.IFS(Table2[[#This Row],[Spending Score (1-100)]]&lt;=25,"Low",Table2[[#This Row],[Spending Score (1-100)]]&lt;=50,"Medium",Table2[[#This Row],[Spending Score (1-100)]]&lt;=75,"High",Table2[[#This Row],[Spending Score (1-100)]]&lt;=100,"Very High")</f>
        <v>Low</v>
      </c>
      <c r="H445" t="s">
        <v>12</v>
      </c>
      <c r="I445">
        <v>1</v>
      </c>
      <c r="J445" t="str">
        <f>CONCATENATE(Table2[[#This Row],[Work Experience]],"years")</f>
        <v>1years</v>
      </c>
      <c r="K445" t="str">
        <f>CONCATENATE(Table2[[#This Row],[Family Size2]],"members")</f>
        <v>4members</v>
      </c>
      <c r="L445" t="str">
        <f>CONCATENATE(Table2[[#This Row],[Family Size2]],"members")</f>
        <v>4members</v>
      </c>
      <c r="M445">
        <v>4</v>
      </c>
    </row>
    <row r="446" spans="1:13">
      <c r="A446">
        <v>445</v>
      </c>
      <c r="B446" t="s">
        <v>8</v>
      </c>
      <c r="C446">
        <v>7</v>
      </c>
      <c r="D446" t="str" cm="1">
        <f t="array" ref="D446">_xlfn.IFS(Table2[[#This Row],[Age]]&lt;=11,"Gen A",Table2[[#This Row],[Age]]&lt;=27,"Gen Z",Table2[[#This Row],[Age]]&lt;=43,"Millenials",Table2[[#This Row],[Age]]&lt;=59,"Gen X",Table2[[#This Row],[Age]]&lt;=78,"Baby Boomers",Table2[[#This Row],[Age]]&lt;=96,"Silent",Table2[[#This Row],[Age]]&gt;=97,"Greatest")</f>
        <v>Gen A</v>
      </c>
      <c r="E446" s="1">
        <v>70749</v>
      </c>
      <c r="F446">
        <v>86</v>
      </c>
      <c r="G446" t="str" cm="1">
        <f t="array" ref="G446">_xlfn.IFS(Table2[[#This Row],[Spending Score (1-100)]]&lt;=25,"Low",Table2[[#This Row],[Spending Score (1-100)]]&lt;=50,"Medium",Table2[[#This Row],[Spending Score (1-100)]]&lt;=75,"High",Table2[[#This Row],[Spending Score (1-100)]]&lt;=100,"Very High")</f>
        <v>Very High</v>
      </c>
      <c r="H446" t="s">
        <v>14</v>
      </c>
      <c r="I446">
        <v>13</v>
      </c>
      <c r="J446" t="str">
        <f>CONCATENATE(Table2[[#This Row],[Work Experience]],"years")</f>
        <v>13years</v>
      </c>
      <c r="K446" t="str">
        <f>CONCATENATE(Table2[[#This Row],[Family Size2]],"members")</f>
        <v>3members</v>
      </c>
      <c r="L446" t="str">
        <f>CONCATENATE(Table2[[#This Row],[Family Size2]],"members")</f>
        <v>3members</v>
      </c>
      <c r="M446">
        <v>3</v>
      </c>
    </row>
    <row r="447" spans="1:13">
      <c r="A447">
        <v>446</v>
      </c>
      <c r="B447" t="s">
        <v>8</v>
      </c>
      <c r="C447">
        <v>54</v>
      </c>
      <c r="D447" t="str" cm="1">
        <f t="array" ref="D447">_xlfn.IFS(Table2[[#This Row],[Age]]&lt;=11,"Gen A",Table2[[#This Row],[Age]]&lt;=27,"Gen Z",Table2[[#This Row],[Age]]&lt;=43,"Millenials",Table2[[#This Row],[Age]]&lt;=59,"Gen X",Table2[[#This Row],[Age]]&lt;=78,"Baby Boomers",Table2[[#This Row],[Age]]&lt;=96,"Silent",Table2[[#This Row],[Age]]&gt;=97,"Greatest")</f>
        <v>Gen X</v>
      </c>
      <c r="E447" s="1">
        <v>65874</v>
      </c>
      <c r="F447">
        <v>87</v>
      </c>
      <c r="G447" t="str" cm="1">
        <f t="array" ref="G447">_xlfn.IFS(Table2[[#This Row],[Spending Score (1-100)]]&lt;=25,"Low",Table2[[#This Row],[Spending Score (1-100)]]&lt;=50,"Medium",Table2[[#This Row],[Spending Score (1-100)]]&lt;=75,"High",Table2[[#This Row],[Spending Score (1-100)]]&lt;=100,"Very High")</f>
        <v>Very High</v>
      </c>
      <c r="H447" t="s">
        <v>14</v>
      </c>
      <c r="I447">
        <v>7</v>
      </c>
      <c r="J447" t="str">
        <f>CONCATENATE(Table2[[#This Row],[Work Experience]],"years")</f>
        <v>7years</v>
      </c>
      <c r="K447" t="str">
        <f>CONCATENATE(Table2[[#This Row],[Family Size2]],"members")</f>
        <v>6members</v>
      </c>
      <c r="L447" t="str">
        <f>CONCATENATE(Table2[[#This Row],[Family Size2]],"members")</f>
        <v>6members</v>
      </c>
      <c r="M447">
        <v>6</v>
      </c>
    </row>
    <row r="448" spans="1:13">
      <c r="A448">
        <v>447</v>
      </c>
      <c r="B448" t="s">
        <v>8</v>
      </c>
      <c r="C448">
        <v>89</v>
      </c>
      <c r="D448" t="str" cm="1">
        <f t="array" ref="D448">_xlfn.IFS(Table2[[#This Row],[Age]]&lt;=11,"Gen A",Table2[[#This Row],[Age]]&lt;=27,"Gen Z",Table2[[#This Row],[Age]]&lt;=43,"Millenials",Table2[[#This Row],[Age]]&lt;=59,"Gen X",Table2[[#This Row],[Age]]&lt;=78,"Baby Boomers",Table2[[#This Row],[Age]]&lt;=96,"Silent",Table2[[#This Row],[Age]]&gt;=97,"Greatest")</f>
        <v>Silent</v>
      </c>
      <c r="E448" s="1">
        <v>115996</v>
      </c>
      <c r="F448">
        <v>24</v>
      </c>
      <c r="G448" t="str" cm="1">
        <f t="array" ref="G448">_xlfn.IFS(Table2[[#This Row],[Spending Score (1-100)]]&lt;=25,"Low",Table2[[#This Row],[Spending Score (1-100)]]&lt;=50,"Medium",Table2[[#This Row],[Spending Score (1-100)]]&lt;=75,"High",Table2[[#This Row],[Spending Score (1-100)]]&lt;=100,"Very High")</f>
        <v>Low</v>
      </c>
      <c r="H448" t="s">
        <v>10</v>
      </c>
      <c r="I448">
        <v>15</v>
      </c>
      <c r="J448" t="str">
        <f>CONCATENATE(Table2[[#This Row],[Work Experience]],"years")</f>
        <v>15years</v>
      </c>
      <c r="K448" t="str">
        <f>CONCATENATE(Table2[[#This Row],[Family Size2]],"members")</f>
        <v>1members</v>
      </c>
      <c r="L448" t="str">
        <f>CONCATENATE(Table2[[#This Row],[Family Size2]],"members")</f>
        <v>1members</v>
      </c>
      <c r="M448">
        <v>1</v>
      </c>
    </row>
    <row r="449" spans="1:13">
      <c r="A449">
        <v>448</v>
      </c>
      <c r="B449" t="s">
        <v>11</v>
      </c>
      <c r="C449">
        <v>58</v>
      </c>
      <c r="D449" t="str" cm="1">
        <f t="array" ref="D449">_xlfn.IFS(Table2[[#This Row],[Age]]&lt;=11,"Gen A",Table2[[#This Row],[Age]]&lt;=27,"Gen Z",Table2[[#This Row],[Age]]&lt;=43,"Millenials",Table2[[#This Row],[Age]]&lt;=59,"Gen X",Table2[[#This Row],[Age]]&lt;=78,"Baby Boomers",Table2[[#This Row],[Age]]&lt;=96,"Silent",Table2[[#This Row],[Age]]&gt;=97,"Greatest")</f>
        <v>Gen X</v>
      </c>
      <c r="E449" s="1">
        <v>67097</v>
      </c>
      <c r="F449">
        <v>91</v>
      </c>
      <c r="G449" t="str" cm="1">
        <f t="array" ref="G449">_xlfn.IFS(Table2[[#This Row],[Spending Score (1-100)]]&lt;=25,"Low",Table2[[#This Row],[Spending Score (1-100)]]&lt;=50,"Medium",Table2[[#This Row],[Spending Score (1-100)]]&lt;=75,"High",Table2[[#This Row],[Spending Score (1-100)]]&lt;=100,"Very High")</f>
        <v>Very High</v>
      </c>
      <c r="H449" t="s">
        <v>10</v>
      </c>
      <c r="I449">
        <v>6</v>
      </c>
      <c r="J449" t="str">
        <f>CONCATENATE(Table2[[#This Row],[Work Experience]],"years")</f>
        <v>6years</v>
      </c>
      <c r="K449" t="str">
        <f>CONCATENATE(Table2[[#This Row],[Family Size2]],"members")</f>
        <v>1members</v>
      </c>
      <c r="L449" t="str">
        <f>CONCATENATE(Table2[[#This Row],[Family Size2]],"members")</f>
        <v>1members</v>
      </c>
      <c r="M449">
        <v>1</v>
      </c>
    </row>
    <row r="450" spans="1:13">
      <c r="A450">
        <v>449</v>
      </c>
      <c r="B450" t="s">
        <v>11</v>
      </c>
      <c r="C450">
        <v>12</v>
      </c>
      <c r="D450" t="str" cm="1">
        <f t="array" ref="D450">_xlfn.IFS(Table2[[#This Row],[Age]]&lt;=11,"Gen A",Table2[[#This Row],[Age]]&lt;=27,"Gen Z",Table2[[#This Row],[Age]]&lt;=43,"Millenials",Table2[[#This Row],[Age]]&lt;=59,"Gen X",Table2[[#This Row],[Age]]&lt;=78,"Baby Boomers",Table2[[#This Row],[Age]]&lt;=96,"Silent",Table2[[#This Row],[Age]]&gt;=97,"Greatest")</f>
        <v>Gen Z</v>
      </c>
      <c r="E450" s="1">
        <v>108027</v>
      </c>
      <c r="F450">
        <v>64</v>
      </c>
      <c r="G450" t="str" cm="1">
        <f t="array" ref="G450">_xlfn.IFS(Table2[[#This Row],[Spending Score (1-100)]]&lt;=25,"Low",Table2[[#This Row],[Spending Score (1-100)]]&lt;=50,"Medium",Table2[[#This Row],[Spending Score (1-100)]]&lt;=75,"High",Table2[[#This Row],[Spending Score (1-100)]]&lt;=100,"Very High")</f>
        <v>High</v>
      </c>
      <c r="H450" t="s">
        <v>14</v>
      </c>
      <c r="I450">
        <v>13</v>
      </c>
      <c r="J450" t="str">
        <f>CONCATENATE(Table2[[#This Row],[Work Experience]],"years")</f>
        <v>13years</v>
      </c>
      <c r="K450" t="str">
        <f>CONCATENATE(Table2[[#This Row],[Family Size2]],"members")</f>
        <v>5members</v>
      </c>
      <c r="L450" t="str">
        <f>CONCATENATE(Table2[[#This Row],[Family Size2]],"members")</f>
        <v>5members</v>
      </c>
      <c r="M450">
        <v>5</v>
      </c>
    </row>
    <row r="451" spans="1:13">
      <c r="A451">
        <v>450</v>
      </c>
      <c r="B451" t="s">
        <v>8</v>
      </c>
      <c r="C451">
        <v>7</v>
      </c>
      <c r="D451" t="str" cm="1">
        <f t="array" ref="D451">_xlfn.IFS(Table2[[#This Row],[Age]]&lt;=11,"Gen A",Table2[[#This Row],[Age]]&lt;=27,"Gen Z",Table2[[#This Row],[Age]]&lt;=43,"Millenials",Table2[[#This Row],[Age]]&lt;=59,"Gen X",Table2[[#This Row],[Age]]&lt;=78,"Baby Boomers",Table2[[#This Row],[Age]]&lt;=96,"Silent",Table2[[#This Row],[Age]]&gt;=97,"Greatest")</f>
        <v>Gen A</v>
      </c>
      <c r="E451" s="1">
        <v>176349</v>
      </c>
      <c r="F451">
        <v>80</v>
      </c>
      <c r="G451" t="str" cm="1">
        <f t="array" ref="G451">_xlfn.IFS(Table2[[#This Row],[Spending Score (1-100)]]&lt;=25,"Low",Table2[[#This Row],[Spending Score (1-100)]]&lt;=50,"Medium",Table2[[#This Row],[Spending Score (1-100)]]&lt;=75,"High",Table2[[#This Row],[Spending Score (1-100)]]&lt;=100,"Very High")</f>
        <v>Very High</v>
      </c>
      <c r="H451" t="s">
        <v>9</v>
      </c>
      <c r="I451">
        <v>8</v>
      </c>
      <c r="J451" t="str">
        <f>CONCATENATE(Table2[[#This Row],[Work Experience]],"years")</f>
        <v>8years</v>
      </c>
      <c r="K451" t="str">
        <f>CONCATENATE(Table2[[#This Row],[Family Size2]],"members")</f>
        <v>2members</v>
      </c>
      <c r="L451" t="str">
        <f>CONCATENATE(Table2[[#This Row],[Family Size2]],"members")</f>
        <v>2members</v>
      </c>
      <c r="M451">
        <v>2</v>
      </c>
    </row>
    <row r="452" spans="1:13">
      <c r="A452">
        <v>451</v>
      </c>
      <c r="B452" t="s">
        <v>8</v>
      </c>
      <c r="C452">
        <v>11</v>
      </c>
      <c r="D452" t="str" cm="1">
        <f t="array" ref="D452">_xlfn.IFS(Table2[[#This Row],[Age]]&lt;=11,"Gen A",Table2[[#This Row],[Age]]&lt;=27,"Gen Z",Table2[[#This Row],[Age]]&lt;=43,"Millenials",Table2[[#This Row],[Age]]&lt;=59,"Gen X",Table2[[#This Row],[Age]]&lt;=78,"Baby Boomers",Table2[[#This Row],[Age]]&lt;=96,"Silent",Table2[[#This Row],[Age]]&gt;=97,"Greatest")</f>
        <v>Gen A</v>
      </c>
      <c r="E452" s="1">
        <v>88452</v>
      </c>
      <c r="F452">
        <v>40</v>
      </c>
      <c r="G452" t="str" cm="1">
        <f t="array" ref="G452">_xlfn.IFS(Table2[[#This Row],[Spending Score (1-100)]]&lt;=25,"Low",Table2[[#This Row],[Spending Score (1-100)]]&lt;=50,"Medium",Table2[[#This Row],[Spending Score (1-100)]]&lt;=75,"High",Table2[[#This Row],[Spending Score (1-100)]]&lt;=100,"Very High")</f>
        <v>Medium</v>
      </c>
      <c r="H452" t="s">
        <v>9</v>
      </c>
      <c r="I452">
        <v>8</v>
      </c>
      <c r="J452" t="str">
        <f>CONCATENATE(Table2[[#This Row],[Work Experience]],"years")</f>
        <v>8years</v>
      </c>
      <c r="K452" t="str">
        <f>CONCATENATE(Table2[[#This Row],[Family Size2]],"members")</f>
        <v>6members</v>
      </c>
      <c r="L452" t="str">
        <f>CONCATENATE(Table2[[#This Row],[Family Size2]],"members")</f>
        <v>6members</v>
      </c>
      <c r="M452">
        <v>6</v>
      </c>
    </row>
    <row r="453" spans="1:13">
      <c r="A453">
        <v>452</v>
      </c>
      <c r="B453" t="s">
        <v>8</v>
      </c>
      <c r="C453">
        <v>74</v>
      </c>
      <c r="D453" t="str" cm="1">
        <f t="array" ref="D453">_xlfn.IFS(Table2[[#This Row],[Age]]&lt;=11,"Gen A",Table2[[#This Row],[Age]]&lt;=27,"Gen Z",Table2[[#This Row],[Age]]&lt;=43,"Millenials",Table2[[#This Row],[Age]]&lt;=59,"Gen X",Table2[[#This Row],[Age]]&lt;=78,"Baby Boomers",Table2[[#This Row],[Age]]&lt;=96,"Silent",Table2[[#This Row],[Age]]&gt;=97,"Greatest")</f>
        <v>Baby Boomers</v>
      </c>
      <c r="E453" s="1">
        <v>128266</v>
      </c>
      <c r="F453">
        <v>55</v>
      </c>
      <c r="G453" t="str" cm="1">
        <f t="array" ref="G453">_xlfn.IFS(Table2[[#This Row],[Spending Score (1-100)]]&lt;=25,"Low",Table2[[#This Row],[Spending Score (1-100)]]&lt;=50,"Medium",Table2[[#This Row],[Spending Score (1-100)]]&lt;=75,"High",Table2[[#This Row],[Spending Score (1-100)]]&lt;=100,"Very High")</f>
        <v>High</v>
      </c>
      <c r="H453" t="s">
        <v>10</v>
      </c>
      <c r="I453">
        <v>7</v>
      </c>
      <c r="J453" t="str">
        <f>CONCATENATE(Table2[[#This Row],[Work Experience]],"years")</f>
        <v>7years</v>
      </c>
      <c r="K453" t="str">
        <f>CONCATENATE(Table2[[#This Row],[Family Size2]],"members")</f>
        <v>4members</v>
      </c>
      <c r="L453" t="str">
        <f>CONCATENATE(Table2[[#This Row],[Family Size2]],"members")</f>
        <v>4members</v>
      </c>
      <c r="M453">
        <v>4</v>
      </c>
    </row>
    <row r="454" spans="1:13">
      <c r="A454">
        <v>453</v>
      </c>
      <c r="B454" t="s">
        <v>11</v>
      </c>
      <c r="C454">
        <v>64</v>
      </c>
      <c r="D454" t="str" cm="1">
        <f t="array" ref="D454">_xlfn.IFS(Table2[[#This Row],[Age]]&lt;=11,"Gen A",Table2[[#This Row],[Age]]&lt;=27,"Gen Z",Table2[[#This Row],[Age]]&lt;=43,"Millenials",Table2[[#This Row],[Age]]&lt;=59,"Gen X",Table2[[#This Row],[Age]]&lt;=78,"Baby Boomers",Table2[[#This Row],[Age]]&lt;=96,"Silent",Table2[[#This Row],[Age]]&gt;=97,"Greatest")</f>
        <v>Baby Boomers</v>
      </c>
      <c r="E454" s="1">
        <v>156777</v>
      </c>
      <c r="F454">
        <v>20</v>
      </c>
      <c r="G454" t="str" cm="1">
        <f t="array" ref="G454">_xlfn.IFS(Table2[[#This Row],[Spending Score (1-100)]]&lt;=25,"Low",Table2[[#This Row],[Spending Score (1-100)]]&lt;=50,"Medium",Table2[[#This Row],[Spending Score (1-100)]]&lt;=75,"High",Table2[[#This Row],[Spending Score (1-100)]]&lt;=100,"Very High")</f>
        <v>Low</v>
      </c>
      <c r="H454" t="s">
        <v>9</v>
      </c>
      <c r="I454">
        <v>7</v>
      </c>
      <c r="J454" t="str">
        <f>CONCATENATE(Table2[[#This Row],[Work Experience]],"years")</f>
        <v>7years</v>
      </c>
      <c r="K454" t="str">
        <f>CONCATENATE(Table2[[#This Row],[Family Size2]],"members")</f>
        <v>2members</v>
      </c>
      <c r="L454" t="str">
        <f>CONCATENATE(Table2[[#This Row],[Family Size2]],"members")</f>
        <v>2members</v>
      </c>
      <c r="M454">
        <v>2</v>
      </c>
    </row>
    <row r="455" spans="1:13">
      <c r="A455">
        <v>454</v>
      </c>
      <c r="B455" t="s">
        <v>11</v>
      </c>
      <c r="C455">
        <v>48</v>
      </c>
      <c r="D455" t="str" cm="1">
        <f t="array" ref="D455">_xlfn.IFS(Table2[[#This Row],[Age]]&lt;=11,"Gen A",Table2[[#This Row],[Age]]&lt;=27,"Gen Z",Table2[[#This Row],[Age]]&lt;=43,"Millenials",Table2[[#This Row],[Age]]&lt;=59,"Gen X",Table2[[#This Row],[Age]]&lt;=78,"Baby Boomers",Table2[[#This Row],[Age]]&lt;=96,"Silent",Table2[[#This Row],[Age]]&gt;=97,"Greatest")</f>
        <v>Gen X</v>
      </c>
      <c r="E455" s="1">
        <v>123234</v>
      </c>
      <c r="F455">
        <v>50</v>
      </c>
      <c r="G455" t="str" cm="1">
        <f t="array" ref="G455">_xlfn.IFS(Table2[[#This Row],[Spending Score (1-100)]]&lt;=25,"Low",Table2[[#This Row],[Spending Score (1-100)]]&lt;=50,"Medium",Table2[[#This Row],[Spending Score (1-100)]]&lt;=75,"High",Table2[[#This Row],[Spending Score (1-100)]]&lt;=100,"Very High")</f>
        <v>Medium</v>
      </c>
      <c r="H455" t="s">
        <v>12</v>
      </c>
      <c r="I455">
        <v>10</v>
      </c>
      <c r="J455" t="str">
        <f>CONCATENATE(Table2[[#This Row],[Work Experience]],"years")</f>
        <v>10years</v>
      </c>
      <c r="K455" t="str">
        <f>CONCATENATE(Table2[[#This Row],[Family Size2]],"members")</f>
        <v>7members</v>
      </c>
      <c r="L455" t="str">
        <f>CONCATENATE(Table2[[#This Row],[Family Size2]],"members")</f>
        <v>7members</v>
      </c>
      <c r="M455">
        <v>7</v>
      </c>
    </row>
    <row r="456" spans="1:13">
      <c r="A456">
        <v>455</v>
      </c>
      <c r="B456" t="s">
        <v>11</v>
      </c>
      <c r="C456">
        <v>8</v>
      </c>
      <c r="D456" t="str" cm="1">
        <f t="array" ref="D456">_xlfn.IFS(Table2[[#This Row],[Age]]&lt;=11,"Gen A",Table2[[#This Row],[Age]]&lt;=27,"Gen Z",Table2[[#This Row],[Age]]&lt;=43,"Millenials",Table2[[#This Row],[Age]]&lt;=59,"Gen X",Table2[[#This Row],[Age]]&lt;=78,"Baby Boomers",Table2[[#This Row],[Age]]&lt;=96,"Silent",Table2[[#This Row],[Age]]&gt;=97,"Greatest")</f>
        <v>Gen A</v>
      </c>
      <c r="E456" s="1">
        <v>60790</v>
      </c>
      <c r="F456">
        <v>38</v>
      </c>
      <c r="G456" t="str" cm="1">
        <f t="array" ref="G456">_xlfn.IFS(Table2[[#This Row],[Spending Score (1-100)]]&lt;=25,"Low",Table2[[#This Row],[Spending Score (1-100)]]&lt;=50,"Medium",Table2[[#This Row],[Spending Score (1-100)]]&lt;=75,"High",Table2[[#This Row],[Spending Score (1-100)]]&lt;=100,"Very High")</f>
        <v>Medium</v>
      </c>
      <c r="H456" t="s">
        <v>14</v>
      </c>
      <c r="I456">
        <v>1</v>
      </c>
      <c r="J456" t="str">
        <f>CONCATENATE(Table2[[#This Row],[Work Experience]],"years")</f>
        <v>1years</v>
      </c>
      <c r="K456" t="str">
        <f>CONCATENATE(Table2[[#This Row],[Family Size2]],"members")</f>
        <v>5members</v>
      </c>
      <c r="L456" t="str">
        <f>CONCATENATE(Table2[[#This Row],[Family Size2]],"members")</f>
        <v>5members</v>
      </c>
      <c r="M456">
        <v>5</v>
      </c>
    </row>
    <row r="457" spans="1:13">
      <c r="A457">
        <v>456</v>
      </c>
      <c r="B457" t="s">
        <v>11</v>
      </c>
      <c r="C457">
        <v>15</v>
      </c>
      <c r="D457" t="str" cm="1">
        <f t="array" ref="D457">_xlfn.IFS(Table2[[#This Row],[Age]]&lt;=11,"Gen A",Table2[[#This Row],[Age]]&lt;=27,"Gen Z",Table2[[#This Row],[Age]]&lt;=43,"Millenials",Table2[[#This Row],[Age]]&lt;=59,"Gen X",Table2[[#This Row],[Age]]&lt;=78,"Baby Boomers",Table2[[#This Row],[Age]]&lt;=96,"Silent",Table2[[#This Row],[Age]]&gt;=97,"Greatest")</f>
        <v>Gen Z</v>
      </c>
      <c r="E457" s="1">
        <v>181332</v>
      </c>
      <c r="F457">
        <v>99</v>
      </c>
      <c r="G457" t="str" cm="1">
        <f t="array" ref="G457">_xlfn.IFS(Table2[[#This Row],[Spending Score (1-100)]]&lt;=25,"Low",Table2[[#This Row],[Spending Score (1-100)]]&lt;=50,"Medium",Table2[[#This Row],[Spending Score (1-100)]]&lt;=75,"High",Table2[[#This Row],[Spending Score (1-100)]]&lt;=100,"Very High")</f>
        <v>Very High</v>
      </c>
      <c r="H457" t="s">
        <v>14</v>
      </c>
      <c r="I457">
        <v>14</v>
      </c>
      <c r="J457" t="str">
        <f>CONCATENATE(Table2[[#This Row],[Work Experience]],"years")</f>
        <v>14years</v>
      </c>
      <c r="K457" t="str">
        <f>CONCATENATE(Table2[[#This Row],[Family Size2]],"members")</f>
        <v>6members</v>
      </c>
      <c r="L457" t="str">
        <f>CONCATENATE(Table2[[#This Row],[Family Size2]],"members")</f>
        <v>6members</v>
      </c>
      <c r="M457">
        <v>6</v>
      </c>
    </row>
    <row r="458" spans="1:13">
      <c r="A458">
        <v>457</v>
      </c>
      <c r="B458" t="s">
        <v>8</v>
      </c>
      <c r="C458">
        <v>1</v>
      </c>
      <c r="D458" t="str" cm="1">
        <f t="array" ref="D458">_xlfn.IFS(Table2[[#This Row],[Age]]&lt;=11,"Gen A",Table2[[#This Row],[Age]]&lt;=27,"Gen Z",Table2[[#This Row],[Age]]&lt;=43,"Millenials",Table2[[#This Row],[Age]]&lt;=59,"Gen X",Table2[[#This Row],[Age]]&lt;=78,"Baby Boomers",Table2[[#This Row],[Age]]&lt;=96,"Silent",Table2[[#This Row],[Age]]&gt;=97,"Greatest")</f>
        <v>Gen A</v>
      </c>
      <c r="E458" s="1">
        <v>187297</v>
      </c>
      <c r="F458">
        <v>7</v>
      </c>
      <c r="G458" t="str" cm="1">
        <f t="array" ref="G458">_xlfn.IFS(Table2[[#This Row],[Spending Score (1-100)]]&lt;=25,"Low",Table2[[#This Row],[Spending Score (1-100)]]&lt;=50,"Medium",Table2[[#This Row],[Spending Score (1-100)]]&lt;=75,"High",Table2[[#This Row],[Spending Score (1-100)]]&lt;=100,"Very High")</f>
        <v>Low</v>
      </c>
      <c r="H458" t="s">
        <v>14</v>
      </c>
      <c r="I458">
        <v>0</v>
      </c>
      <c r="J458" t="str">
        <f>CONCATENATE(Table2[[#This Row],[Work Experience]],"years")</f>
        <v>0years</v>
      </c>
      <c r="K458" t="str">
        <f>CONCATENATE(Table2[[#This Row],[Family Size2]],"members")</f>
        <v>1members</v>
      </c>
      <c r="L458" t="str">
        <f>CONCATENATE(Table2[[#This Row],[Family Size2]],"members")</f>
        <v>1members</v>
      </c>
      <c r="M458">
        <v>1</v>
      </c>
    </row>
    <row r="459" spans="1:13">
      <c r="A459">
        <v>458</v>
      </c>
      <c r="B459" t="s">
        <v>11</v>
      </c>
      <c r="C459">
        <v>21</v>
      </c>
      <c r="D459" t="str" cm="1">
        <f t="array" ref="D459">_xlfn.IFS(Table2[[#This Row],[Age]]&lt;=11,"Gen A",Table2[[#This Row],[Age]]&lt;=27,"Gen Z",Table2[[#This Row],[Age]]&lt;=43,"Millenials",Table2[[#This Row],[Age]]&lt;=59,"Gen X",Table2[[#This Row],[Age]]&lt;=78,"Baby Boomers",Table2[[#This Row],[Age]]&lt;=96,"Silent",Table2[[#This Row],[Age]]&gt;=97,"Greatest")</f>
        <v>Gen Z</v>
      </c>
      <c r="E459" s="1">
        <v>153885</v>
      </c>
      <c r="F459">
        <v>86</v>
      </c>
      <c r="G459" t="str" cm="1">
        <f t="array" ref="G459">_xlfn.IFS(Table2[[#This Row],[Spending Score (1-100)]]&lt;=25,"Low",Table2[[#This Row],[Spending Score (1-100)]]&lt;=50,"Medium",Table2[[#This Row],[Spending Score (1-100)]]&lt;=75,"High",Table2[[#This Row],[Spending Score (1-100)]]&lt;=100,"Very High")</f>
        <v>Very High</v>
      </c>
      <c r="H459" t="s">
        <v>14</v>
      </c>
      <c r="I459">
        <v>6</v>
      </c>
      <c r="J459" t="str">
        <f>CONCATENATE(Table2[[#This Row],[Work Experience]],"years")</f>
        <v>6years</v>
      </c>
      <c r="K459" t="str">
        <f>CONCATENATE(Table2[[#This Row],[Family Size2]],"members")</f>
        <v>6members</v>
      </c>
      <c r="L459" t="str">
        <f>CONCATENATE(Table2[[#This Row],[Family Size2]],"members")</f>
        <v>6members</v>
      </c>
      <c r="M459">
        <v>6</v>
      </c>
    </row>
    <row r="460" spans="1:13">
      <c r="A460">
        <v>459</v>
      </c>
      <c r="B460" t="s">
        <v>8</v>
      </c>
      <c r="C460">
        <v>84</v>
      </c>
      <c r="D460" t="str" cm="1">
        <f t="array" ref="D460">_xlfn.IFS(Table2[[#This Row],[Age]]&lt;=11,"Gen A",Table2[[#This Row],[Age]]&lt;=27,"Gen Z",Table2[[#This Row],[Age]]&lt;=43,"Millenials",Table2[[#This Row],[Age]]&lt;=59,"Gen X",Table2[[#This Row],[Age]]&lt;=78,"Baby Boomers",Table2[[#This Row],[Age]]&lt;=96,"Silent",Table2[[#This Row],[Age]]&gt;=97,"Greatest")</f>
        <v>Silent</v>
      </c>
      <c r="E460" s="1">
        <v>53500</v>
      </c>
      <c r="F460">
        <v>44</v>
      </c>
      <c r="G460" t="str" cm="1">
        <f t="array" ref="G460">_xlfn.IFS(Table2[[#This Row],[Spending Score (1-100)]]&lt;=25,"Low",Table2[[#This Row],[Spending Score (1-100)]]&lt;=50,"Medium",Table2[[#This Row],[Spending Score (1-100)]]&lt;=75,"High",Table2[[#This Row],[Spending Score (1-100)]]&lt;=100,"Very High")</f>
        <v>Medium</v>
      </c>
      <c r="H460" t="s">
        <v>18</v>
      </c>
      <c r="I460">
        <v>3</v>
      </c>
      <c r="J460" t="str">
        <f>CONCATENATE(Table2[[#This Row],[Work Experience]],"years")</f>
        <v>3years</v>
      </c>
      <c r="K460" t="str">
        <f>CONCATENATE(Table2[[#This Row],[Family Size2]],"members")</f>
        <v>4members</v>
      </c>
      <c r="L460" t="str">
        <f>CONCATENATE(Table2[[#This Row],[Family Size2]],"members")</f>
        <v>4members</v>
      </c>
      <c r="M460">
        <v>4</v>
      </c>
    </row>
    <row r="461" spans="1:13">
      <c r="A461">
        <v>460</v>
      </c>
      <c r="B461" t="s">
        <v>11</v>
      </c>
      <c r="C461">
        <v>5</v>
      </c>
      <c r="D461" t="str" cm="1">
        <f t="array" ref="D461">_xlfn.IFS(Table2[[#This Row],[Age]]&lt;=11,"Gen A",Table2[[#This Row],[Age]]&lt;=27,"Gen Z",Table2[[#This Row],[Age]]&lt;=43,"Millenials",Table2[[#This Row],[Age]]&lt;=59,"Gen X",Table2[[#This Row],[Age]]&lt;=78,"Baby Boomers",Table2[[#This Row],[Age]]&lt;=96,"Silent",Table2[[#This Row],[Age]]&gt;=97,"Greatest")</f>
        <v>Gen A</v>
      </c>
      <c r="E461" s="1">
        <v>69443</v>
      </c>
      <c r="F461">
        <v>28</v>
      </c>
      <c r="G461" t="str" cm="1">
        <f t="array" ref="G461">_xlfn.IFS(Table2[[#This Row],[Spending Score (1-100)]]&lt;=25,"Low",Table2[[#This Row],[Spending Score (1-100)]]&lt;=50,"Medium",Table2[[#This Row],[Spending Score (1-100)]]&lt;=75,"High",Table2[[#This Row],[Spending Score (1-100)]]&lt;=100,"Very High")</f>
        <v>Medium</v>
      </c>
      <c r="H461" t="s">
        <v>16</v>
      </c>
      <c r="I461">
        <v>4</v>
      </c>
      <c r="J461" t="str">
        <f>CONCATENATE(Table2[[#This Row],[Work Experience]],"years")</f>
        <v>4years</v>
      </c>
      <c r="K461" t="str">
        <f>CONCATENATE(Table2[[#This Row],[Family Size2]],"members")</f>
        <v>6members</v>
      </c>
      <c r="L461" t="str">
        <f>CONCATENATE(Table2[[#This Row],[Family Size2]],"members")</f>
        <v>6members</v>
      </c>
      <c r="M461">
        <v>6</v>
      </c>
    </row>
    <row r="462" spans="1:13">
      <c r="A462">
        <v>461</v>
      </c>
      <c r="B462" t="s">
        <v>11</v>
      </c>
      <c r="C462">
        <v>47</v>
      </c>
      <c r="D462" t="str" cm="1">
        <f t="array" ref="D462">_xlfn.IFS(Table2[[#This Row],[Age]]&lt;=11,"Gen A",Table2[[#This Row],[Age]]&lt;=27,"Gen Z",Table2[[#This Row],[Age]]&lt;=43,"Millenials",Table2[[#This Row],[Age]]&lt;=59,"Gen X",Table2[[#This Row],[Age]]&lt;=78,"Baby Boomers",Table2[[#This Row],[Age]]&lt;=96,"Silent",Table2[[#This Row],[Age]]&gt;=97,"Greatest")</f>
        <v>Gen X</v>
      </c>
      <c r="E462" s="1">
        <v>124072</v>
      </c>
      <c r="F462">
        <v>56</v>
      </c>
      <c r="G462" t="str" cm="1">
        <f t="array" ref="G462">_xlfn.IFS(Table2[[#This Row],[Spending Score (1-100)]]&lt;=25,"Low",Table2[[#This Row],[Spending Score (1-100)]]&lt;=50,"Medium",Table2[[#This Row],[Spending Score (1-100)]]&lt;=75,"High",Table2[[#This Row],[Spending Score (1-100)]]&lt;=100,"Very High")</f>
        <v>High</v>
      </c>
      <c r="H462" t="s">
        <v>12</v>
      </c>
      <c r="I462">
        <v>0</v>
      </c>
      <c r="J462" t="str">
        <f>CONCATENATE(Table2[[#This Row],[Work Experience]],"years")</f>
        <v>0years</v>
      </c>
      <c r="K462" t="str">
        <f>CONCATENATE(Table2[[#This Row],[Family Size2]],"members")</f>
        <v>7members</v>
      </c>
      <c r="L462" t="str">
        <f>CONCATENATE(Table2[[#This Row],[Family Size2]],"members")</f>
        <v>7members</v>
      </c>
      <c r="M462">
        <v>7</v>
      </c>
    </row>
    <row r="463" spans="1:13">
      <c r="A463">
        <v>462</v>
      </c>
      <c r="B463" t="s">
        <v>11</v>
      </c>
      <c r="C463">
        <v>96</v>
      </c>
      <c r="D463" t="str" cm="1">
        <f t="array" ref="D463">_xlfn.IFS(Table2[[#This Row],[Age]]&lt;=11,"Gen A",Table2[[#This Row],[Age]]&lt;=27,"Gen Z",Table2[[#This Row],[Age]]&lt;=43,"Millenials",Table2[[#This Row],[Age]]&lt;=59,"Gen X",Table2[[#This Row],[Age]]&lt;=78,"Baby Boomers",Table2[[#This Row],[Age]]&lt;=96,"Silent",Table2[[#This Row],[Age]]&gt;=97,"Greatest")</f>
        <v>Silent</v>
      </c>
      <c r="E463" s="1">
        <v>135800</v>
      </c>
      <c r="F463">
        <v>29</v>
      </c>
      <c r="G463" t="str" cm="1">
        <f t="array" ref="G463">_xlfn.IFS(Table2[[#This Row],[Spending Score (1-100)]]&lt;=25,"Low",Table2[[#This Row],[Spending Score (1-100)]]&lt;=50,"Medium",Table2[[#This Row],[Spending Score (1-100)]]&lt;=75,"High",Table2[[#This Row],[Spending Score (1-100)]]&lt;=100,"Very High")</f>
        <v>Medium</v>
      </c>
      <c r="H463" t="s">
        <v>9</v>
      </c>
      <c r="I463">
        <v>0</v>
      </c>
      <c r="J463" t="str">
        <f>CONCATENATE(Table2[[#This Row],[Work Experience]],"years")</f>
        <v>0years</v>
      </c>
      <c r="K463" t="str">
        <f>CONCATENATE(Table2[[#This Row],[Family Size2]],"members")</f>
        <v>7members</v>
      </c>
      <c r="L463" t="str">
        <f>CONCATENATE(Table2[[#This Row],[Family Size2]],"members")</f>
        <v>7members</v>
      </c>
      <c r="M463">
        <v>7</v>
      </c>
    </row>
    <row r="464" spans="1:13">
      <c r="A464">
        <v>463</v>
      </c>
      <c r="B464" t="s">
        <v>8</v>
      </c>
      <c r="C464">
        <v>93</v>
      </c>
      <c r="D464" t="str" cm="1">
        <f t="array" ref="D464">_xlfn.IFS(Table2[[#This Row],[Age]]&lt;=11,"Gen A",Table2[[#This Row],[Age]]&lt;=27,"Gen Z",Table2[[#This Row],[Age]]&lt;=43,"Millenials",Table2[[#This Row],[Age]]&lt;=59,"Gen X",Table2[[#This Row],[Age]]&lt;=78,"Baby Boomers",Table2[[#This Row],[Age]]&lt;=96,"Silent",Table2[[#This Row],[Age]]&gt;=97,"Greatest")</f>
        <v>Silent</v>
      </c>
      <c r="E464" s="1">
        <v>120597</v>
      </c>
      <c r="F464">
        <v>96</v>
      </c>
      <c r="G464" t="str" cm="1">
        <f t="array" ref="G464">_xlfn.IFS(Table2[[#This Row],[Spending Score (1-100)]]&lt;=25,"Low",Table2[[#This Row],[Spending Score (1-100)]]&lt;=50,"Medium",Table2[[#This Row],[Spending Score (1-100)]]&lt;=75,"High",Table2[[#This Row],[Spending Score (1-100)]]&lt;=100,"Very High")</f>
        <v>Very High</v>
      </c>
      <c r="H464" t="s">
        <v>14</v>
      </c>
      <c r="I464">
        <v>2</v>
      </c>
      <c r="J464" t="str">
        <f>CONCATENATE(Table2[[#This Row],[Work Experience]],"years")</f>
        <v>2years</v>
      </c>
      <c r="K464" t="str">
        <f>CONCATENATE(Table2[[#This Row],[Family Size2]],"members")</f>
        <v>4members</v>
      </c>
      <c r="L464" t="str">
        <f>CONCATENATE(Table2[[#This Row],[Family Size2]],"members")</f>
        <v>4members</v>
      </c>
      <c r="M464">
        <v>4</v>
      </c>
    </row>
    <row r="465" spans="1:13">
      <c r="A465">
        <v>464</v>
      </c>
      <c r="B465" t="s">
        <v>11</v>
      </c>
      <c r="C465">
        <v>16</v>
      </c>
      <c r="D465" t="str" cm="1">
        <f t="array" ref="D465">_xlfn.IFS(Table2[[#This Row],[Age]]&lt;=11,"Gen A",Table2[[#This Row],[Age]]&lt;=27,"Gen Z",Table2[[#This Row],[Age]]&lt;=43,"Millenials",Table2[[#This Row],[Age]]&lt;=59,"Gen X",Table2[[#This Row],[Age]]&lt;=78,"Baby Boomers",Table2[[#This Row],[Age]]&lt;=96,"Silent",Table2[[#This Row],[Age]]&gt;=97,"Greatest")</f>
        <v>Gen Z</v>
      </c>
      <c r="E465" s="1">
        <v>91358</v>
      </c>
      <c r="F465">
        <v>11</v>
      </c>
      <c r="G465" t="str" cm="1">
        <f t="array" ref="G465">_xlfn.IFS(Table2[[#This Row],[Spending Score (1-100)]]&lt;=25,"Low",Table2[[#This Row],[Spending Score (1-100)]]&lt;=50,"Medium",Table2[[#This Row],[Spending Score (1-100)]]&lt;=75,"High",Table2[[#This Row],[Spending Score (1-100)]]&lt;=100,"Very High")</f>
        <v>Low</v>
      </c>
      <c r="H465" t="s">
        <v>13</v>
      </c>
      <c r="I465">
        <v>1</v>
      </c>
      <c r="J465" t="str">
        <f>CONCATENATE(Table2[[#This Row],[Work Experience]],"years")</f>
        <v>1years</v>
      </c>
      <c r="K465" t="str">
        <f>CONCATENATE(Table2[[#This Row],[Family Size2]],"members")</f>
        <v>4members</v>
      </c>
      <c r="L465" t="str">
        <f>CONCATENATE(Table2[[#This Row],[Family Size2]],"members")</f>
        <v>4members</v>
      </c>
      <c r="M465">
        <v>4</v>
      </c>
    </row>
    <row r="466" spans="1:13">
      <c r="A466">
        <v>465</v>
      </c>
      <c r="B466" t="s">
        <v>8</v>
      </c>
      <c r="C466">
        <v>56</v>
      </c>
      <c r="D466" t="str" cm="1">
        <f t="array" ref="D466">_xlfn.IFS(Table2[[#This Row],[Age]]&lt;=11,"Gen A",Table2[[#This Row],[Age]]&lt;=27,"Gen Z",Table2[[#This Row],[Age]]&lt;=43,"Millenials",Table2[[#This Row],[Age]]&lt;=59,"Gen X",Table2[[#This Row],[Age]]&lt;=78,"Baby Boomers",Table2[[#This Row],[Age]]&lt;=96,"Silent",Table2[[#This Row],[Age]]&gt;=97,"Greatest")</f>
        <v>Gen X</v>
      </c>
      <c r="E466" s="1">
        <v>53231</v>
      </c>
      <c r="F466">
        <v>41</v>
      </c>
      <c r="G466" t="str" cm="1">
        <f t="array" ref="G466">_xlfn.IFS(Table2[[#This Row],[Spending Score (1-100)]]&lt;=25,"Low",Table2[[#This Row],[Spending Score (1-100)]]&lt;=50,"Medium",Table2[[#This Row],[Spending Score (1-100)]]&lt;=75,"High",Table2[[#This Row],[Spending Score (1-100)]]&lt;=100,"Very High")</f>
        <v>Medium</v>
      </c>
      <c r="H466" t="s">
        <v>18</v>
      </c>
      <c r="I466">
        <v>0</v>
      </c>
      <c r="J466" t="str">
        <f>CONCATENATE(Table2[[#This Row],[Work Experience]],"years")</f>
        <v>0years</v>
      </c>
      <c r="K466" t="str">
        <f>CONCATENATE(Table2[[#This Row],[Family Size2]],"members")</f>
        <v>5members</v>
      </c>
      <c r="L466" t="str">
        <f>CONCATENATE(Table2[[#This Row],[Family Size2]],"members")</f>
        <v>5members</v>
      </c>
      <c r="M466">
        <v>5</v>
      </c>
    </row>
    <row r="467" spans="1:13">
      <c r="A467">
        <v>466</v>
      </c>
      <c r="B467" t="s">
        <v>11</v>
      </c>
      <c r="C467">
        <v>76</v>
      </c>
      <c r="D467" t="str" cm="1">
        <f t="array" ref="D467">_xlfn.IFS(Table2[[#This Row],[Age]]&lt;=11,"Gen A",Table2[[#This Row],[Age]]&lt;=27,"Gen Z",Table2[[#This Row],[Age]]&lt;=43,"Millenials",Table2[[#This Row],[Age]]&lt;=59,"Gen X",Table2[[#This Row],[Age]]&lt;=78,"Baby Boomers",Table2[[#This Row],[Age]]&lt;=96,"Silent",Table2[[#This Row],[Age]]&gt;=97,"Greatest")</f>
        <v>Baby Boomers</v>
      </c>
      <c r="E467" s="1">
        <v>156330</v>
      </c>
      <c r="F467">
        <v>31</v>
      </c>
      <c r="G467" t="str" cm="1">
        <f t="array" ref="G467">_xlfn.IFS(Table2[[#This Row],[Spending Score (1-100)]]&lt;=25,"Low",Table2[[#This Row],[Spending Score (1-100)]]&lt;=50,"Medium",Table2[[#This Row],[Spending Score (1-100)]]&lt;=75,"High",Table2[[#This Row],[Spending Score (1-100)]]&lt;=100,"Very High")</f>
        <v>Medium</v>
      </c>
      <c r="H467" t="s">
        <v>10</v>
      </c>
      <c r="I467">
        <v>1</v>
      </c>
      <c r="J467" t="str">
        <f>CONCATENATE(Table2[[#This Row],[Work Experience]],"years")</f>
        <v>1years</v>
      </c>
      <c r="K467" t="str">
        <f>CONCATENATE(Table2[[#This Row],[Family Size2]],"members")</f>
        <v>2members</v>
      </c>
      <c r="L467" t="str">
        <f>CONCATENATE(Table2[[#This Row],[Family Size2]],"members")</f>
        <v>2members</v>
      </c>
      <c r="M467">
        <v>2</v>
      </c>
    </row>
    <row r="468" spans="1:13">
      <c r="A468">
        <v>467</v>
      </c>
      <c r="B468" t="s">
        <v>8</v>
      </c>
      <c r="C468">
        <v>0</v>
      </c>
      <c r="D468" t="str" cm="1">
        <f t="array" ref="D468">_xlfn.IFS(Table2[[#This Row],[Age]]&lt;=11,"Gen A",Table2[[#This Row],[Age]]&lt;=27,"Gen Z",Table2[[#This Row],[Age]]&lt;=43,"Millenials",Table2[[#This Row],[Age]]&lt;=59,"Gen X",Table2[[#This Row],[Age]]&lt;=78,"Baby Boomers",Table2[[#This Row],[Age]]&lt;=96,"Silent",Table2[[#This Row],[Age]]&gt;=97,"Greatest")</f>
        <v>Gen A</v>
      </c>
      <c r="E468" s="1">
        <v>186002</v>
      </c>
      <c r="F468">
        <v>80</v>
      </c>
      <c r="G468" t="str" cm="1">
        <f t="array" ref="G468">_xlfn.IFS(Table2[[#This Row],[Spending Score (1-100)]]&lt;=25,"Low",Table2[[#This Row],[Spending Score (1-100)]]&lt;=50,"Medium",Table2[[#This Row],[Spending Score (1-100)]]&lt;=75,"High",Table2[[#This Row],[Spending Score (1-100)]]&lt;=100,"Very High")</f>
        <v>Very High</v>
      </c>
      <c r="H468" t="s">
        <v>16</v>
      </c>
      <c r="I468">
        <v>15</v>
      </c>
      <c r="J468" t="str">
        <f>CONCATENATE(Table2[[#This Row],[Work Experience]],"years")</f>
        <v>15years</v>
      </c>
      <c r="K468" t="str">
        <f>CONCATENATE(Table2[[#This Row],[Family Size2]],"members")</f>
        <v>2members</v>
      </c>
      <c r="L468" t="str">
        <f>CONCATENATE(Table2[[#This Row],[Family Size2]],"members")</f>
        <v>2members</v>
      </c>
      <c r="M468">
        <v>2</v>
      </c>
    </row>
    <row r="469" spans="1:13">
      <c r="A469">
        <v>468</v>
      </c>
      <c r="B469" t="s">
        <v>11</v>
      </c>
      <c r="C469">
        <v>70</v>
      </c>
      <c r="D469" t="str" cm="1">
        <f t="array" ref="D469">_xlfn.IFS(Table2[[#This Row],[Age]]&lt;=11,"Gen A",Table2[[#This Row],[Age]]&lt;=27,"Gen Z",Table2[[#This Row],[Age]]&lt;=43,"Millenials",Table2[[#This Row],[Age]]&lt;=59,"Gen X",Table2[[#This Row],[Age]]&lt;=78,"Baby Boomers",Table2[[#This Row],[Age]]&lt;=96,"Silent",Table2[[#This Row],[Age]]&gt;=97,"Greatest")</f>
        <v>Baby Boomers</v>
      </c>
      <c r="E469" s="1">
        <v>111760</v>
      </c>
      <c r="F469">
        <v>53</v>
      </c>
      <c r="G469" t="str" cm="1">
        <f t="array" ref="G469">_xlfn.IFS(Table2[[#This Row],[Spending Score (1-100)]]&lt;=25,"Low",Table2[[#This Row],[Spending Score (1-100)]]&lt;=50,"Medium",Table2[[#This Row],[Spending Score (1-100)]]&lt;=75,"High",Table2[[#This Row],[Spending Score (1-100)]]&lt;=100,"Very High")</f>
        <v>High</v>
      </c>
      <c r="H469" t="s">
        <v>15</v>
      </c>
      <c r="I469">
        <v>12</v>
      </c>
      <c r="J469" t="str">
        <f>CONCATENATE(Table2[[#This Row],[Work Experience]],"years")</f>
        <v>12years</v>
      </c>
      <c r="K469" t="str">
        <f>CONCATENATE(Table2[[#This Row],[Family Size2]],"members")</f>
        <v>5members</v>
      </c>
      <c r="L469" t="str">
        <f>CONCATENATE(Table2[[#This Row],[Family Size2]],"members")</f>
        <v>5members</v>
      </c>
      <c r="M469">
        <v>5</v>
      </c>
    </row>
    <row r="470" spans="1:13">
      <c r="A470">
        <v>469</v>
      </c>
      <c r="B470" t="s">
        <v>11</v>
      </c>
      <c r="C470">
        <v>47</v>
      </c>
      <c r="D470" t="str" cm="1">
        <f t="array" ref="D470">_xlfn.IFS(Table2[[#This Row],[Age]]&lt;=11,"Gen A",Table2[[#This Row],[Age]]&lt;=27,"Gen Z",Table2[[#This Row],[Age]]&lt;=43,"Millenials",Table2[[#This Row],[Age]]&lt;=59,"Gen X",Table2[[#This Row],[Age]]&lt;=78,"Baby Boomers",Table2[[#This Row],[Age]]&lt;=96,"Silent",Table2[[#This Row],[Age]]&gt;=97,"Greatest")</f>
        <v>Gen X</v>
      </c>
      <c r="E470" s="1">
        <v>143906</v>
      </c>
      <c r="F470">
        <v>12</v>
      </c>
      <c r="G470" t="str" cm="1">
        <f t="array" ref="G470">_xlfn.IFS(Table2[[#This Row],[Spending Score (1-100)]]&lt;=25,"Low",Table2[[#This Row],[Spending Score (1-100)]]&lt;=50,"Medium",Table2[[#This Row],[Spending Score (1-100)]]&lt;=75,"High",Table2[[#This Row],[Spending Score (1-100)]]&lt;=100,"Very High")</f>
        <v>Low</v>
      </c>
      <c r="H470" t="s">
        <v>14</v>
      </c>
      <c r="I470">
        <v>4</v>
      </c>
      <c r="J470" t="str">
        <f>CONCATENATE(Table2[[#This Row],[Work Experience]],"years")</f>
        <v>4years</v>
      </c>
      <c r="K470" t="str">
        <f>CONCATENATE(Table2[[#This Row],[Family Size2]],"members")</f>
        <v>3members</v>
      </c>
      <c r="L470" t="str">
        <f>CONCATENATE(Table2[[#This Row],[Family Size2]],"members")</f>
        <v>3members</v>
      </c>
      <c r="M470">
        <v>3</v>
      </c>
    </row>
    <row r="471" spans="1:13">
      <c r="A471">
        <v>470</v>
      </c>
      <c r="B471" t="s">
        <v>8</v>
      </c>
      <c r="C471">
        <v>13</v>
      </c>
      <c r="D471" t="str" cm="1">
        <f t="array" ref="D471">_xlfn.IFS(Table2[[#This Row],[Age]]&lt;=11,"Gen A",Table2[[#This Row],[Age]]&lt;=27,"Gen Z",Table2[[#This Row],[Age]]&lt;=43,"Millenials",Table2[[#This Row],[Age]]&lt;=59,"Gen X",Table2[[#This Row],[Age]]&lt;=78,"Baby Boomers",Table2[[#This Row],[Age]]&lt;=96,"Silent",Table2[[#This Row],[Age]]&gt;=97,"Greatest")</f>
        <v>Gen Z</v>
      </c>
      <c r="E471" s="1">
        <v>182410</v>
      </c>
      <c r="F471">
        <v>22</v>
      </c>
      <c r="G471" t="str" cm="1">
        <f t="array" ref="G471">_xlfn.IFS(Table2[[#This Row],[Spending Score (1-100)]]&lt;=25,"Low",Table2[[#This Row],[Spending Score (1-100)]]&lt;=50,"Medium",Table2[[#This Row],[Spending Score (1-100)]]&lt;=75,"High",Table2[[#This Row],[Spending Score (1-100)]]&lt;=100,"Very High")</f>
        <v>Low</v>
      </c>
      <c r="H471" t="s">
        <v>9</v>
      </c>
      <c r="I471">
        <v>11</v>
      </c>
      <c r="J471" t="str">
        <f>CONCATENATE(Table2[[#This Row],[Work Experience]],"years")</f>
        <v>11years</v>
      </c>
      <c r="K471" t="str">
        <f>CONCATENATE(Table2[[#This Row],[Family Size2]],"members")</f>
        <v>4members</v>
      </c>
      <c r="L471" t="str">
        <f>CONCATENATE(Table2[[#This Row],[Family Size2]],"members")</f>
        <v>4members</v>
      </c>
      <c r="M471">
        <v>4</v>
      </c>
    </row>
    <row r="472" spans="1:13">
      <c r="A472">
        <v>471</v>
      </c>
      <c r="B472" t="s">
        <v>8</v>
      </c>
      <c r="C472">
        <v>86</v>
      </c>
      <c r="D472" t="str" cm="1">
        <f t="array" ref="D472">_xlfn.IFS(Table2[[#This Row],[Age]]&lt;=11,"Gen A",Table2[[#This Row],[Age]]&lt;=27,"Gen Z",Table2[[#This Row],[Age]]&lt;=43,"Millenials",Table2[[#This Row],[Age]]&lt;=59,"Gen X",Table2[[#This Row],[Age]]&lt;=78,"Baby Boomers",Table2[[#This Row],[Age]]&lt;=96,"Silent",Table2[[#This Row],[Age]]&gt;=97,"Greatest")</f>
        <v>Silent</v>
      </c>
      <c r="E472" s="1">
        <v>98463</v>
      </c>
      <c r="F472">
        <v>46</v>
      </c>
      <c r="G472" t="str" cm="1">
        <f t="array" ref="G472">_xlfn.IFS(Table2[[#This Row],[Spending Score (1-100)]]&lt;=25,"Low",Table2[[#This Row],[Spending Score (1-100)]]&lt;=50,"Medium",Table2[[#This Row],[Spending Score (1-100)]]&lt;=75,"High",Table2[[#This Row],[Spending Score (1-100)]]&lt;=100,"Very High")</f>
        <v>Medium</v>
      </c>
      <c r="H472" t="s">
        <v>17</v>
      </c>
      <c r="I472">
        <v>10</v>
      </c>
      <c r="J472" t="str">
        <f>CONCATENATE(Table2[[#This Row],[Work Experience]],"years")</f>
        <v>10years</v>
      </c>
      <c r="K472" t="str">
        <f>CONCATENATE(Table2[[#This Row],[Family Size2]],"members")</f>
        <v>5members</v>
      </c>
      <c r="L472" t="str">
        <f>CONCATENATE(Table2[[#This Row],[Family Size2]],"members")</f>
        <v>5members</v>
      </c>
      <c r="M472">
        <v>5</v>
      </c>
    </row>
    <row r="473" spans="1:13">
      <c r="A473">
        <v>472</v>
      </c>
      <c r="B473" t="s">
        <v>8</v>
      </c>
      <c r="C473">
        <v>91</v>
      </c>
      <c r="D473" t="str" cm="1">
        <f t="array" ref="D473">_xlfn.IFS(Table2[[#This Row],[Age]]&lt;=11,"Gen A",Table2[[#This Row],[Age]]&lt;=27,"Gen Z",Table2[[#This Row],[Age]]&lt;=43,"Millenials",Table2[[#This Row],[Age]]&lt;=59,"Gen X",Table2[[#This Row],[Age]]&lt;=78,"Baby Boomers",Table2[[#This Row],[Age]]&lt;=96,"Silent",Table2[[#This Row],[Age]]&gt;=97,"Greatest")</f>
        <v>Silent</v>
      </c>
      <c r="E473" s="1">
        <v>93762</v>
      </c>
      <c r="F473">
        <v>28</v>
      </c>
      <c r="G473" t="str" cm="1">
        <f t="array" ref="G473">_xlfn.IFS(Table2[[#This Row],[Spending Score (1-100)]]&lt;=25,"Low",Table2[[#This Row],[Spending Score (1-100)]]&lt;=50,"Medium",Table2[[#This Row],[Spending Score (1-100)]]&lt;=75,"High",Table2[[#This Row],[Spending Score (1-100)]]&lt;=100,"Very High")</f>
        <v>Medium</v>
      </c>
      <c r="H473" t="s">
        <v>14</v>
      </c>
      <c r="I473">
        <v>15</v>
      </c>
      <c r="J473" t="str">
        <f>CONCATENATE(Table2[[#This Row],[Work Experience]],"years")</f>
        <v>15years</v>
      </c>
      <c r="K473" t="str">
        <f>CONCATENATE(Table2[[#This Row],[Family Size2]],"members")</f>
        <v>7members</v>
      </c>
      <c r="L473" t="str">
        <f>CONCATENATE(Table2[[#This Row],[Family Size2]],"members")</f>
        <v>7members</v>
      </c>
      <c r="M473">
        <v>7</v>
      </c>
    </row>
    <row r="474" spans="1:13">
      <c r="A474">
        <v>473</v>
      </c>
      <c r="B474" t="s">
        <v>8</v>
      </c>
      <c r="C474">
        <v>97</v>
      </c>
      <c r="D474" t="str" cm="1">
        <f t="array" ref="D474">_xlfn.IFS(Table2[[#This Row],[Age]]&lt;=11,"Gen A",Table2[[#This Row],[Age]]&lt;=27,"Gen Z",Table2[[#This Row],[Age]]&lt;=43,"Millenials",Table2[[#This Row],[Age]]&lt;=59,"Gen X",Table2[[#This Row],[Age]]&lt;=78,"Baby Boomers",Table2[[#This Row],[Age]]&lt;=96,"Silent",Table2[[#This Row],[Age]]&gt;=97,"Greatest")</f>
        <v>Greatest</v>
      </c>
      <c r="E474" s="1">
        <v>104582</v>
      </c>
      <c r="F474">
        <v>50</v>
      </c>
      <c r="G474" t="str" cm="1">
        <f t="array" ref="G474">_xlfn.IFS(Table2[[#This Row],[Spending Score (1-100)]]&lt;=25,"Low",Table2[[#This Row],[Spending Score (1-100)]]&lt;=50,"Medium",Table2[[#This Row],[Spending Score (1-100)]]&lt;=75,"High",Table2[[#This Row],[Spending Score (1-100)]]&lt;=100,"Very High")</f>
        <v>Medium</v>
      </c>
      <c r="H474" t="s">
        <v>9</v>
      </c>
      <c r="I474">
        <v>8</v>
      </c>
      <c r="J474" t="str">
        <f>CONCATENATE(Table2[[#This Row],[Work Experience]],"years")</f>
        <v>8years</v>
      </c>
      <c r="K474" t="str">
        <f>CONCATENATE(Table2[[#This Row],[Family Size2]],"members")</f>
        <v>2members</v>
      </c>
      <c r="L474" t="str">
        <f>CONCATENATE(Table2[[#This Row],[Family Size2]],"members")</f>
        <v>2members</v>
      </c>
      <c r="M474">
        <v>2</v>
      </c>
    </row>
    <row r="475" spans="1:13">
      <c r="A475">
        <v>474</v>
      </c>
      <c r="B475" t="s">
        <v>8</v>
      </c>
      <c r="C475">
        <v>20</v>
      </c>
      <c r="D475" t="str" cm="1">
        <f t="array" ref="D475">_xlfn.IFS(Table2[[#This Row],[Age]]&lt;=11,"Gen A",Table2[[#This Row],[Age]]&lt;=27,"Gen Z",Table2[[#This Row],[Age]]&lt;=43,"Millenials",Table2[[#This Row],[Age]]&lt;=59,"Gen X",Table2[[#This Row],[Age]]&lt;=78,"Baby Boomers",Table2[[#This Row],[Age]]&lt;=96,"Silent",Table2[[#This Row],[Age]]&gt;=97,"Greatest")</f>
        <v>Gen Z</v>
      </c>
      <c r="E475" s="1">
        <v>130813</v>
      </c>
      <c r="F475">
        <v>92</v>
      </c>
      <c r="G475" t="str" cm="1">
        <f t="array" ref="G475">_xlfn.IFS(Table2[[#This Row],[Spending Score (1-100)]]&lt;=25,"Low",Table2[[#This Row],[Spending Score (1-100)]]&lt;=50,"Medium",Table2[[#This Row],[Spending Score (1-100)]]&lt;=75,"High",Table2[[#This Row],[Spending Score (1-100)]]&lt;=100,"Very High")</f>
        <v>Very High</v>
      </c>
      <c r="H475" t="s">
        <v>14</v>
      </c>
      <c r="I475">
        <v>17</v>
      </c>
      <c r="J475" t="str">
        <f>CONCATENATE(Table2[[#This Row],[Work Experience]],"years")</f>
        <v>17years</v>
      </c>
      <c r="K475" t="str">
        <f>CONCATENATE(Table2[[#This Row],[Family Size2]],"members")</f>
        <v>5members</v>
      </c>
      <c r="L475" t="str">
        <f>CONCATENATE(Table2[[#This Row],[Family Size2]],"members")</f>
        <v>5members</v>
      </c>
      <c r="M475">
        <v>5</v>
      </c>
    </row>
    <row r="476" spans="1:13">
      <c r="A476">
        <v>475</v>
      </c>
      <c r="B476" t="s">
        <v>11</v>
      </c>
      <c r="C476">
        <v>11</v>
      </c>
      <c r="D476" t="str" cm="1">
        <f t="array" ref="D476">_xlfn.IFS(Table2[[#This Row],[Age]]&lt;=11,"Gen A",Table2[[#This Row],[Age]]&lt;=27,"Gen Z",Table2[[#This Row],[Age]]&lt;=43,"Millenials",Table2[[#This Row],[Age]]&lt;=59,"Gen X",Table2[[#This Row],[Age]]&lt;=78,"Baby Boomers",Table2[[#This Row],[Age]]&lt;=96,"Silent",Table2[[#This Row],[Age]]&gt;=97,"Greatest")</f>
        <v>Gen A</v>
      </c>
      <c r="E476" s="1">
        <v>59202</v>
      </c>
      <c r="F476">
        <v>92</v>
      </c>
      <c r="G476" t="str" cm="1">
        <f t="array" ref="G476">_xlfn.IFS(Table2[[#This Row],[Spending Score (1-100)]]&lt;=25,"Low",Table2[[#This Row],[Spending Score (1-100)]]&lt;=50,"Medium",Table2[[#This Row],[Spending Score (1-100)]]&lt;=75,"High",Table2[[#This Row],[Spending Score (1-100)]]&lt;=100,"Very High")</f>
        <v>Very High</v>
      </c>
      <c r="H476" t="s">
        <v>9</v>
      </c>
      <c r="I476">
        <v>5</v>
      </c>
      <c r="J476" t="str">
        <f>CONCATENATE(Table2[[#This Row],[Work Experience]],"years")</f>
        <v>5years</v>
      </c>
      <c r="K476" t="str">
        <f>CONCATENATE(Table2[[#This Row],[Family Size2]],"members")</f>
        <v>4members</v>
      </c>
      <c r="L476" t="str">
        <f>CONCATENATE(Table2[[#This Row],[Family Size2]],"members")</f>
        <v>4members</v>
      </c>
      <c r="M476">
        <v>4</v>
      </c>
    </row>
    <row r="477" spans="1:13">
      <c r="A477">
        <v>476</v>
      </c>
      <c r="B477" t="s">
        <v>11</v>
      </c>
      <c r="C477">
        <v>28</v>
      </c>
      <c r="D477" t="str" cm="1">
        <f t="array" ref="D477">_xlfn.IFS(Table2[[#This Row],[Age]]&lt;=11,"Gen A",Table2[[#This Row],[Age]]&lt;=27,"Gen Z",Table2[[#This Row],[Age]]&lt;=43,"Millenials",Table2[[#This Row],[Age]]&lt;=59,"Gen X",Table2[[#This Row],[Age]]&lt;=78,"Baby Boomers",Table2[[#This Row],[Age]]&lt;=96,"Silent",Table2[[#This Row],[Age]]&gt;=97,"Greatest")</f>
        <v>Millenials</v>
      </c>
      <c r="E477" s="1">
        <v>79968</v>
      </c>
      <c r="F477">
        <v>45</v>
      </c>
      <c r="G477" t="str" cm="1">
        <f t="array" ref="G477">_xlfn.IFS(Table2[[#This Row],[Spending Score (1-100)]]&lt;=25,"Low",Table2[[#This Row],[Spending Score (1-100)]]&lt;=50,"Medium",Table2[[#This Row],[Spending Score (1-100)]]&lt;=75,"High",Table2[[#This Row],[Spending Score (1-100)]]&lt;=100,"Very High")</f>
        <v>Medium</v>
      </c>
      <c r="H477" t="s">
        <v>12</v>
      </c>
      <c r="I477">
        <v>9</v>
      </c>
      <c r="J477" t="str">
        <f>CONCATENATE(Table2[[#This Row],[Work Experience]],"years")</f>
        <v>9years</v>
      </c>
      <c r="K477" t="str">
        <f>CONCATENATE(Table2[[#This Row],[Family Size2]],"members")</f>
        <v>2members</v>
      </c>
      <c r="L477" t="str">
        <f>CONCATENATE(Table2[[#This Row],[Family Size2]],"members")</f>
        <v>2members</v>
      </c>
      <c r="M477">
        <v>2</v>
      </c>
    </row>
    <row r="478" spans="1:13">
      <c r="A478">
        <v>477</v>
      </c>
      <c r="B478" t="s">
        <v>8</v>
      </c>
      <c r="C478">
        <v>32</v>
      </c>
      <c r="D478" t="str" cm="1">
        <f t="array" ref="D478">_xlfn.IFS(Table2[[#This Row],[Age]]&lt;=11,"Gen A",Table2[[#This Row],[Age]]&lt;=27,"Gen Z",Table2[[#This Row],[Age]]&lt;=43,"Millenials",Table2[[#This Row],[Age]]&lt;=59,"Gen X",Table2[[#This Row],[Age]]&lt;=78,"Baby Boomers",Table2[[#This Row],[Age]]&lt;=96,"Silent",Table2[[#This Row],[Age]]&gt;=97,"Greatest")</f>
        <v>Millenials</v>
      </c>
      <c r="E478" s="1">
        <v>104824</v>
      </c>
      <c r="F478">
        <v>42</v>
      </c>
      <c r="G478" t="str" cm="1">
        <f t="array" ref="G478">_xlfn.IFS(Table2[[#This Row],[Spending Score (1-100)]]&lt;=25,"Low",Table2[[#This Row],[Spending Score (1-100)]]&lt;=50,"Medium",Table2[[#This Row],[Spending Score (1-100)]]&lt;=75,"High",Table2[[#This Row],[Spending Score (1-100)]]&lt;=100,"Very High")</f>
        <v>Medium</v>
      </c>
      <c r="H478" t="s">
        <v>14</v>
      </c>
      <c r="I478">
        <v>0</v>
      </c>
      <c r="J478" t="str">
        <f>CONCATENATE(Table2[[#This Row],[Work Experience]],"years")</f>
        <v>0years</v>
      </c>
      <c r="K478" t="str">
        <f>CONCATENATE(Table2[[#This Row],[Family Size2]],"members")</f>
        <v>7members</v>
      </c>
      <c r="L478" t="str">
        <f>CONCATENATE(Table2[[#This Row],[Family Size2]],"members")</f>
        <v>7members</v>
      </c>
      <c r="M478">
        <v>7</v>
      </c>
    </row>
    <row r="479" spans="1:13">
      <c r="A479">
        <v>478</v>
      </c>
      <c r="B479" t="s">
        <v>8</v>
      </c>
      <c r="C479">
        <v>82</v>
      </c>
      <c r="D479" t="str" cm="1">
        <f t="array" ref="D479">_xlfn.IFS(Table2[[#This Row],[Age]]&lt;=11,"Gen A",Table2[[#This Row],[Age]]&lt;=27,"Gen Z",Table2[[#This Row],[Age]]&lt;=43,"Millenials",Table2[[#This Row],[Age]]&lt;=59,"Gen X",Table2[[#This Row],[Age]]&lt;=78,"Baby Boomers",Table2[[#This Row],[Age]]&lt;=96,"Silent",Table2[[#This Row],[Age]]&gt;=97,"Greatest")</f>
        <v>Silent</v>
      </c>
      <c r="E479" s="1">
        <v>188719</v>
      </c>
      <c r="F479">
        <v>30</v>
      </c>
      <c r="G479" t="str" cm="1">
        <f t="array" ref="G479">_xlfn.IFS(Table2[[#This Row],[Spending Score (1-100)]]&lt;=25,"Low",Table2[[#This Row],[Spending Score (1-100)]]&lt;=50,"Medium",Table2[[#This Row],[Spending Score (1-100)]]&lt;=75,"High",Table2[[#This Row],[Spending Score (1-100)]]&lt;=100,"Very High")</f>
        <v>Medium</v>
      </c>
      <c r="H479" t="s">
        <v>12</v>
      </c>
      <c r="I479">
        <v>0</v>
      </c>
      <c r="J479" t="str">
        <f>CONCATENATE(Table2[[#This Row],[Work Experience]],"years")</f>
        <v>0years</v>
      </c>
      <c r="K479" t="str">
        <f>CONCATENATE(Table2[[#This Row],[Family Size2]],"members")</f>
        <v>6members</v>
      </c>
      <c r="L479" t="str">
        <f>CONCATENATE(Table2[[#This Row],[Family Size2]],"members")</f>
        <v>6members</v>
      </c>
      <c r="M479">
        <v>6</v>
      </c>
    </row>
    <row r="480" spans="1:13">
      <c r="A480">
        <v>479</v>
      </c>
      <c r="B480" t="s">
        <v>8</v>
      </c>
      <c r="C480">
        <v>39</v>
      </c>
      <c r="D480" t="str" cm="1">
        <f t="array" ref="D480">_xlfn.IFS(Table2[[#This Row],[Age]]&lt;=11,"Gen A",Table2[[#This Row],[Age]]&lt;=27,"Gen Z",Table2[[#This Row],[Age]]&lt;=43,"Millenials",Table2[[#This Row],[Age]]&lt;=59,"Gen X",Table2[[#This Row],[Age]]&lt;=78,"Baby Boomers",Table2[[#This Row],[Age]]&lt;=96,"Silent",Table2[[#This Row],[Age]]&gt;=97,"Greatest")</f>
        <v>Millenials</v>
      </c>
      <c r="E480" s="1">
        <v>187536</v>
      </c>
      <c r="F480">
        <v>66</v>
      </c>
      <c r="G480" t="str" cm="1">
        <f t="array" ref="G480">_xlfn.IFS(Table2[[#This Row],[Spending Score (1-100)]]&lt;=25,"Low",Table2[[#This Row],[Spending Score (1-100)]]&lt;=50,"Medium",Table2[[#This Row],[Spending Score (1-100)]]&lt;=75,"High",Table2[[#This Row],[Spending Score (1-100)]]&lt;=100,"Very High")</f>
        <v>High</v>
      </c>
      <c r="H480" t="s">
        <v>9</v>
      </c>
      <c r="I480">
        <v>3</v>
      </c>
      <c r="J480" t="str">
        <f>CONCATENATE(Table2[[#This Row],[Work Experience]],"years")</f>
        <v>3years</v>
      </c>
      <c r="K480" t="str">
        <f>CONCATENATE(Table2[[#This Row],[Family Size2]],"members")</f>
        <v>6members</v>
      </c>
      <c r="L480" t="str">
        <f>CONCATENATE(Table2[[#This Row],[Family Size2]],"members")</f>
        <v>6members</v>
      </c>
      <c r="M480">
        <v>6</v>
      </c>
    </row>
    <row r="481" spans="1:13">
      <c r="A481">
        <v>480</v>
      </c>
      <c r="B481" t="s">
        <v>8</v>
      </c>
      <c r="C481">
        <v>7</v>
      </c>
      <c r="D481" t="str" cm="1">
        <f t="array" ref="D481">_xlfn.IFS(Table2[[#This Row],[Age]]&lt;=11,"Gen A",Table2[[#This Row],[Age]]&lt;=27,"Gen Z",Table2[[#This Row],[Age]]&lt;=43,"Millenials",Table2[[#This Row],[Age]]&lt;=59,"Gen X",Table2[[#This Row],[Age]]&lt;=78,"Baby Boomers",Table2[[#This Row],[Age]]&lt;=96,"Silent",Table2[[#This Row],[Age]]&gt;=97,"Greatest")</f>
        <v>Gen A</v>
      </c>
      <c r="E481" s="1">
        <v>134008</v>
      </c>
      <c r="F481">
        <v>85</v>
      </c>
      <c r="G481" t="str" cm="1">
        <f t="array" ref="G481">_xlfn.IFS(Table2[[#This Row],[Spending Score (1-100)]]&lt;=25,"Low",Table2[[#This Row],[Spending Score (1-100)]]&lt;=50,"Medium",Table2[[#This Row],[Spending Score (1-100)]]&lt;=75,"High",Table2[[#This Row],[Spending Score (1-100)]]&lt;=100,"Very High")</f>
        <v>Very High</v>
      </c>
      <c r="H481" t="s">
        <v>13</v>
      </c>
      <c r="I481">
        <v>2</v>
      </c>
      <c r="J481" t="str">
        <f>CONCATENATE(Table2[[#This Row],[Work Experience]],"years")</f>
        <v>2years</v>
      </c>
      <c r="K481" t="str">
        <f>CONCATENATE(Table2[[#This Row],[Family Size2]],"members")</f>
        <v>1members</v>
      </c>
      <c r="L481" t="str">
        <f>CONCATENATE(Table2[[#This Row],[Family Size2]],"members")</f>
        <v>1members</v>
      </c>
      <c r="M481">
        <v>1</v>
      </c>
    </row>
    <row r="482" spans="1:13">
      <c r="A482">
        <v>481</v>
      </c>
      <c r="B482" t="s">
        <v>11</v>
      </c>
      <c r="C482">
        <v>13</v>
      </c>
      <c r="D482" t="str" cm="1">
        <f t="array" ref="D482">_xlfn.IFS(Table2[[#This Row],[Age]]&lt;=11,"Gen A",Table2[[#This Row],[Age]]&lt;=27,"Gen Z",Table2[[#This Row],[Age]]&lt;=43,"Millenials",Table2[[#This Row],[Age]]&lt;=59,"Gen X",Table2[[#This Row],[Age]]&lt;=78,"Baby Boomers",Table2[[#This Row],[Age]]&lt;=96,"Silent",Table2[[#This Row],[Age]]&gt;=97,"Greatest")</f>
        <v>Gen Z</v>
      </c>
      <c r="E482" s="1">
        <v>176397</v>
      </c>
      <c r="F482">
        <v>71</v>
      </c>
      <c r="G482" t="str" cm="1">
        <f t="array" ref="G482">_xlfn.IFS(Table2[[#This Row],[Spending Score (1-100)]]&lt;=25,"Low",Table2[[#This Row],[Spending Score (1-100)]]&lt;=50,"Medium",Table2[[#This Row],[Spending Score (1-100)]]&lt;=75,"High",Table2[[#This Row],[Spending Score (1-100)]]&lt;=100,"Very High")</f>
        <v>High</v>
      </c>
      <c r="H482" t="s">
        <v>14</v>
      </c>
      <c r="I482">
        <v>6</v>
      </c>
      <c r="J482" t="str">
        <f>CONCATENATE(Table2[[#This Row],[Work Experience]],"years")</f>
        <v>6years</v>
      </c>
      <c r="K482" t="str">
        <f>CONCATENATE(Table2[[#This Row],[Family Size2]],"members")</f>
        <v>3members</v>
      </c>
      <c r="L482" t="str">
        <f>CONCATENATE(Table2[[#This Row],[Family Size2]],"members")</f>
        <v>3members</v>
      </c>
      <c r="M482">
        <v>3</v>
      </c>
    </row>
    <row r="483" spans="1:13">
      <c r="A483">
        <v>482</v>
      </c>
      <c r="B483" t="s">
        <v>11</v>
      </c>
      <c r="C483">
        <v>34</v>
      </c>
      <c r="D483" t="str" cm="1">
        <f t="array" ref="D483">_xlfn.IFS(Table2[[#This Row],[Age]]&lt;=11,"Gen A",Table2[[#This Row],[Age]]&lt;=27,"Gen Z",Table2[[#This Row],[Age]]&lt;=43,"Millenials",Table2[[#This Row],[Age]]&lt;=59,"Gen X",Table2[[#This Row],[Age]]&lt;=78,"Baby Boomers",Table2[[#This Row],[Age]]&lt;=96,"Silent",Table2[[#This Row],[Age]]&gt;=97,"Greatest")</f>
        <v>Millenials</v>
      </c>
      <c r="E483" s="1">
        <v>154888</v>
      </c>
      <c r="F483">
        <v>43</v>
      </c>
      <c r="G483" t="str" cm="1">
        <f t="array" ref="G483">_xlfn.IFS(Table2[[#This Row],[Spending Score (1-100)]]&lt;=25,"Low",Table2[[#This Row],[Spending Score (1-100)]]&lt;=50,"Medium",Table2[[#This Row],[Spending Score (1-100)]]&lt;=75,"High",Table2[[#This Row],[Spending Score (1-100)]]&lt;=100,"Very High")</f>
        <v>Medium</v>
      </c>
      <c r="H483" t="s">
        <v>9</v>
      </c>
      <c r="I483">
        <v>9</v>
      </c>
      <c r="J483" t="str">
        <f>CONCATENATE(Table2[[#This Row],[Work Experience]],"years")</f>
        <v>9years</v>
      </c>
      <c r="K483" t="str">
        <f>CONCATENATE(Table2[[#This Row],[Family Size2]],"members")</f>
        <v>6members</v>
      </c>
      <c r="L483" t="str">
        <f>CONCATENATE(Table2[[#This Row],[Family Size2]],"members")</f>
        <v>6members</v>
      </c>
      <c r="M483">
        <v>6</v>
      </c>
    </row>
    <row r="484" spans="1:13">
      <c r="A484">
        <v>483</v>
      </c>
      <c r="B484" t="s">
        <v>8</v>
      </c>
      <c r="C484">
        <v>76</v>
      </c>
      <c r="D484" t="str" cm="1">
        <f t="array" ref="D484">_xlfn.IFS(Table2[[#This Row],[Age]]&lt;=11,"Gen A",Table2[[#This Row],[Age]]&lt;=27,"Gen Z",Table2[[#This Row],[Age]]&lt;=43,"Millenials",Table2[[#This Row],[Age]]&lt;=59,"Gen X",Table2[[#This Row],[Age]]&lt;=78,"Baby Boomers",Table2[[#This Row],[Age]]&lt;=96,"Silent",Table2[[#This Row],[Age]]&gt;=97,"Greatest")</f>
        <v>Baby Boomers</v>
      </c>
      <c r="E484" s="1">
        <v>155622</v>
      </c>
      <c r="F484">
        <v>81</v>
      </c>
      <c r="G484" t="str" cm="1">
        <f t="array" ref="G484">_xlfn.IFS(Table2[[#This Row],[Spending Score (1-100)]]&lt;=25,"Low",Table2[[#This Row],[Spending Score (1-100)]]&lt;=50,"Medium",Table2[[#This Row],[Spending Score (1-100)]]&lt;=75,"High",Table2[[#This Row],[Spending Score (1-100)]]&lt;=100,"Very High")</f>
        <v>Very High</v>
      </c>
      <c r="H484" t="s">
        <v>9</v>
      </c>
      <c r="I484">
        <v>0</v>
      </c>
      <c r="J484" t="str">
        <f>CONCATENATE(Table2[[#This Row],[Work Experience]],"years")</f>
        <v>0years</v>
      </c>
      <c r="K484" t="str">
        <f>CONCATENATE(Table2[[#This Row],[Family Size2]],"members")</f>
        <v>2members</v>
      </c>
      <c r="L484" t="str">
        <f>CONCATENATE(Table2[[#This Row],[Family Size2]],"members")</f>
        <v>2members</v>
      </c>
      <c r="M484">
        <v>2</v>
      </c>
    </row>
    <row r="485" spans="1:13">
      <c r="A485">
        <v>484</v>
      </c>
      <c r="B485" t="s">
        <v>11</v>
      </c>
      <c r="C485">
        <v>30</v>
      </c>
      <c r="D485" t="str" cm="1">
        <f t="array" ref="D485">_xlfn.IFS(Table2[[#This Row],[Age]]&lt;=11,"Gen A",Table2[[#This Row],[Age]]&lt;=27,"Gen Z",Table2[[#This Row],[Age]]&lt;=43,"Millenials",Table2[[#This Row],[Age]]&lt;=59,"Gen X",Table2[[#This Row],[Age]]&lt;=78,"Baby Boomers",Table2[[#This Row],[Age]]&lt;=96,"Silent",Table2[[#This Row],[Age]]&gt;=97,"Greatest")</f>
        <v>Millenials</v>
      </c>
      <c r="E485" s="1">
        <v>62330</v>
      </c>
      <c r="F485">
        <v>60</v>
      </c>
      <c r="G485" t="str" cm="1">
        <f t="array" ref="G485">_xlfn.IFS(Table2[[#This Row],[Spending Score (1-100)]]&lt;=25,"Low",Table2[[#This Row],[Spending Score (1-100)]]&lt;=50,"Medium",Table2[[#This Row],[Spending Score (1-100)]]&lt;=75,"High",Table2[[#This Row],[Spending Score (1-100)]]&lt;=100,"Very High")</f>
        <v>High</v>
      </c>
      <c r="H485" t="s">
        <v>9</v>
      </c>
      <c r="I485">
        <v>1</v>
      </c>
      <c r="J485" t="str">
        <f>CONCATENATE(Table2[[#This Row],[Work Experience]],"years")</f>
        <v>1years</v>
      </c>
      <c r="K485" t="str">
        <f>CONCATENATE(Table2[[#This Row],[Family Size2]],"members")</f>
        <v>1members</v>
      </c>
      <c r="L485" t="str">
        <f>CONCATENATE(Table2[[#This Row],[Family Size2]],"members")</f>
        <v>1members</v>
      </c>
      <c r="M485">
        <v>1</v>
      </c>
    </row>
    <row r="486" spans="1:13">
      <c r="A486">
        <v>485</v>
      </c>
      <c r="B486" t="s">
        <v>11</v>
      </c>
      <c r="C486">
        <v>69</v>
      </c>
      <c r="D486" t="str" cm="1">
        <f t="array" ref="D486">_xlfn.IFS(Table2[[#This Row],[Age]]&lt;=11,"Gen A",Table2[[#This Row],[Age]]&lt;=27,"Gen Z",Table2[[#This Row],[Age]]&lt;=43,"Millenials",Table2[[#This Row],[Age]]&lt;=59,"Gen X",Table2[[#This Row],[Age]]&lt;=78,"Baby Boomers",Table2[[#This Row],[Age]]&lt;=96,"Silent",Table2[[#This Row],[Age]]&gt;=97,"Greatest")</f>
        <v>Baby Boomers</v>
      </c>
      <c r="E486" s="1">
        <v>112838</v>
      </c>
      <c r="F486">
        <v>34</v>
      </c>
      <c r="G486" t="str" cm="1">
        <f t="array" ref="G486">_xlfn.IFS(Table2[[#This Row],[Spending Score (1-100)]]&lt;=25,"Low",Table2[[#This Row],[Spending Score (1-100)]]&lt;=50,"Medium",Table2[[#This Row],[Spending Score (1-100)]]&lt;=75,"High",Table2[[#This Row],[Spending Score (1-100)]]&lt;=100,"Very High")</f>
        <v>Medium</v>
      </c>
      <c r="H486" t="s">
        <v>9</v>
      </c>
      <c r="I486">
        <v>1</v>
      </c>
      <c r="J486" t="str">
        <f>CONCATENATE(Table2[[#This Row],[Work Experience]],"years")</f>
        <v>1years</v>
      </c>
      <c r="K486" t="str">
        <f>CONCATENATE(Table2[[#This Row],[Family Size2]],"members")</f>
        <v>7members</v>
      </c>
      <c r="L486" t="str">
        <f>CONCATENATE(Table2[[#This Row],[Family Size2]],"members")</f>
        <v>7members</v>
      </c>
      <c r="M486">
        <v>7</v>
      </c>
    </row>
    <row r="487" spans="1:13">
      <c r="A487">
        <v>486</v>
      </c>
      <c r="B487" t="s">
        <v>8</v>
      </c>
      <c r="C487">
        <v>22</v>
      </c>
      <c r="D487" t="str" cm="1">
        <f t="array" ref="D487">_xlfn.IFS(Table2[[#This Row],[Age]]&lt;=11,"Gen A",Table2[[#This Row],[Age]]&lt;=27,"Gen Z",Table2[[#This Row],[Age]]&lt;=43,"Millenials",Table2[[#This Row],[Age]]&lt;=59,"Gen X",Table2[[#This Row],[Age]]&lt;=78,"Baby Boomers",Table2[[#This Row],[Age]]&lt;=96,"Silent",Table2[[#This Row],[Age]]&gt;=97,"Greatest")</f>
        <v>Gen Z</v>
      </c>
      <c r="E487" s="1">
        <v>58283</v>
      </c>
      <c r="F487">
        <v>59</v>
      </c>
      <c r="G487" t="str" cm="1">
        <f t="array" ref="G487">_xlfn.IFS(Table2[[#This Row],[Spending Score (1-100)]]&lt;=25,"Low",Table2[[#This Row],[Spending Score (1-100)]]&lt;=50,"Medium",Table2[[#This Row],[Spending Score (1-100)]]&lt;=75,"High",Table2[[#This Row],[Spending Score (1-100)]]&lt;=100,"Very High")</f>
        <v>High</v>
      </c>
      <c r="H487" t="s">
        <v>17</v>
      </c>
      <c r="I487">
        <v>2</v>
      </c>
      <c r="J487" t="str">
        <f>CONCATENATE(Table2[[#This Row],[Work Experience]],"years")</f>
        <v>2years</v>
      </c>
      <c r="K487" t="str">
        <f>CONCATENATE(Table2[[#This Row],[Family Size2]],"members")</f>
        <v>4members</v>
      </c>
      <c r="L487" t="str">
        <f>CONCATENATE(Table2[[#This Row],[Family Size2]],"members")</f>
        <v>4members</v>
      </c>
      <c r="M487">
        <v>4</v>
      </c>
    </row>
    <row r="488" spans="1:13">
      <c r="A488">
        <v>487</v>
      </c>
      <c r="B488" t="s">
        <v>11</v>
      </c>
      <c r="C488">
        <v>60</v>
      </c>
      <c r="D488" t="str" cm="1">
        <f t="array" ref="D488">_xlfn.IFS(Table2[[#This Row],[Age]]&lt;=11,"Gen A",Table2[[#This Row],[Age]]&lt;=27,"Gen Z",Table2[[#This Row],[Age]]&lt;=43,"Millenials",Table2[[#This Row],[Age]]&lt;=59,"Gen X",Table2[[#This Row],[Age]]&lt;=78,"Baby Boomers",Table2[[#This Row],[Age]]&lt;=96,"Silent",Table2[[#This Row],[Age]]&gt;=97,"Greatest")</f>
        <v>Baby Boomers</v>
      </c>
      <c r="E488" s="1">
        <v>77857</v>
      </c>
      <c r="F488">
        <v>81</v>
      </c>
      <c r="G488" t="str" cm="1">
        <f t="array" ref="G488">_xlfn.IFS(Table2[[#This Row],[Spending Score (1-100)]]&lt;=25,"Low",Table2[[#This Row],[Spending Score (1-100)]]&lt;=50,"Medium",Table2[[#This Row],[Spending Score (1-100)]]&lt;=75,"High",Table2[[#This Row],[Spending Score (1-100)]]&lt;=100,"Very High")</f>
        <v>Very High</v>
      </c>
      <c r="H488" t="s">
        <v>14</v>
      </c>
      <c r="I488">
        <v>1</v>
      </c>
      <c r="J488" t="str">
        <f>CONCATENATE(Table2[[#This Row],[Work Experience]],"years")</f>
        <v>1years</v>
      </c>
      <c r="K488" t="str">
        <f>CONCATENATE(Table2[[#This Row],[Family Size2]],"members")</f>
        <v>6members</v>
      </c>
      <c r="L488" t="str">
        <f>CONCATENATE(Table2[[#This Row],[Family Size2]],"members")</f>
        <v>6members</v>
      </c>
      <c r="M488">
        <v>6</v>
      </c>
    </row>
    <row r="489" spans="1:13">
      <c r="A489">
        <v>488</v>
      </c>
      <c r="B489" t="s">
        <v>8</v>
      </c>
      <c r="C489">
        <v>66</v>
      </c>
      <c r="D489" t="str" cm="1">
        <f t="array" ref="D489">_xlfn.IFS(Table2[[#This Row],[Age]]&lt;=11,"Gen A",Table2[[#This Row],[Age]]&lt;=27,"Gen Z",Table2[[#This Row],[Age]]&lt;=43,"Millenials",Table2[[#This Row],[Age]]&lt;=59,"Gen X",Table2[[#This Row],[Age]]&lt;=78,"Baby Boomers",Table2[[#This Row],[Age]]&lt;=96,"Silent",Table2[[#This Row],[Age]]&gt;=97,"Greatest")</f>
        <v>Baby Boomers</v>
      </c>
      <c r="E489" s="1">
        <v>125024</v>
      </c>
      <c r="F489">
        <v>25</v>
      </c>
      <c r="G489" t="str" cm="1">
        <f t="array" ref="G489">_xlfn.IFS(Table2[[#This Row],[Spending Score (1-100)]]&lt;=25,"Low",Table2[[#This Row],[Spending Score (1-100)]]&lt;=50,"Medium",Table2[[#This Row],[Spending Score (1-100)]]&lt;=75,"High",Table2[[#This Row],[Spending Score (1-100)]]&lt;=100,"Very High")</f>
        <v>Low</v>
      </c>
      <c r="H489" t="s">
        <v>14</v>
      </c>
      <c r="I489">
        <v>0</v>
      </c>
      <c r="J489" t="str">
        <f>CONCATENATE(Table2[[#This Row],[Work Experience]],"years")</f>
        <v>0years</v>
      </c>
      <c r="K489" t="str">
        <f>CONCATENATE(Table2[[#This Row],[Family Size2]],"members")</f>
        <v>1members</v>
      </c>
      <c r="L489" t="str">
        <f>CONCATENATE(Table2[[#This Row],[Family Size2]],"members")</f>
        <v>1members</v>
      </c>
      <c r="M489">
        <v>1</v>
      </c>
    </row>
    <row r="490" spans="1:13">
      <c r="A490">
        <v>489</v>
      </c>
      <c r="B490" t="s">
        <v>11</v>
      </c>
      <c r="C490">
        <v>57</v>
      </c>
      <c r="D490" t="str" cm="1">
        <f t="array" ref="D490">_xlfn.IFS(Table2[[#This Row],[Age]]&lt;=11,"Gen A",Table2[[#This Row],[Age]]&lt;=27,"Gen Z",Table2[[#This Row],[Age]]&lt;=43,"Millenials",Table2[[#This Row],[Age]]&lt;=59,"Gen X",Table2[[#This Row],[Age]]&lt;=78,"Baby Boomers",Table2[[#This Row],[Age]]&lt;=96,"Silent",Table2[[#This Row],[Age]]&gt;=97,"Greatest")</f>
        <v>Gen X</v>
      </c>
      <c r="E490" s="1">
        <v>136242</v>
      </c>
      <c r="F490">
        <v>34</v>
      </c>
      <c r="G490" t="str" cm="1">
        <f t="array" ref="G490">_xlfn.IFS(Table2[[#This Row],[Spending Score (1-100)]]&lt;=25,"Low",Table2[[#This Row],[Spending Score (1-100)]]&lt;=50,"Medium",Table2[[#This Row],[Spending Score (1-100)]]&lt;=75,"High",Table2[[#This Row],[Spending Score (1-100)]]&lt;=100,"Very High")</f>
        <v>Medium</v>
      </c>
      <c r="H490" t="s">
        <v>14</v>
      </c>
      <c r="I490">
        <v>9</v>
      </c>
      <c r="J490" t="str">
        <f>CONCATENATE(Table2[[#This Row],[Work Experience]],"years")</f>
        <v>9years</v>
      </c>
      <c r="K490" t="str">
        <f>CONCATENATE(Table2[[#This Row],[Family Size2]],"members")</f>
        <v>1members</v>
      </c>
      <c r="L490" t="str">
        <f>CONCATENATE(Table2[[#This Row],[Family Size2]],"members")</f>
        <v>1members</v>
      </c>
      <c r="M490">
        <v>1</v>
      </c>
    </row>
    <row r="491" spans="1:13">
      <c r="A491">
        <v>490</v>
      </c>
      <c r="B491" t="s">
        <v>11</v>
      </c>
      <c r="C491">
        <v>60</v>
      </c>
      <c r="D491" t="str" cm="1">
        <f t="array" ref="D491">_xlfn.IFS(Table2[[#This Row],[Age]]&lt;=11,"Gen A",Table2[[#This Row],[Age]]&lt;=27,"Gen Z",Table2[[#This Row],[Age]]&lt;=43,"Millenials",Table2[[#This Row],[Age]]&lt;=59,"Gen X",Table2[[#This Row],[Age]]&lt;=78,"Baby Boomers",Table2[[#This Row],[Age]]&lt;=96,"Silent",Table2[[#This Row],[Age]]&gt;=97,"Greatest")</f>
        <v>Baby Boomers</v>
      </c>
      <c r="E491" s="1">
        <v>81934</v>
      </c>
      <c r="F491">
        <v>81</v>
      </c>
      <c r="G491" t="str" cm="1">
        <f t="array" ref="G491">_xlfn.IFS(Table2[[#This Row],[Spending Score (1-100)]]&lt;=25,"Low",Table2[[#This Row],[Spending Score (1-100)]]&lt;=50,"Medium",Table2[[#This Row],[Spending Score (1-100)]]&lt;=75,"High",Table2[[#This Row],[Spending Score (1-100)]]&lt;=100,"Very High")</f>
        <v>Very High</v>
      </c>
      <c r="H491" t="s">
        <v>9</v>
      </c>
      <c r="I491">
        <v>1</v>
      </c>
      <c r="J491" t="str">
        <f>CONCATENATE(Table2[[#This Row],[Work Experience]],"years")</f>
        <v>1years</v>
      </c>
      <c r="K491" t="str">
        <f>CONCATENATE(Table2[[#This Row],[Family Size2]],"members")</f>
        <v>4members</v>
      </c>
      <c r="L491" t="str">
        <f>CONCATENATE(Table2[[#This Row],[Family Size2]],"members")</f>
        <v>4members</v>
      </c>
      <c r="M491">
        <v>4</v>
      </c>
    </row>
    <row r="492" spans="1:13">
      <c r="A492">
        <v>491</v>
      </c>
      <c r="B492" t="s">
        <v>11</v>
      </c>
      <c r="C492">
        <v>59</v>
      </c>
      <c r="D492" t="str" cm="1">
        <f t="array" ref="D492">_xlfn.IFS(Table2[[#This Row],[Age]]&lt;=11,"Gen A",Table2[[#This Row],[Age]]&lt;=27,"Gen Z",Table2[[#This Row],[Age]]&lt;=43,"Millenials",Table2[[#This Row],[Age]]&lt;=59,"Gen X",Table2[[#This Row],[Age]]&lt;=78,"Baby Boomers",Table2[[#This Row],[Age]]&lt;=96,"Silent",Table2[[#This Row],[Age]]&gt;=97,"Greatest")</f>
        <v>Gen X</v>
      </c>
      <c r="E492" s="1">
        <v>130511</v>
      </c>
      <c r="F492">
        <v>97</v>
      </c>
      <c r="G492" t="str" cm="1">
        <f t="array" ref="G492">_xlfn.IFS(Table2[[#This Row],[Spending Score (1-100)]]&lt;=25,"Low",Table2[[#This Row],[Spending Score (1-100)]]&lt;=50,"Medium",Table2[[#This Row],[Spending Score (1-100)]]&lt;=75,"High",Table2[[#This Row],[Spending Score (1-100)]]&lt;=100,"Very High")</f>
        <v>Very High</v>
      </c>
      <c r="H492" t="s">
        <v>14</v>
      </c>
      <c r="I492">
        <v>3</v>
      </c>
      <c r="J492" t="str">
        <f>CONCATENATE(Table2[[#This Row],[Work Experience]],"years")</f>
        <v>3years</v>
      </c>
      <c r="K492" t="str">
        <f>CONCATENATE(Table2[[#This Row],[Family Size2]],"members")</f>
        <v>4members</v>
      </c>
      <c r="L492" t="str">
        <f>CONCATENATE(Table2[[#This Row],[Family Size2]],"members")</f>
        <v>4members</v>
      </c>
      <c r="M492">
        <v>4</v>
      </c>
    </row>
    <row r="493" spans="1:13">
      <c r="A493">
        <v>492</v>
      </c>
      <c r="B493" t="s">
        <v>11</v>
      </c>
      <c r="C493">
        <v>54</v>
      </c>
      <c r="D493" t="str" cm="1">
        <f t="array" ref="D493">_xlfn.IFS(Table2[[#This Row],[Age]]&lt;=11,"Gen A",Table2[[#This Row],[Age]]&lt;=27,"Gen Z",Table2[[#This Row],[Age]]&lt;=43,"Millenials",Table2[[#This Row],[Age]]&lt;=59,"Gen X",Table2[[#This Row],[Age]]&lt;=78,"Baby Boomers",Table2[[#This Row],[Age]]&lt;=96,"Silent",Table2[[#This Row],[Age]]&gt;=97,"Greatest")</f>
        <v>Gen X</v>
      </c>
      <c r="E493" s="1">
        <v>144502</v>
      </c>
      <c r="F493">
        <v>88</v>
      </c>
      <c r="G493" t="str" cm="1">
        <f t="array" ref="G493">_xlfn.IFS(Table2[[#This Row],[Spending Score (1-100)]]&lt;=25,"Low",Table2[[#This Row],[Spending Score (1-100)]]&lt;=50,"Medium",Table2[[#This Row],[Spending Score (1-100)]]&lt;=75,"High",Table2[[#This Row],[Spending Score (1-100)]]&lt;=100,"Very High")</f>
        <v>Very High</v>
      </c>
      <c r="H493" t="s">
        <v>12</v>
      </c>
      <c r="I493">
        <v>3</v>
      </c>
      <c r="J493" t="str">
        <f>CONCATENATE(Table2[[#This Row],[Work Experience]],"years")</f>
        <v>3years</v>
      </c>
      <c r="K493" t="str">
        <f>CONCATENATE(Table2[[#This Row],[Family Size2]],"members")</f>
        <v>1members</v>
      </c>
      <c r="L493" t="str">
        <f>CONCATENATE(Table2[[#This Row],[Family Size2]],"members")</f>
        <v>1members</v>
      </c>
      <c r="M493">
        <v>1</v>
      </c>
    </row>
    <row r="494" spans="1:13">
      <c r="A494">
        <v>493</v>
      </c>
      <c r="B494" t="s">
        <v>8</v>
      </c>
      <c r="C494">
        <v>90</v>
      </c>
      <c r="D494" t="str" cm="1">
        <f t="array" ref="D494">_xlfn.IFS(Table2[[#This Row],[Age]]&lt;=11,"Gen A",Table2[[#This Row],[Age]]&lt;=27,"Gen Z",Table2[[#This Row],[Age]]&lt;=43,"Millenials",Table2[[#This Row],[Age]]&lt;=59,"Gen X",Table2[[#This Row],[Age]]&lt;=78,"Baby Boomers",Table2[[#This Row],[Age]]&lt;=96,"Silent",Table2[[#This Row],[Age]]&gt;=97,"Greatest")</f>
        <v>Silent</v>
      </c>
      <c r="E494" s="1">
        <v>63769</v>
      </c>
      <c r="F494">
        <v>6</v>
      </c>
      <c r="G494" t="str" cm="1">
        <f t="array" ref="G494">_xlfn.IFS(Table2[[#This Row],[Spending Score (1-100)]]&lt;=25,"Low",Table2[[#This Row],[Spending Score (1-100)]]&lt;=50,"Medium",Table2[[#This Row],[Spending Score (1-100)]]&lt;=75,"High",Table2[[#This Row],[Spending Score (1-100)]]&lt;=100,"Very High")</f>
        <v>Low</v>
      </c>
      <c r="H494" t="s">
        <v>14</v>
      </c>
      <c r="I494">
        <v>4</v>
      </c>
      <c r="J494" t="str">
        <f>CONCATENATE(Table2[[#This Row],[Work Experience]],"years")</f>
        <v>4years</v>
      </c>
      <c r="K494" t="str">
        <f>CONCATENATE(Table2[[#This Row],[Family Size2]],"members")</f>
        <v>2members</v>
      </c>
      <c r="L494" t="str">
        <f>CONCATENATE(Table2[[#This Row],[Family Size2]],"members")</f>
        <v>2members</v>
      </c>
      <c r="M494">
        <v>2</v>
      </c>
    </row>
    <row r="495" spans="1:13">
      <c r="A495">
        <v>494</v>
      </c>
      <c r="B495" t="s">
        <v>11</v>
      </c>
      <c r="C495">
        <v>14</v>
      </c>
      <c r="D495" t="str" cm="1">
        <f t="array" ref="D495">_xlfn.IFS(Table2[[#This Row],[Age]]&lt;=11,"Gen A",Table2[[#This Row],[Age]]&lt;=27,"Gen Z",Table2[[#This Row],[Age]]&lt;=43,"Millenials",Table2[[#This Row],[Age]]&lt;=59,"Gen X",Table2[[#This Row],[Age]]&lt;=78,"Baby Boomers",Table2[[#This Row],[Age]]&lt;=96,"Silent",Table2[[#This Row],[Age]]&gt;=97,"Greatest")</f>
        <v>Gen Z</v>
      </c>
      <c r="E495" s="1">
        <v>66760</v>
      </c>
      <c r="F495">
        <v>20</v>
      </c>
      <c r="G495" t="str" cm="1">
        <f t="array" ref="G495">_xlfn.IFS(Table2[[#This Row],[Spending Score (1-100)]]&lt;=25,"Low",Table2[[#This Row],[Spending Score (1-100)]]&lt;=50,"Medium",Table2[[#This Row],[Spending Score (1-100)]]&lt;=75,"High",Table2[[#This Row],[Spending Score (1-100)]]&lt;=100,"Very High")</f>
        <v>Low</v>
      </c>
      <c r="H495" t="s">
        <v>14</v>
      </c>
      <c r="I495">
        <v>0</v>
      </c>
      <c r="J495" t="str">
        <f>CONCATENATE(Table2[[#This Row],[Work Experience]],"years")</f>
        <v>0years</v>
      </c>
      <c r="K495" t="str">
        <f>CONCATENATE(Table2[[#This Row],[Family Size2]],"members")</f>
        <v>4members</v>
      </c>
      <c r="L495" t="str">
        <f>CONCATENATE(Table2[[#This Row],[Family Size2]],"members")</f>
        <v>4members</v>
      </c>
      <c r="M495">
        <v>4</v>
      </c>
    </row>
    <row r="496" spans="1:13">
      <c r="A496">
        <v>495</v>
      </c>
      <c r="B496" t="s">
        <v>11</v>
      </c>
      <c r="C496">
        <v>34</v>
      </c>
      <c r="D496" t="str" cm="1">
        <f t="array" ref="D496">_xlfn.IFS(Table2[[#This Row],[Age]]&lt;=11,"Gen A",Table2[[#This Row],[Age]]&lt;=27,"Gen Z",Table2[[#This Row],[Age]]&lt;=43,"Millenials",Table2[[#This Row],[Age]]&lt;=59,"Gen X",Table2[[#This Row],[Age]]&lt;=78,"Baby Boomers",Table2[[#This Row],[Age]]&lt;=96,"Silent",Table2[[#This Row],[Age]]&gt;=97,"Greatest")</f>
        <v>Millenials</v>
      </c>
      <c r="E496" s="1">
        <v>135115</v>
      </c>
      <c r="F496">
        <v>54</v>
      </c>
      <c r="G496" t="str" cm="1">
        <f t="array" ref="G496">_xlfn.IFS(Table2[[#This Row],[Spending Score (1-100)]]&lt;=25,"Low",Table2[[#This Row],[Spending Score (1-100)]]&lt;=50,"Medium",Table2[[#This Row],[Spending Score (1-100)]]&lt;=75,"High",Table2[[#This Row],[Spending Score (1-100)]]&lt;=100,"Very High")</f>
        <v>High</v>
      </c>
      <c r="H496" t="s">
        <v>13</v>
      </c>
      <c r="I496">
        <v>1</v>
      </c>
      <c r="J496" t="str">
        <f>CONCATENATE(Table2[[#This Row],[Work Experience]],"years")</f>
        <v>1years</v>
      </c>
      <c r="K496" t="str">
        <f>CONCATENATE(Table2[[#This Row],[Family Size2]],"members")</f>
        <v>7members</v>
      </c>
      <c r="L496" t="str">
        <f>CONCATENATE(Table2[[#This Row],[Family Size2]],"members")</f>
        <v>7members</v>
      </c>
      <c r="M496">
        <v>7</v>
      </c>
    </row>
    <row r="497" spans="1:13">
      <c r="A497">
        <v>496</v>
      </c>
      <c r="B497" t="s">
        <v>11</v>
      </c>
      <c r="C497">
        <v>85</v>
      </c>
      <c r="D497" t="str" cm="1">
        <f t="array" ref="D497">_xlfn.IFS(Table2[[#This Row],[Age]]&lt;=11,"Gen A",Table2[[#This Row],[Age]]&lt;=27,"Gen Z",Table2[[#This Row],[Age]]&lt;=43,"Millenials",Table2[[#This Row],[Age]]&lt;=59,"Gen X",Table2[[#This Row],[Age]]&lt;=78,"Baby Boomers",Table2[[#This Row],[Age]]&lt;=96,"Silent",Table2[[#This Row],[Age]]&gt;=97,"Greatest")</f>
        <v>Silent</v>
      </c>
      <c r="E497" s="1">
        <v>179877</v>
      </c>
      <c r="F497">
        <v>17</v>
      </c>
      <c r="G497" t="str" cm="1">
        <f t="array" ref="G497">_xlfn.IFS(Table2[[#This Row],[Spending Score (1-100)]]&lt;=25,"Low",Table2[[#This Row],[Spending Score (1-100)]]&lt;=50,"Medium",Table2[[#This Row],[Spending Score (1-100)]]&lt;=75,"High",Table2[[#This Row],[Spending Score (1-100)]]&lt;=100,"Very High")</f>
        <v>Low</v>
      </c>
      <c r="H497" t="s">
        <v>9</v>
      </c>
      <c r="I497">
        <v>12</v>
      </c>
      <c r="J497" t="str">
        <f>CONCATENATE(Table2[[#This Row],[Work Experience]],"years")</f>
        <v>12years</v>
      </c>
      <c r="K497" t="str">
        <f>CONCATENATE(Table2[[#This Row],[Family Size2]],"members")</f>
        <v>4members</v>
      </c>
      <c r="L497" t="str">
        <f>CONCATENATE(Table2[[#This Row],[Family Size2]],"members")</f>
        <v>4members</v>
      </c>
      <c r="M497">
        <v>4</v>
      </c>
    </row>
    <row r="498" spans="1:13">
      <c r="A498">
        <v>497</v>
      </c>
      <c r="B498" t="s">
        <v>11</v>
      </c>
      <c r="C498">
        <v>83</v>
      </c>
      <c r="D498" t="str" cm="1">
        <f t="array" ref="D498">_xlfn.IFS(Table2[[#This Row],[Age]]&lt;=11,"Gen A",Table2[[#This Row],[Age]]&lt;=27,"Gen Z",Table2[[#This Row],[Age]]&lt;=43,"Millenials",Table2[[#This Row],[Age]]&lt;=59,"Gen X",Table2[[#This Row],[Age]]&lt;=78,"Baby Boomers",Table2[[#This Row],[Age]]&lt;=96,"Silent",Table2[[#This Row],[Age]]&gt;=97,"Greatest")</f>
        <v>Silent</v>
      </c>
      <c r="E498" s="1">
        <v>93351</v>
      </c>
      <c r="F498">
        <v>65</v>
      </c>
      <c r="G498" t="str" cm="1">
        <f t="array" ref="G498">_xlfn.IFS(Table2[[#This Row],[Spending Score (1-100)]]&lt;=25,"Low",Table2[[#This Row],[Spending Score (1-100)]]&lt;=50,"Medium",Table2[[#This Row],[Spending Score (1-100)]]&lt;=75,"High",Table2[[#This Row],[Spending Score (1-100)]]&lt;=100,"Very High")</f>
        <v>High</v>
      </c>
      <c r="H498" t="s">
        <v>16</v>
      </c>
      <c r="I498">
        <v>1</v>
      </c>
      <c r="J498" t="str">
        <f>CONCATENATE(Table2[[#This Row],[Work Experience]],"years")</f>
        <v>1years</v>
      </c>
      <c r="K498" t="str">
        <f>CONCATENATE(Table2[[#This Row],[Family Size2]],"members")</f>
        <v>1members</v>
      </c>
      <c r="L498" t="str">
        <f>CONCATENATE(Table2[[#This Row],[Family Size2]],"members")</f>
        <v>1members</v>
      </c>
      <c r="M498">
        <v>1</v>
      </c>
    </row>
    <row r="499" spans="1:13">
      <c r="A499">
        <v>498</v>
      </c>
      <c r="B499" t="s">
        <v>8</v>
      </c>
      <c r="C499">
        <v>12</v>
      </c>
      <c r="D499" t="str" cm="1">
        <f t="array" ref="D499">_xlfn.IFS(Table2[[#This Row],[Age]]&lt;=11,"Gen A",Table2[[#This Row],[Age]]&lt;=27,"Gen Z",Table2[[#This Row],[Age]]&lt;=43,"Millenials",Table2[[#This Row],[Age]]&lt;=59,"Gen X",Table2[[#This Row],[Age]]&lt;=78,"Baby Boomers",Table2[[#This Row],[Age]]&lt;=96,"Silent",Table2[[#This Row],[Age]]&gt;=97,"Greatest")</f>
        <v>Gen Z</v>
      </c>
      <c r="E499" s="1">
        <v>84547</v>
      </c>
      <c r="F499">
        <v>96</v>
      </c>
      <c r="G499" t="str" cm="1">
        <f t="array" ref="G499">_xlfn.IFS(Table2[[#This Row],[Spending Score (1-100)]]&lt;=25,"Low",Table2[[#This Row],[Spending Score (1-100)]]&lt;=50,"Medium",Table2[[#This Row],[Spending Score (1-100)]]&lt;=75,"High",Table2[[#This Row],[Spending Score (1-100)]]&lt;=100,"Very High")</f>
        <v>Very High</v>
      </c>
      <c r="H499" t="s">
        <v>17</v>
      </c>
      <c r="I499">
        <v>3</v>
      </c>
      <c r="J499" t="str">
        <f>CONCATENATE(Table2[[#This Row],[Work Experience]],"years")</f>
        <v>3years</v>
      </c>
      <c r="K499" t="str">
        <f>CONCATENATE(Table2[[#This Row],[Family Size2]],"members")</f>
        <v>3members</v>
      </c>
      <c r="L499" t="str">
        <f>CONCATENATE(Table2[[#This Row],[Family Size2]],"members")</f>
        <v>3members</v>
      </c>
      <c r="M499">
        <v>3</v>
      </c>
    </row>
    <row r="500" spans="1:13">
      <c r="A500">
        <v>499</v>
      </c>
      <c r="B500" t="s">
        <v>8</v>
      </c>
      <c r="C500">
        <v>95</v>
      </c>
      <c r="D500" t="str" cm="1">
        <f t="array" ref="D500">_xlfn.IFS(Table2[[#This Row],[Age]]&lt;=11,"Gen A",Table2[[#This Row],[Age]]&lt;=27,"Gen Z",Table2[[#This Row],[Age]]&lt;=43,"Millenials",Table2[[#This Row],[Age]]&lt;=59,"Gen X",Table2[[#This Row],[Age]]&lt;=78,"Baby Boomers",Table2[[#This Row],[Age]]&lt;=96,"Silent",Table2[[#This Row],[Age]]&gt;=97,"Greatest")</f>
        <v>Silent</v>
      </c>
      <c r="E500" s="1">
        <v>121725</v>
      </c>
      <c r="F500">
        <v>3</v>
      </c>
      <c r="G500" t="str" cm="1">
        <f t="array" ref="G500">_xlfn.IFS(Table2[[#This Row],[Spending Score (1-100)]]&lt;=25,"Low",Table2[[#This Row],[Spending Score (1-100)]]&lt;=50,"Medium",Table2[[#This Row],[Spending Score (1-100)]]&lt;=75,"High",Table2[[#This Row],[Spending Score (1-100)]]&lt;=100,"Very High")</f>
        <v>Low</v>
      </c>
      <c r="H500" t="s">
        <v>19</v>
      </c>
      <c r="I500">
        <v>12</v>
      </c>
      <c r="J500" t="str">
        <f>CONCATENATE(Table2[[#This Row],[Work Experience]],"years")</f>
        <v>12years</v>
      </c>
      <c r="K500" t="str">
        <f>CONCATENATE(Table2[[#This Row],[Family Size2]],"members")</f>
        <v>3members</v>
      </c>
      <c r="L500" t="str">
        <f>CONCATENATE(Table2[[#This Row],[Family Size2]],"members")</f>
        <v>3members</v>
      </c>
      <c r="M500">
        <v>3</v>
      </c>
    </row>
    <row r="501" spans="1:13">
      <c r="A501">
        <v>500</v>
      </c>
      <c r="B501" t="s">
        <v>8</v>
      </c>
      <c r="C501">
        <v>41</v>
      </c>
      <c r="D501" t="str" cm="1">
        <f t="array" ref="D501">_xlfn.IFS(Table2[[#This Row],[Age]]&lt;=11,"Gen A",Table2[[#This Row],[Age]]&lt;=27,"Gen Z",Table2[[#This Row],[Age]]&lt;=43,"Millenials",Table2[[#This Row],[Age]]&lt;=59,"Gen X",Table2[[#This Row],[Age]]&lt;=78,"Baby Boomers",Table2[[#This Row],[Age]]&lt;=96,"Silent",Table2[[#This Row],[Age]]&gt;=97,"Greatest")</f>
        <v>Millenials</v>
      </c>
      <c r="E501" s="1">
        <v>65723</v>
      </c>
      <c r="F501">
        <v>91</v>
      </c>
      <c r="G501" t="str" cm="1">
        <f t="array" ref="G501">_xlfn.IFS(Table2[[#This Row],[Spending Score (1-100)]]&lt;=25,"Low",Table2[[#This Row],[Spending Score (1-100)]]&lt;=50,"Medium",Table2[[#This Row],[Spending Score (1-100)]]&lt;=75,"High",Table2[[#This Row],[Spending Score (1-100)]]&lt;=100,"Very High")</f>
        <v>Very High</v>
      </c>
      <c r="H501" t="s">
        <v>14</v>
      </c>
      <c r="I501">
        <v>6</v>
      </c>
      <c r="J501" t="str">
        <f>CONCATENATE(Table2[[#This Row],[Work Experience]],"years")</f>
        <v>6years</v>
      </c>
      <c r="K501" t="str">
        <f>CONCATENATE(Table2[[#This Row],[Family Size2]],"members")</f>
        <v>7members</v>
      </c>
      <c r="L501" t="str">
        <f>CONCATENATE(Table2[[#This Row],[Family Size2]],"members")</f>
        <v>7members</v>
      </c>
      <c r="M501">
        <v>7</v>
      </c>
    </row>
    <row r="502" spans="1:13">
      <c r="A502">
        <v>501</v>
      </c>
      <c r="B502" t="s">
        <v>11</v>
      </c>
      <c r="C502">
        <v>38</v>
      </c>
      <c r="D502" t="str" cm="1">
        <f t="array" ref="D502">_xlfn.IFS(Table2[[#This Row],[Age]]&lt;=11,"Gen A",Table2[[#This Row],[Age]]&lt;=27,"Gen Z",Table2[[#This Row],[Age]]&lt;=43,"Millenials",Table2[[#This Row],[Age]]&lt;=59,"Gen X",Table2[[#This Row],[Age]]&lt;=78,"Baby Boomers",Table2[[#This Row],[Age]]&lt;=96,"Silent",Table2[[#This Row],[Age]]&gt;=97,"Greatest")</f>
        <v>Millenials</v>
      </c>
      <c r="E502" s="1">
        <v>96794</v>
      </c>
      <c r="F502">
        <v>96</v>
      </c>
      <c r="G502" t="str" cm="1">
        <f t="array" ref="G502">_xlfn.IFS(Table2[[#This Row],[Spending Score (1-100)]]&lt;=25,"Low",Table2[[#This Row],[Spending Score (1-100)]]&lt;=50,"Medium",Table2[[#This Row],[Spending Score (1-100)]]&lt;=75,"High",Table2[[#This Row],[Spending Score (1-100)]]&lt;=100,"Very High")</f>
        <v>Very High</v>
      </c>
      <c r="H502" t="s">
        <v>9</v>
      </c>
      <c r="I502">
        <v>6</v>
      </c>
      <c r="J502" t="str">
        <f>CONCATENATE(Table2[[#This Row],[Work Experience]],"years")</f>
        <v>6years</v>
      </c>
      <c r="K502" t="str">
        <f>CONCATENATE(Table2[[#This Row],[Family Size2]],"members")</f>
        <v>3members</v>
      </c>
      <c r="L502" t="str">
        <f>CONCATENATE(Table2[[#This Row],[Family Size2]],"members")</f>
        <v>3members</v>
      </c>
      <c r="M502">
        <v>3</v>
      </c>
    </row>
    <row r="503" spans="1:13">
      <c r="A503">
        <v>502</v>
      </c>
      <c r="B503" t="s">
        <v>8</v>
      </c>
      <c r="C503">
        <v>68</v>
      </c>
      <c r="D503" t="str" cm="1">
        <f t="array" ref="D503">_xlfn.IFS(Table2[[#This Row],[Age]]&lt;=11,"Gen A",Table2[[#This Row],[Age]]&lt;=27,"Gen Z",Table2[[#This Row],[Age]]&lt;=43,"Millenials",Table2[[#This Row],[Age]]&lt;=59,"Gen X",Table2[[#This Row],[Age]]&lt;=78,"Baby Boomers",Table2[[#This Row],[Age]]&lt;=96,"Silent",Table2[[#This Row],[Age]]&gt;=97,"Greatest")</f>
        <v>Baby Boomers</v>
      </c>
      <c r="E503" s="1">
        <v>72352</v>
      </c>
      <c r="F503">
        <v>61</v>
      </c>
      <c r="G503" t="str" cm="1">
        <f t="array" ref="G503">_xlfn.IFS(Table2[[#This Row],[Spending Score (1-100)]]&lt;=25,"Low",Table2[[#This Row],[Spending Score (1-100)]]&lt;=50,"Medium",Table2[[#This Row],[Spending Score (1-100)]]&lt;=75,"High",Table2[[#This Row],[Spending Score (1-100)]]&lt;=100,"Very High")</f>
        <v>High</v>
      </c>
      <c r="H503" t="s">
        <v>9</v>
      </c>
      <c r="I503">
        <v>8</v>
      </c>
      <c r="J503" t="str">
        <f>CONCATENATE(Table2[[#This Row],[Work Experience]],"years")</f>
        <v>8years</v>
      </c>
      <c r="K503" t="str">
        <f>CONCATENATE(Table2[[#This Row],[Family Size2]],"members")</f>
        <v>5members</v>
      </c>
      <c r="L503" t="str">
        <f>CONCATENATE(Table2[[#This Row],[Family Size2]],"members")</f>
        <v>5members</v>
      </c>
      <c r="M503">
        <v>5</v>
      </c>
    </row>
    <row r="504" spans="1:13">
      <c r="A504">
        <v>503</v>
      </c>
      <c r="B504" t="s">
        <v>11</v>
      </c>
      <c r="C504">
        <v>4</v>
      </c>
      <c r="D504" t="str" cm="1">
        <f t="array" ref="D504">_xlfn.IFS(Table2[[#This Row],[Age]]&lt;=11,"Gen A",Table2[[#This Row],[Age]]&lt;=27,"Gen Z",Table2[[#This Row],[Age]]&lt;=43,"Millenials",Table2[[#This Row],[Age]]&lt;=59,"Gen X",Table2[[#This Row],[Age]]&lt;=78,"Baby Boomers",Table2[[#This Row],[Age]]&lt;=96,"Silent",Table2[[#This Row],[Age]]&gt;=97,"Greatest")</f>
        <v>Gen A</v>
      </c>
      <c r="E504" s="1">
        <v>53097</v>
      </c>
      <c r="F504">
        <v>21</v>
      </c>
      <c r="G504" t="str" cm="1">
        <f t="array" ref="G504">_xlfn.IFS(Table2[[#This Row],[Spending Score (1-100)]]&lt;=25,"Low",Table2[[#This Row],[Spending Score (1-100)]]&lt;=50,"Medium",Table2[[#This Row],[Spending Score (1-100)]]&lt;=75,"High",Table2[[#This Row],[Spending Score (1-100)]]&lt;=100,"Very High")</f>
        <v>Low</v>
      </c>
      <c r="H504" t="s">
        <v>9</v>
      </c>
      <c r="I504">
        <v>0</v>
      </c>
      <c r="J504" t="str">
        <f>CONCATENATE(Table2[[#This Row],[Work Experience]],"years")</f>
        <v>0years</v>
      </c>
      <c r="K504" t="str">
        <f>CONCATENATE(Table2[[#This Row],[Family Size2]],"members")</f>
        <v>7members</v>
      </c>
      <c r="L504" t="str">
        <f>CONCATENATE(Table2[[#This Row],[Family Size2]],"members")</f>
        <v>7members</v>
      </c>
      <c r="M504">
        <v>7</v>
      </c>
    </row>
    <row r="505" spans="1:13">
      <c r="A505">
        <v>504</v>
      </c>
      <c r="B505" t="s">
        <v>11</v>
      </c>
      <c r="C505">
        <v>5</v>
      </c>
      <c r="D505" t="str" cm="1">
        <f t="array" ref="D505">_xlfn.IFS(Table2[[#This Row],[Age]]&lt;=11,"Gen A",Table2[[#This Row],[Age]]&lt;=27,"Gen Z",Table2[[#This Row],[Age]]&lt;=43,"Millenials",Table2[[#This Row],[Age]]&lt;=59,"Gen X",Table2[[#This Row],[Age]]&lt;=78,"Baby Boomers",Table2[[#This Row],[Age]]&lt;=96,"Silent",Table2[[#This Row],[Age]]&gt;=97,"Greatest")</f>
        <v>Gen A</v>
      </c>
      <c r="E505" s="1">
        <v>144831</v>
      </c>
      <c r="F505">
        <v>17</v>
      </c>
      <c r="G505" t="str" cm="1">
        <f t="array" ref="G505">_xlfn.IFS(Table2[[#This Row],[Spending Score (1-100)]]&lt;=25,"Low",Table2[[#This Row],[Spending Score (1-100)]]&lt;=50,"Medium",Table2[[#This Row],[Spending Score (1-100)]]&lt;=75,"High",Table2[[#This Row],[Spending Score (1-100)]]&lt;=100,"Very High")</f>
        <v>Low</v>
      </c>
      <c r="H505" t="s">
        <v>14</v>
      </c>
      <c r="I505">
        <v>1</v>
      </c>
      <c r="J505" t="str">
        <f>CONCATENATE(Table2[[#This Row],[Work Experience]],"years")</f>
        <v>1years</v>
      </c>
      <c r="K505" t="str">
        <f>CONCATENATE(Table2[[#This Row],[Family Size2]],"members")</f>
        <v>3members</v>
      </c>
      <c r="L505" t="str">
        <f>CONCATENATE(Table2[[#This Row],[Family Size2]],"members")</f>
        <v>3members</v>
      </c>
      <c r="M505">
        <v>3</v>
      </c>
    </row>
    <row r="506" spans="1:13">
      <c r="A506">
        <v>505</v>
      </c>
      <c r="B506" t="s">
        <v>11</v>
      </c>
      <c r="C506">
        <v>3</v>
      </c>
      <c r="D506" t="str" cm="1">
        <f t="array" ref="D506">_xlfn.IFS(Table2[[#This Row],[Age]]&lt;=11,"Gen A",Table2[[#This Row],[Age]]&lt;=27,"Gen Z",Table2[[#This Row],[Age]]&lt;=43,"Millenials",Table2[[#This Row],[Age]]&lt;=59,"Gen X",Table2[[#This Row],[Age]]&lt;=78,"Baby Boomers",Table2[[#This Row],[Age]]&lt;=96,"Silent",Table2[[#This Row],[Age]]&gt;=97,"Greatest")</f>
        <v>Gen A</v>
      </c>
      <c r="E506" s="1">
        <v>183851</v>
      </c>
      <c r="F506">
        <v>10</v>
      </c>
      <c r="G506" t="str" cm="1">
        <f t="array" ref="G506">_xlfn.IFS(Table2[[#This Row],[Spending Score (1-100)]]&lt;=25,"Low",Table2[[#This Row],[Spending Score (1-100)]]&lt;=50,"Medium",Table2[[#This Row],[Spending Score (1-100)]]&lt;=75,"High",Table2[[#This Row],[Spending Score (1-100)]]&lt;=100,"Very High")</f>
        <v>Low</v>
      </c>
      <c r="H506" t="s">
        <v>16</v>
      </c>
      <c r="I506">
        <v>1</v>
      </c>
      <c r="J506" t="str">
        <f>CONCATENATE(Table2[[#This Row],[Work Experience]],"years")</f>
        <v>1years</v>
      </c>
      <c r="K506" t="str">
        <f>CONCATENATE(Table2[[#This Row],[Family Size2]],"members")</f>
        <v>2members</v>
      </c>
      <c r="L506" t="str">
        <f>CONCATENATE(Table2[[#This Row],[Family Size2]],"members")</f>
        <v>2members</v>
      </c>
      <c r="M506">
        <v>2</v>
      </c>
    </row>
    <row r="507" spans="1:13">
      <c r="A507">
        <v>506</v>
      </c>
      <c r="B507" t="s">
        <v>11</v>
      </c>
      <c r="C507">
        <v>20</v>
      </c>
      <c r="D507" t="str" cm="1">
        <f t="array" ref="D507">_xlfn.IFS(Table2[[#This Row],[Age]]&lt;=11,"Gen A",Table2[[#This Row],[Age]]&lt;=27,"Gen Z",Table2[[#This Row],[Age]]&lt;=43,"Millenials",Table2[[#This Row],[Age]]&lt;=59,"Gen X",Table2[[#This Row],[Age]]&lt;=78,"Baby Boomers",Table2[[#This Row],[Age]]&lt;=96,"Silent",Table2[[#This Row],[Age]]&gt;=97,"Greatest")</f>
        <v>Gen Z</v>
      </c>
      <c r="E507" s="1">
        <v>111896</v>
      </c>
      <c r="F507">
        <v>90</v>
      </c>
      <c r="G507" t="str" cm="1">
        <f t="array" ref="G507">_xlfn.IFS(Table2[[#This Row],[Spending Score (1-100)]]&lt;=25,"Low",Table2[[#This Row],[Spending Score (1-100)]]&lt;=50,"Medium",Table2[[#This Row],[Spending Score (1-100)]]&lt;=75,"High",Table2[[#This Row],[Spending Score (1-100)]]&lt;=100,"Very High")</f>
        <v>Very High</v>
      </c>
      <c r="H507" t="s">
        <v>15</v>
      </c>
      <c r="I507">
        <v>1</v>
      </c>
      <c r="J507" t="str">
        <f>CONCATENATE(Table2[[#This Row],[Work Experience]],"years")</f>
        <v>1years</v>
      </c>
      <c r="K507" t="str">
        <f>CONCATENATE(Table2[[#This Row],[Family Size2]],"members")</f>
        <v>3members</v>
      </c>
      <c r="L507" t="str">
        <f>CONCATENATE(Table2[[#This Row],[Family Size2]],"members")</f>
        <v>3members</v>
      </c>
      <c r="M507">
        <v>3</v>
      </c>
    </row>
    <row r="508" spans="1:13">
      <c r="A508">
        <v>507</v>
      </c>
      <c r="B508" t="s">
        <v>11</v>
      </c>
      <c r="C508">
        <v>3</v>
      </c>
      <c r="D508" t="str" cm="1">
        <f t="array" ref="D508">_xlfn.IFS(Table2[[#This Row],[Age]]&lt;=11,"Gen A",Table2[[#This Row],[Age]]&lt;=27,"Gen Z",Table2[[#This Row],[Age]]&lt;=43,"Millenials",Table2[[#This Row],[Age]]&lt;=59,"Gen X",Table2[[#This Row],[Age]]&lt;=78,"Baby Boomers",Table2[[#This Row],[Age]]&lt;=96,"Silent",Table2[[#This Row],[Age]]&gt;=97,"Greatest")</f>
        <v>Gen A</v>
      </c>
      <c r="E508" s="1">
        <v>64824</v>
      </c>
      <c r="F508">
        <v>30</v>
      </c>
      <c r="G508" t="str" cm="1">
        <f t="array" ref="G508">_xlfn.IFS(Table2[[#This Row],[Spending Score (1-100)]]&lt;=25,"Low",Table2[[#This Row],[Spending Score (1-100)]]&lt;=50,"Medium",Table2[[#This Row],[Spending Score (1-100)]]&lt;=75,"High",Table2[[#This Row],[Spending Score (1-100)]]&lt;=100,"Very High")</f>
        <v>Medium</v>
      </c>
      <c r="H508" t="s">
        <v>15</v>
      </c>
      <c r="I508">
        <v>1</v>
      </c>
      <c r="J508" t="str">
        <f>CONCATENATE(Table2[[#This Row],[Work Experience]],"years")</f>
        <v>1years</v>
      </c>
      <c r="K508" t="str">
        <f>CONCATENATE(Table2[[#This Row],[Family Size2]],"members")</f>
        <v>1members</v>
      </c>
      <c r="L508" t="str">
        <f>CONCATENATE(Table2[[#This Row],[Family Size2]],"members")</f>
        <v>1members</v>
      </c>
      <c r="M508">
        <v>1</v>
      </c>
    </row>
    <row r="509" spans="1:13">
      <c r="A509">
        <v>508</v>
      </c>
      <c r="B509" t="s">
        <v>8</v>
      </c>
      <c r="C509">
        <v>36</v>
      </c>
      <c r="D509" t="str" cm="1">
        <f t="array" ref="D509">_xlfn.IFS(Table2[[#This Row],[Age]]&lt;=11,"Gen A",Table2[[#This Row],[Age]]&lt;=27,"Gen Z",Table2[[#This Row],[Age]]&lt;=43,"Millenials",Table2[[#This Row],[Age]]&lt;=59,"Gen X",Table2[[#This Row],[Age]]&lt;=78,"Baby Boomers",Table2[[#This Row],[Age]]&lt;=96,"Silent",Table2[[#This Row],[Age]]&gt;=97,"Greatest")</f>
        <v>Millenials</v>
      </c>
      <c r="E509" s="1">
        <v>88565</v>
      </c>
      <c r="F509">
        <v>16</v>
      </c>
      <c r="G509" t="str" cm="1">
        <f t="array" ref="G509">_xlfn.IFS(Table2[[#This Row],[Spending Score (1-100)]]&lt;=25,"Low",Table2[[#This Row],[Spending Score (1-100)]]&lt;=50,"Medium",Table2[[#This Row],[Spending Score (1-100)]]&lt;=75,"High",Table2[[#This Row],[Spending Score (1-100)]]&lt;=100,"Very High")</f>
        <v>Low</v>
      </c>
      <c r="H509" t="s">
        <v>9</v>
      </c>
      <c r="I509">
        <v>1</v>
      </c>
      <c r="J509" t="str">
        <f>CONCATENATE(Table2[[#This Row],[Work Experience]],"years")</f>
        <v>1years</v>
      </c>
      <c r="K509" t="str">
        <f>CONCATENATE(Table2[[#This Row],[Family Size2]],"members")</f>
        <v>5members</v>
      </c>
      <c r="L509" t="str">
        <f>CONCATENATE(Table2[[#This Row],[Family Size2]],"members")</f>
        <v>5members</v>
      </c>
      <c r="M509">
        <v>5</v>
      </c>
    </row>
    <row r="510" spans="1:13">
      <c r="A510">
        <v>509</v>
      </c>
      <c r="B510" t="s">
        <v>11</v>
      </c>
      <c r="C510">
        <v>70</v>
      </c>
      <c r="D510" t="str" cm="1">
        <f t="array" ref="D510">_xlfn.IFS(Table2[[#This Row],[Age]]&lt;=11,"Gen A",Table2[[#This Row],[Age]]&lt;=27,"Gen Z",Table2[[#This Row],[Age]]&lt;=43,"Millenials",Table2[[#This Row],[Age]]&lt;=59,"Gen X",Table2[[#This Row],[Age]]&lt;=78,"Baby Boomers",Table2[[#This Row],[Age]]&lt;=96,"Silent",Table2[[#This Row],[Age]]&gt;=97,"Greatest")</f>
        <v>Baby Boomers</v>
      </c>
      <c r="E510" s="1">
        <v>104974</v>
      </c>
      <c r="F510">
        <v>63</v>
      </c>
      <c r="G510" t="str" cm="1">
        <f t="array" ref="G510">_xlfn.IFS(Table2[[#This Row],[Spending Score (1-100)]]&lt;=25,"Low",Table2[[#This Row],[Spending Score (1-100)]]&lt;=50,"Medium",Table2[[#This Row],[Spending Score (1-100)]]&lt;=75,"High",Table2[[#This Row],[Spending Score (1-100)]]&lt;=100,"Very High")</f>
        <v>High</v>
      </c>
      <c r="H510" t="s">
        <v>14</v>
      </c>
      <c r="I510">
        <v>1</v>
      </c>
      <c r="J510" t="str">
        <f>CONCATENATE(Table2[[#This Row],[Work Experience]],"years")</f>
        <v>1years</v>
      </c>
      <c r="K510" t="str">
        <f>CONCATENATE(Table2[[#This Row],[Family Size2]],"members")</f>
        <v>1members</v>
      </c>
      <c r="L510" t="str">
        <f>CONCATENATE(Table2[[#This Row],[Family Size2]],"members")</f>
        <v>1members</v>
      </c>
      <c r="M510">
        <v>1</v>
      </c>
    </row>
    <row r="511" spans="1:13">
      <c r="A511">
        <v>510</v>
      </c>
      <c r="B511" t="s">
        <v>11</v>
      </c>
      <c r="C511">
        <v>17</v>
      </c>
      <c r="D511" t="str" cm="1">
        <f t="array" ref="D511">_xlfn.IFS(Table2[[#This Row],[Age]]&lt;=11,"Gen A",Table2[[#This Row],[Age]]&lt;=27,"Gen Z",Table2[[#This Row],[Age]]&lt;=43,"Millenials",Table2[[#This Row],[Age]]&lt;=59,"Gen X",Table2[[#This Row],[Age]]&lt;=78,"Baby Boomers",Table2[[#This Row],[Age]]&lt;=96,"Silent",Table2[[#This Row],[Age]]&gt;=97,"Greatest")</f>
        <v>Gen Z</v>
      </c>
      <c r="E511" s="1">
        <v>167060</v>
      </c>
      <c r="F511">
        <v>47</v>
      </c>
      <c r="G511" t="str" cm="1">
        <f t="array" ref="G511">_xlfn.IFS(Table2[[#This Row],[Spending Score (1-100)]]&lt;=25,"Low",Table2[[#This Row],[Spending Score (1-100)]]&lt;=50,"Medium",Table2[[#This Row],[Spending Score (1-100)]]&lt;=75,"High",Table2[[#This Row],[Spending Score (1-100)]]&lt;=100,"Very High")</f>
        <v>Medium</v>
      </c>
      <c r="H511" t="s">
        <v>14</v>
      </c>
      <c r="I511">
        <v>1</v>
      </c>
      <c r="J511" t="str">
        <f>CONCATENATE(Table2[[#This Row],[Work Experience]],"years")</f>
        <v>1years</v>
      </c>
      <c r="K511" t="str">
        <f>CONCATENATE(Table2[[#This Row],[Family Size2]],"members")</f>
        <v>5members</v>
      </c>
      <c r="L511" t="str">
        <f>CONCATENATE(Table2[[#This Row],[Family Size2]],"members")</f>
        <v>5members</v>
      </c>
      <c r="M511">
        <v>5</v>
      </c>
    </row>
    <row r="512" spans="1:13">
      <c r="A512">
        <v>511</v>
      </c>
      <c r="B512" t="s">
        <v>11</v>
      </c>
      <c r="C512">
        <v>31</v>
      </c>
      <c r="D512" t="str" cm="1">
        <f t="array" ref="D512">_xlfn.IFS(Table2[[#This Row],[Age]]&lt;=11,"Gen A",Table2[[#This Row],[Age]]&lt;=27,"Gen Z",Table2[[#This Row],[Age]]&lt;=43,"Millenials",Table2[[#This Row],[Age]]&lt;=59,"Gen X",Table2[[#This Row],[Age]]&lt;=78,"Baby Boomers",Table2[[#This Row],[Age]]&lt;=96,"Silent",Table2[[#This Row],[Age]]&gt;=97,"Greatest")</f>
        <v>Millenials</v>
      </c>
      <c r="E512" s="1">
        <v>69018</v>
      </c>
      <c r="F512">
        <v>17</v>
      </c>
      <c r="G512" t="str" cm="1">
        <f t="array" ref="G512">_xlfn.IFS(Table2[[#This Row],[Spending Score (1-100)]]&lt;=25,"Low",Table2[[#This Row],[Spending Score (1-100)]]&lt;=50,"Medium",Table2[[#This Row],[Spending Score (1-100)]]&lt;=75,"High",Table2[[#This Row],[Spending Score (1-100)]]&lt;=100,"Very High")</f>
        <v>Low</v>
      </c>
      <c r="H512" t="s">
        <v>14</v>
      </c>
      <c r="I512">
        <v>6</v>
      </c>
      <c r="J512" t="str">
        <f>CONCATENATE(Table2[[#This Row],[Work Experience]],"years")</f>
        <v>6years</v>
      </c>
      <c r="K512" t="str">
        <f>CONCATENATE(Table2[[#This Row],[Family Size2]],"members")</f>
        <v>1members</v>
      </c>
      <c r="L512" t="str">
        <f>CONCATENATE(Table2[[#This Row],[Family Size2]],"members")</f>
        <v>1members</v>
      </c>
      <c r="M512">
        <v>1</v>
      </c>
    </row>
    <row r="513" spans="1:13">
      <c r="A513">
        <v>512</v>
      </c>
      <c r="B513" t="s">
        <v>11</v>
      </c>
      <c r="C513">
        <v>48</v>
      </c>
      <c r="D513" t="str" cm="1">
        <f t="array" ref="D513">_xlfn.IFS(Table2[[#This Row],[Age]]&lt;=11,"Gen A",Table2[[#This Row],[Age]]&lt;=27,"Gen Z",Table2[[#This Row],[Age]]&lt;=43,"Millenials",Table2[[#This Row],[Age]]&lt;=59,"Gen X",Table2[[#This Row],[Age]]&lt;=78,"Baby Boomers",Table2[[#This Row],[Age]]&lt;=96,"Silent",Table2[[#This Row],[Age]]&gt;=97,"Greatest")</f>
        <v>Gen X</v>
      </c>
      <c r="E513" s="1">
        <v>174109</v>
      </c>
      <c r="F513">
        <v>96</v>
      </c>
      <c r="G513" t="str" cm="1">
        <f t="array" ref="G513">_xlfn.IFS(Table2[[#This Row],[Spending Score (1-100)]]&lt;=25,"Low",Table2[[#This Row],[Spending Score (1-100)]]&lt;=50,"Medium",Table2[[#This Row],[Spending Score (1-100)]]&lt;=75,"High",Table2[[#This Row],[Spending Score (1-100)]]&lt;=100,"Very High")</f>
        <v>Very High</v>
      </c>
      <c r="H513" t="s">
        <v>13</v>
      </c>
      <c r="I513">
        <v>0</v>
      </c>
      <c r="J513" t="str">
        <f>CONCATENATE(Table2[[#This Row],[Work Experience]],"years")</f>
        <v>0years</v>
      </c>
      <c r="K513" t="str">
        <f>CONCATENATE(Table2[[#This Row],[Family Size2]],"members")</f>
        <v>1members</v>
      </c>
      <c r="L513" t="str">
        <f>CONCATENATE(Table2[[#This Row],[Family Size2]],"members")</f>
        <v>1members</v>
      </c>
      <c r="M513">
        <v>1</v>
      </c>
    </row>
    <row r="514" spans="1:13">
      <c r="A514">
        <v>513</v>
      </c>
      <c r="B514" t="s">
        <v>8</v>
      </c>
      <c r="C514">
        <v>28</v>
      </c>
      <c r="D514" t="str" cm="1">
        <f t="array" ref="D514">_xlfn.IFS(Table2[[#This Row],[Age]]&lt;=11,"Gen A",Table2[[#This Row],[Age]]&lt;=27,"Gen Z",Table2[[#This Row],[Age]]&lt;=43,"Millenials",Table2[[#This Row],[Age]]&lt;=59,"Gen X",Table2[[#This Row],[Age]]&lt;=78,"Baby Boomers",Table2[[#This Row],[Age]]&lt;=96,"Silent",Table2[[#This Row],[Age]]&gt;=97,"Greatest")</f>
        <v>Millenials</v>
      </c>
      <c r="E514" s="1">
        <v>62186</v>
      </c>
      <c r="F514">
        <v>29</v>
      </c>
      <c r="G514" t="str" cm="1">
        <f t="array" ref="G514">_xlfn.IFS(Table2[[#This Row],[Spending Score (1-100)]]&lt;=25,"Low",Table2[[#This Row],[Spending Score (1-100)]]&lt;=50,"Medium",Table2[[#This Row],[Spending Score (1-100)]]&lt;=75,"High",Table2[[#This Row],[Spending Score (1-100)]]&lt;=100,"Very High")</f>
        <v>Medium</v>
      </c>
      <c r="H514" t="s">
        <v>18</v>
      </c>
      <c r="I514">
        <v>0</v>
      </c>
      <c r="J514" t="str">
        <f>CONCATENATE(Table2[[#This Row],[Work Experience]],"years")</f>
        <v>0years</v>
      </c>
      <c r="K514" t="str">
        <f>CONCATENATE(Table2[[#This Row],[Family Size2]],"members")</f>
        <v>1members</v>
      </c>
      <c r="L514" t="str">
        <f>CONCATENATE(Table2[[#This Row],[Family Size2]],"members")</f>
        <v>1members</v>
      </c>
      <c r="M514">
        <v>1</v>
      </c>
    </row>
    <row r="515" spans="1:13">
      <c r="A515">
        <v>514</v>
      </c>
      <c r="B515" t="s">
        <v>8</v>
      </c>
      <c r="C515">
        <v>97</v>
      </c>
      <c r="D515" t="str" cm="1">
        <f t="array" ref="D515">_xlfn.IFS(Table2[[#This Row],[Age]]&lt;=11,"Gen A",Table2[[#This Row],[Age]]&lt;=27,"Gen Z",Table2[[#This Row],[Age]]&lt;=43,"Millenials",Table2[[#This Row],[Age]]&lt;=59,"Gen X",Table2[[#This Row],[Age]]&lt;=78,"Baby Boomers",Table2[[#This Row],[Age]]&lt;=96,"Silent",Table2[[#This Row],[Age]]&gt;=97,"Greatest")</f>
        <v>Greatest</v>
      </c>
      <c r="E515" s="1">
        <v>183783</v>
      </c>
      <c r="F515">
        <v>70</v>
      </c>
      <c r="G515" t="str" cm="1">
        <f t="array" ref="G515">_xlfn.IFS(Table2[[#This Row],[Spending Score (1-100)]]&lt;=25,"Low",Table2[[#This Row],[Spending Score (1-100)]]&lt;=50,"Medium",Table2[[#This Row],[Spending Score (1-100)]]&lt;=75,"High",Table2[[#This Row],[Spending Score (1-100)]]&lt;=100,"Very High")</f>
        <v>High</v>
      </c>
      <c r="H515" t="s">
        <v>9</v>
      </c>
      <c r="I515">
        <v>9</v>
      </c>
      <c r="J515" t="str">
        <f>CONCATENATE(Table2[[#This Row],[Work Experience]],"years")</f>
        <v>9years</v>
      </c>
      <c r="K515" t="str">
        <f>CONCATENATE(Table2[[#This Row],[Family Size2]],"members")</f>
        <v>3members</v>
      </c>
      <c r="L515" t="str">
        <f>CONCATENATE(Table2[[#This Row],[Family Size2]],"members")</f>
        <v>3members</v>
      </c>
      <c r="M515">
        <v>3</v>
      </c>
    </row>
    <row r="516" spans="1:13">
      <c r="A516">
        <v>515</v>
      </c>
      <c r="B516" t="s">
        <v>8</v>
      </c>
      <c r="C516">
        <v>81</v>
      </c>
      <c r="D516" t="str" cm="1">
        <f t="array" ref="D516">_xlfn.IFS(Table2[[#This Row],[Age]]&lt;=11,"Gen A",Table2[[#This Row],[Age]]&lt;=27,"Gen Z",Table2[[#This Row],[Age]]&lt;=43,"Millenials",Table2[[#This Row],[Age]]&lt;=59,"Gen X",Table2[[#This Row],[Age]]&lt;=78,"Baby Boomers",Table2[[#This Row],[Age]]&lt;=96,"Silent",Table2[[#This Row],[Age]]&gt;=97,"Greatest")</f>
        <v>Silent</v>
      </c>
      <c r="E516" s="1">
        <v>83771</v>
      </c>
      <c r="F516">
        <v>1</v>
      </c>
      <c r="G516" t="str" cm="1">
        <f t="array" ref="G516">_xlfn.IFS(Table2[[#This Row],[Spending Score (1-100)]]&lt;=25,"Low",Table2[[#This Row],[Spending Score (1-100)]]&lt;=50,"Medium",Table2[[#This Row],[Spending Score (1-100)]]&lt;=75,"High",Table2[[#This Row],[Spending Score (1-100)]]&lt;=100,"Very High")</f>
        <v>Low</v>
      </c>
      <c r="H516" t="s">
        <v>14</v>
      </c>
      <c r="I516">
        <v>1</v>
      </c>
      <c r="J516" t="str">
        <f>CONCATENATE(Table2[[#This Row],[Work Experience]],"years")</f>
        <v>1years</v>
      </c>
      <c r="K516" t="str">
        <f>CONCATENATE(Table2[[#This Row],[Family Size2]],"members")</f>
        <v>2members</v>
      </c>
      <c r="L516" t="str">
        <f>CONCATENATE(Table2[[#This Row],[Family Size2]],"members")</f>
        <v>2members</v>
      </c>
      <c r="M516">
        <v>2</v>
      </c>
    </row>
    <row r="517" spans="1:13">
      <c r="A517">
        <v>516</v>
      </c>
      <c r="B517" t="s">
        <v>11</v>
      </c>
      <c r="C517">
        <v>37</v>
      </c>
      <c r="D517" t="str" cm="1">
        <f t="array" ref="D517">_xlfn.IFS(Table2[[#This Row],[Age]]&lt;=11,"Gen A",Table2[[#This Row],[Age]]&lt;=27,"Gen Z",Table2[[#This Row],[Age]]&lt;=43,"Millenials",Table2[[#This Row],[Age]]&lt;=59,"Gen X",Table2[[#This Row],[Age]]&lt;=78,"Baby Boomers",Table2[[#This Row],[Age]]&lt;=96,"Silent",Table2[[#This Row],[Age]]&gt;=97,"Greatest")</f>
        <v>Millenials</v>
      </c>
      <c r="E517" s="1">
        <v>148196</v>
      </c>
      <c r="F517">
        <v>91</v>
      </c>
      <c r="G517" t="str" cm="1">
        <f t="array" ref="G517">_xlfn.IFS(Table2[[#This Row],[Spending Score (1-100)]]&lt;=25,"Low",Table2[[#This Row],[Spending Score (1-100)]]&lt;=50,"Medium",Table2[[#This Row],[Spending Score (1-100)]]&lt;=75,"High",Table2[[#This Row],[Spending Score (1-100)]]&lt;=100,"Very High")</f>
        <v>Very High</v>
      </c>
      <c r="H517" t="s">
        <v>14</v>
      </c>
      <c r="I517">
        <v>0</v>
      </c>
      <c r="J517" t="str">
        <f>CONCATENATE(Table2[[#This Row],[Work Experience]],"years")</f>
        <v>0years</v>
      </c>
      <c r="K517" t="str">
        <f>CONCATENATE(Table2[[#This Row],[Family Size2]],"members")</f>
        <v>2members</v>
      </c>
      <c r="L517" t="str">
        <f>CONCATENATE(Table2[[#This Row],[Family Size2]],"members")</f>
        <v>2members</v>
      </c>
      <c r="M517">
        <v>2</v>
      </c>
    </row>
    <row r="518" spans="1:13">
      <c r="A518">
        <v>517</v>
      </c>
      <c r="B518" t="s">
        <v>8</v>
      </c>
      <c r="C518">
        <v>85</v>
      </c>
      <c r="D518" t="str" cm="1">
        <f t="array" ref="D518">_xlfn.IFS(Table2[[#This Row],[Age]]&lt;=11,"Gen A",Table2[[#This Row],[Age]]&lt;=27,"Gen Z",Table2[[#This Row],[Age]]&lt;=43,"Millenials",Table2[[#This Row],[Age]]&lt;=59,"Gen X",Table2[[#This Row],[Age]]&lt;=78,"Baby Boomers",Table2[[#This Row],[Age]]&lt;=96,"Silent",Table2[[#This Row],[Age]]&gt;=97,"Greatest")</f>
        <v>Silent</v>
      </c>
      <c r="E518" s="1">
        <v>131742</v>
      </c>
      <c r="F518">
        <v>87</v>
      </c>
      <c r="G518" t="str" cm="1">
        <f t="array" ref="G518">_xlfn.IFS(Table2[[#This Row],[Spending Score (1-100)]]&lt;=25,"Low",Table2[[#This Row],[Spending Score (1-100)]]&lt;=50,"Medium",Table2[[#This Row],[Spending Score (1-100)]]&lt;=75,"High",Table2[[#This Row],[Spending Score (1-100)]]&lt;=100,"Very High")</f>
        <v>Very High</v>
      </c>
      <c r="H518" t="s">
        <v>13</v>
      </c>
      <c r="I518">
        <v>1</v>
      </c>
      <c r="J518" t="str">
        <f>CONCATENATE(Table2[[#This Row],[Work Experience]],"years")</f>
        <v>1years</v>
      </c>
      <c r="K518" t="str">
        <f>CONCATENATE(Table2[[#This Row],[Family Size2]],"members")</f>
        <v>1members</v>
      </c>
      <c r="L518" t="str">
        <f>CONCATENATE(Table2[[#This Row],[Family Size2]],"members")</f>
        <v>1members</v>
      </c>
      <c r="M518">
        <v>1</v>
      </c>
    </row>
    <row r="519" spans="1:13">
      <c r="A519">
        <v>518</v>
      </c>
      <c r="B519" t="s">
        <v>11</v>
      </c>
      <c r="C519">
        <v>78</v>
      </c>
      <c r="D519" t="str" cm="1">
        <f t="array" ref="D519">_xlfn.IFS(Table2[[#This Row],[Age]]&lt;=11,"Gen A",Table2[[#This Row],[Age]]&lt;=27,"Gen Z",Table2[[#This Row],[Age]]&lt;=43,"Millenials",Table2[[#This Row],[Age]]&lt;=59,"Gen X",Table2[[#This Row],[Age]]&lt;=78,"Baby Boomers",Table2[[#This Row],[Age]]&lt;=96,"Silent",Table2[[#This Row],[Age]]&gt;=97,"Greatest")</f>
        <v>Baby Boomers</v>
      </c>
      <c r="E519" s="1">
        <v>59971</v>
      </c>
      <c r="F519">
        <v>94</v>
      </c>
      <c r="G519" t="str" cm="1">
        <f t="array" ref="G519">_xlfn.IFS(Table2[[#This Row],[Spending Score (1-100)]]&lt;=25,"Low",Table2[[#This Row],[Spending Score (1-100)]]&lt;=50,"Medium",Table2[[#This Row],[Spending Score (1-100)]]&lt;=75,"High",Table2[[#This Row],[Spending Score (1-100)]]&lt;=100,"Very High")</f>
        <v>Very High</v>
      </c>
      <c r="H519" t="s">
        <v>17</v>
      </c>
      <c r="I519">
        <v>14</v>
      </c>
      <c r="J519" t="str">
        <f>CONCATENATE(Table2[[#This Row],[Work Experience]],"years")</f>
        <v>14years</v>
      </c>
      <c r="K519" t="str">
        <f>CONCATENATE(Table2[[#This Row],[Family Size2]],"members")</f>
        <v>7members</v>
      </c>
      <c r="L519" t="str">
        <f>CONCATENATE(Table2[[#This Row],[Family Size2]],"members")</f>
        <v>7members</v>
      </c>
      <c r="M519">
        <v>7</v>
      </c>
    </row>
    <row r="520" spans="1:13">
      <c r="A520">
        <v>519</v>
      </c>
      <c r="B520" t="s">
        <v>11</v>
      </c>
      <c r="C520">
        <v>13</v>
      </c>
      <c r="D520" t="str" cm="1">
        <f t="array" ref="D520">_xlfn.IFS(Table2[[#This Row],[Age]]&lt;=11,"Gen A",Table2[[#This Row],[Age]]&lt;=27,"Gen Z",Table2[[#This Row],[Age]]&lt;=43,"Millenials",Table2[[#This Row],[Age]]&lt;=59,"Gen X",Table2[[#This Row],[Age]]&lt;=78,"Baby Boomers",Table2[[#This Row],[Age]]&lt;=96,"Silent",Table2[[#This Row],[Age]]&gt;=97,"Greatest")</f>
        <v>Gen Z</v>
      </c>
      <c r="E520" s="1">
        <v>88960</v>
      </c>
      <c r="F520">
        <v>2</v>
      </c>
      <c r="G520" t="str" cm="1">
        <f t="array" ref="G520">_xlfn.IFS(Table2[[#This Row],[Spending Score (1-100)]]&lt;=25,"Low",Table2[[#This Row],[Spending Score (1-100)]]&lt;=50,"Medium",Table2[[#This Row],[Spending Score (1-100)]]&lt;=75,"High",Table2[[#This Row],[Spending Score (1-100)]]&lt;=100,"Very High")</f>
        <v>Low</v>
      </c>
      <c r="H520" t="s">
        <v>13</v>
      </c>
      <c r="I520">
        <v>13</v>
      </c>
      <c r="J520" t="str">
        <f>CONCATENATE(Table2[[#This Row],[Work Experience]],"years")</f>
        <v>13years</v>
      </c>
      <c r="K520" t="str">
        <f>CONCATENATE(Table2[[#This Row],[Family Size2]],"members")</f>
        <v>3members</v>
      </c>
      <c r="L520" t="str">
        <f>CONCATENATE(Table2[[#This Row],[Family Size2]],"members")</f>
        <v>3members</v>
      </c>
      <c r="M520">
        <v>3</v>
      </c>
    </row>
    <row r="521" spans="1:13">
      <c r="A521">
        <v>520</v>
      </c>
      <c r="B521" t="s">
        <v>11</v>
      </c>
      <c r="C521">
        <v>53</v>
      </c>
      <c r="D521" t="str" cm="1">
        <f t="array" ref="D521">_xlfn.IFS(Table2[[#This Row],[Age]]&lt;=11,"Gen A",Table2[[#This Row],[Age]]&lt;=27,"Gen Z",Table2[[#This Row],[Age]]&lt;=43,"Millenials",Table2[[#This Row],[Age]]&lt;=59,"Gen X",Table2[[#This Row],[Age]]&lt;=78,"Baby Boomers",Table2[[#This Row],[Age]]&lt;=96,"Silent",Table2[[#This Row],[Age]]&gt;=97,"Greatest")</f>
        <v>Gen X</v>
      </c>
      <c r="E521" s="1">
        <v>140107</v>
      </c>
      <c r="F521">
        <v>38</v>
      </c>
      <c r="G521" t="str" cm="1">
        <f t="array" ref="G521">_xlfn.IFS(Table2[[#This Row],[Spending Score (1-100)]]&lt;=25,"Low",Table2[[#This Row],[Spending Score (1-100)]]&lt;=50,"Medium",Table2[[#This Row],[Spending Score (1-100)]]&lt;=75,"High",Table2[[#This Row],[Spending Score (1-100)]]&lt;=100,"Very High")</f>
        <v>Medium</v>
      </c>
      <c r="H521" t="s">
        <v>9</v>
      </c>
      <c r="I521">
        <v>1</v>
      </c>
      <c r="J521" t="str">
        <f>CONCATENATE(Table2[[#This Row],[Work Experience]],"years")</f>
        <v>1years</v>
      </c>
      <c r="K521" t="str">
        <f>CONCATENATE(Table2[[#This Row],[Family Size2]],"members")</f>
        <v>5members</v>
      </c>
      <c r="L521" t="str">
        <f>CONCATENATE(Table2[[#This Row],[Family Size2]],"members")</f>
        <v>5members</v>
      </c>
      <c r="M521">
        <v>5</v>
      </c>
    </row>
    <row r="522" spans="1:13">
      <c r="A522">
        <v>521</v>
      </c>
      <c r="B522" t="s">
        <v>11</v>
      </c>
      <c r="C522">
        <v>41</v>
      </c>
      <c r="D522" t="str" cm="1">
        <f t="array" ref="D522">_xlfn.IFS(Table2[[#This Row],[Age]]&lt;=11,"Gen A",Table2[[#This Row],[Age]]&lt;=27,"Gen Z",Table2[[#This Row],[Age]]&lt;=43,"Millenials",Table2[[#This Row],[Age]]&lt;=59,"Gen X",Table2[[#This Row],[Age]]&lt;=78,"Baby Boomers",Table2[[#This Row],[Age]]&lt;=96,"Silent",Table2[[#This Row],[Age]]&gt;=97,"Greatest")</f>
        <v>Millenials</v>
      </c>
      <c r="E522" s="1">
        <v>161896</v>
      </c>
      <c r="F522">
        <v>49</v>
      </c>
      <c r="G522" t="str" cm="1">
        <f t="array" ref="G522">_xlfn.IFS(Table2[[#This Row],[Spending Score (1-100)]]&lt;=25,"Low",Table2[[#This Row],[Spending Score (1-100)]]&lt;=50,"Medium",Table2[[#This Row],[Spending Score (1-100)]]&lt;=75,"High",Table2[[#This Row],[Spending Score (1-100)]]&lt;=100,"Very High")</f>
        <v>Medium</v>
      </c>
      <c r="H522" t="s">
        <v>13</v>
      </c>
      <c r="I522">
        <v>1</v>
      </c>
      <c r="J522" t="str">
        <f>CONCATENATE(Table2[[#This Row],[Work Experience]],"years")</f>
        <v>1years</v>
      </c>
      <c r="K522" t="str">
        <f>CONCATENATE(Table2[[#This Row],[Family Size2]],"members")</f>
        <v>3members</v>
      </c>
      <c r="L522" t="str">
        <f>CONCATENATE(Table2[[#This Row],[Family Size2]],"members")</f>
        <v>3members</v>
      </c>
      <c r="M522">
        <v>3</v>
      </c>
    </row>
    <row r="523" spans="1:13">
      <c r="A523">
        <v>522</v>
      </c>
      <c r="B523" t="s">
        <v>11</v>
      </c>
      <c r="C523">
        <v>9</v>
      </c>
      <c r="D523" t="str" cm="1">
        <f t="array" ref="D523">_xlfn.IFS(Table2[[#This Row],[Age]]&lt;=11,"Gen A",Table2[[#This Row],[Age]]&lt;=27,"Gen Z",Table2[[#This Row],[Age]]&lt;=43,"Millenials",Table2[[#This Row],[Age]]&lt;=59,"Gen X",Table2[[#This Row],[Age]]&lt;=78,"Baby Boomers",Table2[[#This Row],[Age]]&lt;=96,"Silent",Table2[[#This Row],[Age]]&gt;=97,"Greatest")</f>
        <v>Gen A</v>
      </c>
      <c r="E523" s="1">
        <v>57272</v>
      </c>
      <c r="F523">
        <v>60</v>
      </c>
      <c r="G523" t="str" cm="1">
        <f t="array" ref="G523">_xlfn.IFS(Table2[[#This Row],[Spending Score (1-100)]]&lt;=25,"Low",Table2[[#This Row],[Spending Score (1-100)]]&lt;=50,"Medium",Table2[[#This Row],[Spending Score (1-100)]]&lt;=75,"High",Table2[[#This Row],[Spending Score (1-100)]]&lt;=100,"Very High")</f>
        <v>High</v>
      </c>
      <c r="H523" t="s">
        <v>10</v>
      </c>
      <c r="I523">
        <v>1</v>
      </c>
      <c r="J523" t="str">
        <f>CONCATENATE(Table2[[#This Row],[Work Experience]],"years")</f>
        <v>1years</v>
      </c>
      <c r="K523" t="str">
        <f>CONCATENATE(Table2[[#This Row],[Family Size2]],"members")</f>
        <v>1members</v>
      </c>
      <c r="L523" t="str">
        <f>CONCATENATE(Table2[[#This Row],[Family Size2]],"members")</f>
        <v>1members</v>
      </c>
      <c r="M523">
        <v>1</v>
      </c>
    </row>
    <row r="524" spans="1:13">
      <c r="A524">
        <v>523</v>
      </c>
      <c r="B524" t="s">
        <v>8</v>
      </c>
      <c r="C524">
        <v>20</v>
      </c>
      <c r="D524" t="str" cm="1">
        <f t="array" ref="D524">_xlfn.IFS(Table2[[#This Row],[Age]]&lt;=11,"Gen A",Table2[[#This Row],[Age]]&lt;=27,"Gen Z",Table2[[#This Row],[Age]]&lt;=43,"Millenials",Table2[[#This Row],[Age]]&lt;=59,"Gen X",Table2[[#This Row],[Age]]&lt;=78,"Baby Boomers",Table2[[#This Row],[Age]]&lt;=96,"Silent",Table2[[#This Row],[Age]]&gt;=97,"Greatest")</f>
        <v>Gen Z</v>
      </c>
      <c r="E524" s="1">
        <v>119952</v>
      </c>
      <c r="F524">
        <v>2</v>
      </c>
      <c r="G524" t="str" cm="1">
        <f t="array" ref="G524">_xlfn.IFS(Table2[[#This Row],[Spending Score (1-100)]]&lt;=25,"Low",Table2[[#This Row],[Spending Score (1-100)]]&lt;=50,"Medium",Table2[[#This Row],[Spending Score (1-100)]]&lt;=75,"High",Table2[[#This Row],[Spending Score (1-100)]]&lt;=100,"Very High")</f>
        <v>Low</v>
      </c>
      <c r="H524" t="s">
        <v>9</v>
      </c>
      <c r="I524">
        <v>8</v>
      </c>
      <c r="J524" t="str">
        <f>CONCATENATE(Table2[[#This Row],[Work Experience]],"years")</f>
        <v>8years</v>
      </c>
      <c r="K524" t="str">
        <f>CONCATENATE(Table2[[#This Row],[Family Size2]],"members")</f>
        <v>2members</v>
      </c>
      <c r="L524" t="str">
        <f>CONCATENATE(Table2[[#This Row],[Family Size2]],"members")</f>
        <v>2members</v>
      </c>
      <c r="M524">
        <v>2</v>
      </c>
    </row>
    <row r="525" spans="1:13">
      <c r="A525">
        <v>524</v>
      </c>
      <c r="B525" t="s">
        <v>11</v>
      </c>
      <c r="C525">
        <v>98</v>
      </c>
      <c r="D525" t="str" cm="1">
        <f t="array" ref="D525">_xlfn.IFS(Table2[[#This Row],[Age]]&lt;=11,"Gen A",Table2[[#This Row],[Age]]&lt;=27,"Gen Z",Table2[[#This Row],[Age]]&lt;=43,"Millenials",Table2[[#This Row],[Age]]&lt;=59,"Gen X",Table2[[#This Row],[Age]]&lt;=78,"Baby Boomers",Table2[[#This Row],[Age]]&lt;=96,"Silent",Table2[[#This Row],[Age]]&gt;=97,"Greatest")</f>
        <v>Greatest</v>
      </c>
      <c r="E525" s="1">
        <v>167197</v>
      </c>
      <c r="F525">
        <v>63</v>
      </c>
      <c r="G525" t="str" cm="1">
        <f t="array" ref="G525">_xlfn.IFS(Table2[[#This Row],[Spending Score (1-100)]]&lt;=25,"Low",Table2[[#This Row],[Spending Score (1-100)]]&lt;=50,"Medium",Table2[[#This Row],[Spending Score (1-100)]]&lt;=75,"High",Table2[[#This Row],[Spending Score (1-100)]]&lt;=100,"Very High")</f>
        <v>High</v>
      </c>
      <c r="H525" t="s">
        <v>16</v>
      </c>
      <c r="I525">
        <v>1</v>
      </c>
      <c r="J525" t="str">
        <f>CONCATENATE(Table2[[#This Row],[Work Experience]],"years")</f>
        <v>1years</v>
      </c>
      <c r="K525" t="str">
        <f>CONCATENATE(Table2[[#This Row],[Family Size2]],"members")</f>
        <v>5members</v>
      </c>
      <c r="L525" t="str">
        <f>CONCATENATE(Table2[[#This Row],[Family Size2]],"members")</f>
        <v>5members</v>
      </c>
      <c r="M525">
        <v>5</v>
      </c>
    </row>
    <row r="526" spans="1:13">
      <c r="A526">
        <v>525</v>
      </c>
      <c r="B526" t="s">
        <v>11</v>
      </c>
      <c r="C526">
        <v>44</v>
      </c>
      <c r="D526" t="str" cm="1">
        <f t="array" ref="D526">_xlfn.IFS(Table2[[#This Row],[Age]]&lt;=11,"Gen A",Table2[[#This Row],[Age]]&lt;=27,"Gen Z",Table2[[#This Row],[Age]]&lt;=43,"Millenials",Table2[[#This Row],[Age]]&lt;=59,"Gen X",Table2[[#This Row],[Age]]&lt;=78,"Baby Boomers",Table2[[#This Row],[Age]]&lt;=96,"Silent",Table2[[#This Row],[Age]]&gt;=97,"Greatest")</f>
        <v>Gen X</v>
      </c>
      <c r="E526" s="1">
        <v>186116</v>
      </c>
      <c r="F526">
        <v>2</v>
      </c>
      <c r="G526" t="str" cm="1">
        <f t="array" ref="G526">_xlfn.IFS(Table2[[#This Row],[Spending Score (1-100)]]&lt;=25,"Low",Table2[[#This Row],[Spending Score (1-100)]]&lt;=50,"Medium",Table2[[#This Row],[Spending Score (1-100)]]&lt;=75,"High",Table2[[#This Row],[Spending Score (1-100)]]&lt;=100,"Very High")</f>
        <v>Low</v>
      </c>
      <c r="H526" t="s">
        <v>9</v>
      </c>
      <c r="I526">
        <v>8</v>
      </c>
      <c r="J526" t="str">
        <f>CONCATENATE(Table2[[#This Row],[Work Experience]],"years")</f>
        <v>8years</v>
      </c>
      <c r="K526" t="str">
        <f>CONCATENATE(Table2[[#This Row],[Family Size2]],"members")</f>
        <v>6members</v>
      </c>
      <c r="L526" t="str">
        <f>CONCATENATE(Table2[[#This Row],[Family Size2]],"members")</f>
        <v>6members</v>
      </c>
      <c r="M526">
        <v>6</v>
      </c>
    </row>
    <row r="527" spans="1:13">
      <c r="A527">
        <v>526</v>
      </c>
      <c r="B527" t="s">
        <v>11</v>
      </c>
      <c r="C527">
        <v>66</v>
      </c>
      <c r="D527" t="str" cm="1">
        <f t="array" ref="D527">_xlfn.IFS(Table2[[#This Row],[Age]]&lt;=11,"Gen A",Table2[[#This Row],[Age]]&lt;=27,"Gen Z",Table2[[#This Row],[Age]]&lt;=43,"Millenials",Table2[[#This Row],[Age]]&lt;=59,"Gen X",Table2[[#This Row],[Age]]&lt;=78,"Baby Boomers",Table2[[#This Row],[Age]]&lt;=96,"Silent",Table2[[#This Row],[Age]]&gt;=97,"Greatest")</f>
        <v>Baby Boomers</v>
      </c>
      <c r="E527" s="1">
        <v>134677</v>
      </c>
      <c r="F527">
        <v>59</v>
      </c>
      <c r="G527" t="str" cm="1">
        <f t="array" ref="G527">_xlfn.IFS(Table2[[#This Row],[Spending Score (1-100)]]&lt;=25,"Low",Table2[[#This Row],[Spending Score (1-100)]]&lt;=50,"Medium",Table2[[#This Row],[Spending Score (1-100)]]&lt;=75,"High",Table2[[#This Row],[Spending Score (1-100)]]&lt;=100,"Very High")</f>
        <v>High</v>
      </c>
      <c r="H527" t="s">
        <v>9</v>
      </c>
      <c r="I527">
        <v>15</v>
      </c>
      <c r="J527" t="str">
        <f>CONCATENATE(Table2[[#This Row],[Work Experience]],"years")</f>
        <v>15years</v>
      </c>
      <c r="K527" t="str">
        <f>CONCATENATE(Table2[[#This Row],[Family Size2]],"members")</f>
        <v>5members</v>
      </c>
      <c r="L527" t="str">
        <f>CONCATENATE(Table2[[#This Row],[Family Size2]],"members")</f>
        <v>5members</v>
      </c>
      <c r="M527">
        <v>5</v>
      </c>
    </row>
    <row r="528" spans="1:13">
      <c r="A528">
        <v>527</v>
      </c>
      <c r="B528" t="s">
        <v>11</v>
      </c>
      <c r="C528">
        <v>58</v>
      </c>
      <c r="D528" t="str" cm="1">
        <f t="array" ref="D528">_xlfn.IFS(Table2[[#This Row],[Age]]&lt;=11,"Gen A",Table2[[#This Row],[Age]]&lt;=27,"Gen Z",Table2[[#This Row],[Age]]&lt;=43,"Millenials",Table2[[#This Row],[Age]]&lt;=59,"Gen X",Table2[[#This Row],[Age]]&lt;=78,"Baby Boomers",Table2[[#This Row],[Age]]&lt;=96,"Silent",Table2[[#This Row],[Age]]&gt;=97,"Greatest")</f>
        <v>Gen X</v>
      </c>
      <c r="E528" s="1">
        <v>180479</v>
      </c>
      <c r="F528">
        <v>74</v>
      </c>
      <c r="G528" t="str" cm="1">
        <f t="array" ref="G528">_xlfn.IFS(Table2[[#This Row],[Spending Score (1-100)]]&lt;=25,"Low",Table2[[#This Row],[Spending Score (1-100)]]&lt;=50,"Medium",Table2[[#This Row],[Spending Score (1-100)]]&lt;=75,"High",Table2[[#This Row],[Spending Score (1-100)]]&lt;=100,"Very High")</f>
        <v>High</v>
      </c>
      <c r="H528" t="s">
        <v>9</v>
      </c>
      <c r="I528">
        <v>0</v>
      </c>
      <c r="J528" t="str">
        <f>CONCATENATE(Table2[[#This Row],[Work Experience]],"years")</f>
        <v>0years</v>
      </c>
      <c r="K528" t="str">
        <f>CONCATENATE(Table2[[#This Row],[Family Size2]],"members")</f>
        <v>3members</v>
      </c>
      <c r="L528" t="str">
        <f>CONCATENATE(Table2[[#This Row],[Family Size2]],"members")</f>
        <v>3members</v>
      </c>
      <c r="M528">
        <v>3</v>
      </c>
    </row>
    <row r="529" spans="1:13">
      <c r="A529">
        <v>528</v>
      </c>
      <c r="B529" t="s">
        <v>8</v>
      </c>
      <c r="C529">
        <v>97</v>
      </c>
      <c r="D529" t="str" cm="1">
        <f t="array" ref="D529">_xlfn.IFS(Table2[[#This Row],[Age]]&lt;=11,"Gen A",Table2[[#This Row],[Age]]&lt;=27,"Gen Z",Table2[[#This Row],[Age]]&lt;=43,"Millenials",Table2[[#This Row],[Age]]&lt;=59,"Gen X",Table2[[#This Row],[Age]]&lt;=78,"Baby Boomers",Table2[[#This Row],[Age]]&lt;=96,"Silent",Table2[[#This Row],[Age]]&gt;=97,"Greatest")</f>
        <v>Greatest</v>
      </c>
      <c r="E529" s="1">
        <v>112783</v>
      </c>
      <c r="F529">
        <v>21</v>
      </c>
      <c r="G529" t="str" cm="1">
        <f t="array" ref="G529">_xlfn.IFS(Table2[[#This Row],[Spending Score (1-100)]]&lt;=25,"Low",Table2[[#This Row],[Spending Score (1-100)]]&lt;=50,"Medium",Table2[[#This Row],[Spending Score (1-100)]]&lt;=75,"High",Table2[[#This Row],[Spending Score (1-100)]]&lt;=100,"Very High")</f>
        <v>Low</v>
      </c>
      <c r="H529" t="s">
        <v>14</v>
      </c>
      <c r="I529">
        <v>9</v>
      </c>
      <c r="J529" t="str">
        <f>CONCATENATE(Table2[[#This Row],[Work Experience]],"years")</f>
        <v>9years</v>
      </c>
      <c r="K529" t="str">
        <f>CONCATENATE(Table2[[#This Row],[Family Size2]],"members")</f>
        <v>6members</v>
      </c>
      <c r="L529" t="str">
        <f>CONCATENATE(Table2[[#This Row],[Family Size2]],"members")</f>
        <v>6members</v>
      </c>
      <c r="M529">
        <v>6</v>
      </c>
    </row>
    <row r="530" spans="1:13">
      <c r="A530">
        <v>529</v>
      </c>
      <c r="B530" t="s">
        <v>8</v>
      </c>
      <c r="C530">
        <v>13</v>
      </c>
      <c r="D530" t="str" cm="1">
        <f t="array" ref="D530">_xlfn.IFS(Table2[[#This Row],[Age]]&lt;=11,"Gen A",Table2[[#This Row],[Age]]&lt;=27,"Gen Z",Table2[[#This Row],[Age]]&lt;=43,"Millenials",Table2[[#This Row],[Age]]&lt;=59,"Gen X",Table2[[#This Row],[Age]]&lt;=78,"Baby Boomers",Table2[[#This Row],[Age]]&lt;=96,"Silent",Table2[[#This Row],[Age]]&gt;=97,"Greatest")</f>
        <v>Gen Z</v>
      </c>
      <c r="E530" s="1">
        <v>150258</v>
      </c>
      <c r="F530">
        <v>17</v>
      </c>
      <c r="G530" t="str" cm="1">
        <f t="array" ref="G530">_xlfn.IFS(Table2[[#This Row],[Spending Score (1-100)]]&lt;=25,"Low",Table2[[#This Row],[Spending Score (1-100)]]&lt;=50,"Medium",Table2[[#This Row],[Spending Score (1-100)]]&lt;=75,"High",Table2[[#This Row],[Spending Score (1-100)]]&lt;=100,"Very High")</f>
        <v>Low</v>
      </c>
      <c r="H530" t="s">
        <v>16</v>
      </c>
      <c r="I530">
        <v>0</v>
      </c>
      <c r="J530" t="str">
        <f>CONCATENATE(Table2[[#This Row],[Work Experience]],"years")</f>
        <v>0years</v>
      </c>
      <c r="K530" t="str">
        <f>CONCATENATE(Table2[[#This Row],[Family Size2]],"members")</f>
        <v>3members</v>
      </c>
      <c r="L530" t="str">
        <f>CONCATENATE(Table2[[#This Row],[Family Size2]],"members")</f>
        <v>3members</v>
      </c>
      <c r="M530">
        <v>3</v>
      </c>
    </row>
    <row r="531" spans="1:13">
      <c r="A531">
        <v>530</v>
      </c>
      <c r="B531" t="s">
        <v>8</v>
      </c>
      <c r="C531">
        <v>48</v>
      </c>
      <c r="D531" t="str" cm="1">
        <f t="array" ref="D531">_xlfn.IFS(Table2[[#This Row],[Age]]&lt;=11,"Gen A",Table2[[#This Row],[Age]]&lt;=27,"Gen Z",Table2[[#This Row],[Age]]&lt;=43,"Millenials",Table2[[#This Row],[Age]]&lt;=59,"Gen X",Table2[[#This Row],[Age]]&lt;=78,"Baby Boomers",Table2[[#This Row],[Age]]&lt;=96,"Silent",Table2[[#This Row],[Age]]&gt;=97,"Greatest")</f>
        <v>Gen X</v>
      </c>
      <c r="E531" s="1">
        <v>115832</v>
      </c>
      <c r="F531">
        <v>92</v>
      </c>
      <c r="G531" t="str" cm="1">
        <f t="array" ref="G531">_xlfn.IFS(Table2[[#This Row],[Spending Score (1-100)]]&lt;=25,"Low",Table2[[#This Row],[Spending Score (1-100)]]&lt;=50,"Medium",Table2[[#This Row],[Spending Score (1-100)]]&lt;=75,"High",Table2[[#This Row],[Spending Score (1-100)]]&lt;=100,"Very High")</f>
        <v>Very High</v>
      </c>
      <c r="H531" t="s">
        <v>14</v>
      </c>
      <c r="I531">
        <v>2</v>
      </c>
      <c r="J531" t="str">
        <f>CONCATENATE(Table2[[#This Row],[Work Experience]],"years")</f>
        <v>2years</v>
      </c>
      <c r="K531" t="str">
        <f>CONCATENATE(Table2[[#This Row],[Family Size2]],"members")</f>
        <v>2members</v>
      </c>
      <c r="L531" t="str">
        <f>CONCATENATE(Table2[[#This Row],[Family Size2]],"members")</f>
        <v>2members</v>
      </c>
      <c r="M531">
        <v>2</v>
      </c>
    </row>
    <row r="532" spans="1:13">
      <c r="A532">
        <v>531</v>
      </c>
      <c r="B532" t="s">
        <v>11</v>
      </c>
      <c r="C532">
        <v>47</v>
      </c>
      <c r="D532" t="str" cm="1">
        <f t="array" ref="D532">_xlfn.IFS(Table2[[#This Row],[Age]]&lt;=11,"Gen A",Table2[[#This Row],[Age]]&lt;=27,"Gen Z",Table2[[#This Row],[Age]]&lt;=43,"Millenials",Table2[[#This Row],[Age]]&lt;=59,"Gen X",Table2[[#This Row],[Age]]&lt;=78,"Baby Boomers",Table2[[#This Row],[Age]]&lt;=96,"Silent",Table2[[#This Row],[Age]]&gt;=97,"Greatest")</f>
        <v>Gen X</v>
      </c>
      <c r="E532" s="1">
        <v>104834</v>
      </c>
      <c r="F532">
        <v>44</v>
      </c>
      <c r="G532" t="str" cm="1">
        <f t="array" ref="G532">_xlfn.IFS(Table2[[#This Row],[Spending Score (1-100)]]&lt;=25,"Low",Table2[[#This Row],[Spending Score (1-100)]]&lt;=50,"Medium",Table2[[#This Row],[Spending Score (1-100)]]&lt;=75,"High",Table2[[#This Row],[Spending Score (1-100)]]&lt;=100,"Very High")</f>
        <v>Medium</v>
      </c>
      <c r="H532" t="s">
        <v>14</v>
      </c>
      <c r="I532">
        <v>0</v>
      </c>
      <c r="J532" t="str">
        <f>CONCATENATE(Table2[[#This Row],[Work Experience]],"years")</f>
        <v>0years</v>
      </c>
      <c r="K532" t="str">
        <f>CONCATENATE(Table2[[#This Row],[Family Size2]],"members")</f>
        <v>7members</v>
      </c>
      <c r="L532" t="str">
        <f>CONCATENATE(Table2[[#This Row],[Family Size2]],"members")</f>
        <v>7members</v>
      </c>
      <c r="M532">
        <v>7</v>
      </c>
    </row>
    <row r="533" spans="1:13">
      <c r="A533">
        <v>532</v>
      </c>
      <c r="B533" t="s">
        <v>8</v>
      </c>
      <c r="C533">
        <v>93</v>
      </c>
      <c r="D533" t="str" cm="1">
        <f t="array" ref="D533">_xlfn.IFS(Table2[[#This Row],[Age]]&lt;=11,"Gen A",Table2[[#This Row],[Age]]&lt;=27,"Gen Z",Table2[[#This Row],[Age]]&lt;=43,"Millenials",Table2[[#This Row],[Age]]&lt;=59,"Gen X",Table2[[#This Row],[Age]]&lt;=78,"Baby Boomers",Table2[[#This Row],[Age]]&lt;=96,"Silent",Table2[[#This Row],[Age]]&gt;=97,"Greatest")</f>
        <v>Silent</v>
      </c>
      <c r="E533" s="1">
        <v>152571</v>
      </c>
      <c r="F533">
        <v>66</v>
      </c>
      <c r="G533" t="str" cm="1">
        <f t="array" ref="G533">_xlfn.IFS(Table2[[#This Row],[Spending Score (1-100)]]&lt;=25,"Low",Table2[[#This Row],[Spending Score (1-100)]]&lt;=50,"Medium",Table2[[#This Row],[Spending Score (1-100)]]&lt;=75,"High",Table2[[#This Row],[Spending Score (1-100)]]&lt;=100,"Very High")</f>
        <v>High</v>
      </c>
      <c r="H533" t="s">
        <v>16</v>
      </c>
      <c r="I533">
        <v>14</v>
      </c>
      <c r="J533" t="str">
        <f>CONCATENATE(Table2[[#This Row],[Work Experience]],"years")</f>
        <v>14years</v>
      </c>
      <c r="K533" t="str">
        <f>CONCATENATE(Table2[[#This Row],[Family Size2]],"members")</f>
        <v>5members</v>
      </c>
      <c r="L533" t="str">
        <f>CONCATENATE(Table2[[#This Row],[Family Size2]],"members")</f>
        <v>5members</v>
      </c>
      <c r="M533">
        <v>5</v>
      </c>
    </row>
    <row r="534" spans="1:13">
      <c r="A534">
        <v>533</v>
      </c>
      <c r="B534" t="s">
        <v>11</v>
      </c>
      <c r="C534">
        <v>11</v>
      </c>
      <c r="D534" t="str" cm="1">
        <f t="array" ref="D534">_xlfn.IFS(Table2[[#This Row],[Age]]&lt;=11,"Gen A",Table2[[#This Row],[Age]]&lt;=27,"Gen Z",Table2[[#This Row],[Age]]&lt;=43,"Millenials",Table2[[#This Row],[Age]]&lt;=59,"Gen X",Table2[[#This Row],[Age]]&lt;=78,"Baby Boomers",Table2[[#This Row],[Age]]&lt;=96,"Silent",Table2[[#This Row],[Age]]&gt;=97,"Greatest")</f>
        <v>Gen A</v>
      </c>
      <c r="E534" s="1">
        <v>162287</v>
      </c>
      <c r="F534">
        <v>45</v>
      </c>
      <c r="G534" t="str" cm="1">
        <f t="array" ref="G534">_xlfn.IFS(Table2[[#This Row],[Spending Score (1-100)]]&lt;=25,"Low",Table2[[#This Row],[Spending Score (1-100)]]&lt;=50,"Medium",Table2[[#This Row],[Spending Score (1-100)]]&lt;=75,"High",Table2[[#This Row],[Spending Score (1-100)]]&lt;=100,"Very High")</f>
        <v>Medium</v>
      </c>
      <c r="H534" t="s">
        <v>10</v>
      </c>
      <c r="I534">
        <v>3</v>
      </c>
      <c r="J534" t="str">
        <f>CONCATENATE(Table2[[#This Row],[Work Experience]],"years")</f>
        <v>3years</v>
      </c>
      <c r="K534" t="str">
        <f>CONCATENATE(Table2[[#This Row],[Family Size2]],"members")</f>
        <v>2members</v>
      </c>
      <c r="L534" t="str">
        <f>CONCATENATE(Table2[[#This Row],[Family Size2]],"members")</f>
        <v>2members</v>
      </c>
      <c r="M534">
        <v>2</v>
      </c>
    </row>
    <row r="535" spans="1:13">
      <c r="A535">
        <v>534</v>
      </c>
      <c r="B535" t="s">
        <v>11</v>
      </c>
      <c r="C535">
        <v>68</v>
      </c>
      <c r="D535" t="str" cm="1">
        <f t="array" ref="D535">_xlfn.IFS(Table2[[#This Row],[Age]]&lt;=11,"Gen A",Table2[[#This Row],[Age]]&lt;=27,"Gen Z",Table2[[#This Row],[Age]]&lt;=43,"Millenials",Table2[[#This Row],[Age]]&lt;=59,"Gen X",Table2[[#This Row],[Age]]&lt;=78,"Baby Boomers",Table2[[#This Row],[Age]]&lt;=96,"Silent",Table2[[#This Row],[Age]]&gt;=97,"Greatest")</f>
        <v>Baby Boomers</v>
      </c>
      <c r="E535" s="1">
        <v>171761</v>
      </c>
      <c r="F535">
        <v>59</v>
      </c>
      <c r="G535" t="str" cm="1">
        <f t="array" ref="G535">_xlfn.IFS(Table2[[#This Row],[Spending Score (1-100)]]&lt;=25,"Low",Table2[[#This Row],[Spending Score (1-100)]]&lt;=50,"Medium",Table2[[#This Row],[Spending Score (1-100)]]&lt;=75,"High",Table2[[#This Row],[Spending Score (1-100)]]&lt;=100,"Very High")</f>
        <v>High</v>
      </c>
      <c r="H535" t="s">
        <v>16</v>
      </c>
      <c r="I535">
        <v>1</v>
      </c>
      <c r="J535" t="str">
        <f>CONCATENATE(Table2[[#This Row],[Work Experience]],"years")</f>
        <v>1years</v>
      </c>
      <c r="K535" t="str">
        <f>CONCATENATE(Table2[[#This Row],[Family Size2]],"members")</f>
        <v>6members</v>
      </c>
      <c r="L535" t="str">
        <f>CONCATENATE(Table2[[#This Row],[Family Size2]],"members")</f>
        <v>6members</v>
      </c>
      <c r="M535">
        <v>6</v>
      </c>
    </row>
    <row r="536" spans="1:13">
      <c r="A536">
        <v>535</v>
      </c>
      <c r="B536" t="s">
        <v>11</v>
      </c>
      <c r="C536">
        <v>87</v>
      </c>
      <c r="D536" t="str" cm="1">
        <f t="array" ref="D536">_xlfn.IFS(Table2[[#This Row],[Age]]&lt;=11,"Gen A",Table2[[#This Row],[Age]]&lt;=27,"Gen Z",Table2[[#This Row],[Age]]&lt;=43,"Millenials",Table2[[#This Row],[Age]]&lt;=59,"Gen X",Table2[[#This Row],[Age]]&lt;=78,"Baby Boomers",Table2[[#This Row],[Age]]&lt;=96,"Silent",Table2[[#This Row],[Age]]&gt;=97,"Greatest")</f>
        <v>Silent</v>
      </c>
      <c r="E536" s="1">
        <v>77709</v>
      </c>
      <c r="F536">
        <v>73</v>
      </c>
      <c r="G536" t="str" cm="1">
        <f t="array" ref="G536">_xlfn.IFS(Table2[[#This Row],[Spending Score (1-100)]]&lt;=25,"Low",Table2[[#This Row],[Spending Score (1-100)]]&lt;=50,"Medium",Table2[[#This Row],[Spending Score (1-100)]]&lt;=75,"High",Table2[[#This Row],[Spending Score (1-100)]]&lt;=100,"Very High")</f>
        <v>High</v>
      </c>
      <c r="H536" t="s">
        <v>14</v>
      </c>
      <c r="I536">
        <v>0</v>
      </c>
      <c r="J536" t="str">
        <f>CONCATENATE(Table2[[#This Row],[Work Experience]],"years")</f>
        <v>0years</v>
      </c>
      <c r="K536" t="str">
        <f>CONCATENATE(Table2[[#This Row],[Family Size2]],"members")</f>
        <v>1members</v>
      </c>
      <c r="L536" t="str">
        <f>CONCATENATE(Table2[[#This Row],[Family Size2]],"members")</f>
        <v>1members</v>
      </c>
      <c r="M536">
        <v>1</v>
      </c>
    </row>
    <row r="537" spans="1:13">
      <c r="A537">
        <v>536</v>
      </c>
      <c r="B537" t="s">
        <v>11</v>
      </c>
      <c r="C537">
        <v>22</v>
      </c>
      <c r="D537" t="str" cm="1">
        <f t="array" ref="D537">_xlfn.IFS(Table2[[#This Row],[Age]]&lt;=11,"Gen A",Table2[[#This Row],[Age]]&lt;=27,"Gen Z",Table2[[#This Row],[Age]]&lt;=43,"Millenials",Table2[[#This Row],[Age]]&lt;=59,"Gen X",Table2[[#This Row],[Age]]&lt;=78,"Baby Boomers",Table2[[#This Row],[Age]]&lt;=96,"Silent",Table2[[#This Row],[Age]]&gt;=97,"Greatest")</f>
        <v>Gen Z</v>
      </c>
      <c r="E537" s="1">
        <v>95053</v>
      </c>
      <c r="F537">
        <v>17</v>
      </c>
      <c r="G537" t="str" cm="1">
        <f t="array" ref="G537">_xlfn.IFS(Table2[[#This Row],[Spending Score (1-100)]]&lt;=25,"Low",Table2[[#This Row],[Spending Score (1-100)]]&lt;=50,"Medium",Table2[[#This Row],[Spending Score (1-100)]]&lt;=75,"High",Table2[[#This Row],[Spending Score (1-100)]]&lt;=100,"Very High")</f>
        <v>Low</v>
      </c>
      <c r="H537" t="s">
        <v>13</v>
      </c>
      <c r="I537">
        <v>1</v>
      </c>
      <c r="J537" t="str">
        <f>CONCATENATE(Table2[[#This Row],[Work Experience]],"years")</f>
        <v>1years</v>
      </c>
      <c r="K537" t="str">
        <f>CONCATENATE(Table2[[#This Row],[Family Size2]],"members")</f>
        <v>2members</v>
      </c>
      <c r="L537" t="str">
        <f>CONCATENATE(Table2[[#This Row],[Family Size2]],"members")</f>
        <v>2members</v>
      </c>
      <c r="M537">
        <v>2</v>
      </c>
    </row>
    <row r="538" spans="1:13">
      <c r="A538">
        <v>537</v>
      </c>
      <c r="B538" t="s">
        <v>8</v>
      </c>
      <c r="C538">
        <v>89</v>
      </c>
      <c r="D538" t="str" cm="1">
        <f t="array" ref="D538">_xlfn.IFS(Table2[[#This Row],[Age]]&lt;=11,"Gen A",Table2[[#This Row],[Age]]&lt;=27,"Gen Z",Table2[[#This Row],[Age]]&lt;=43,"Millenials",Table2[[#This Row],[Age]]&lt;=59,"Gen X",Table2[[#This Row],[Age]]&lt;=78,"Baby Boomers",Table2[[#This Row],[Age]]&lt;=96,"Silent",Table2[[#This Row],[Age]]&gt;=97,"Greatest")</f>
        <v>Silent</v>
      </c>
      <c r="E538" s="1">
        <v>74820</v>
      </c>
      <c r="F538">
        <v>33</v>
      </c>
      <c r="G538" t="str" cm="1">
        <f t="array" ref="G538">_xlfn.IFS(Table2[[#This Row],[Spending Score (1-100)]]&lt;=25,"Low",Table2[[#This Row],[Spending Score (1-100)]]&lt;=50,"Medium",Table2[[#This Row],[Spending Score (1-100)]]&lt;=75,"High",Table2[[#This Row],[Spending Score (1-100)]]&lt;=100,"Very High")</f>
        <v>Medium</v>
      </c>
      <c r="H538" t="s">
        <v>16</v>
      </c>
      <c r="I538">
        <v>1</v>
      </c>
      <c r="J538" t="str">
        <f>CONCATENATE(Table2[[#This Row],[Work Experience]],"years")</f>
        <v>1years</v>
      </c>
      <c r="K538" t="str">
        <f>CONCATENATE(Table2[[#This Row],[Family Size2]],"members")</f>
        <v>2members</v>
      </c>
      <c r="L538" t="str">
        <f>CONCATENATE(Table2[[#This Row],[Family Size2]],"members")</f>
        <v>2members</v>
      </c>
      <c r="M538">
        <v>2</v>
      </c>
    </row>
    <row r="539" spans="1:13">
      <c r="A539">
        <v>538</v>
      </c>
      <c r="B539" t="s">
        <v>8</v>
      </c>
      <c r="C539">
        <v>57</v>
      </c>
      <c r="D539" t="str" cm="1">
        <f t="array" ref="D539">_xlfn.IFS(Table2[[#This Row],[Age]]&lt;=11,"Gen A",Table2[[#This Row],[Age]]&lt;=27,"Gen Z",Table2[[#This Row],[Age]]&lt;=43,"Millenials",Table2[[#This Row],[Age]]&lt;=59,"Gen X",Table2[[#This Row],[Age]]&lt;=78,"Baby Boomers",Table2[[#This Row],[Age]]&lt;=96,"Silent",Table2[[#This Row],[Age]]&gt;=97,"Greatest")</f>
        <v>Gen X</v>
      </c>
      <c r="E539" s="1">
        <v>152267</v>
      </c>
      <c r="F539">
        <v>92</v>
      </c>
      <c r="G539" t="str" cm="1">
        <f t="array" ref="G539">_xlfn.IFS(Table2[[#This Row],[Spending Score (1-100)]]&lt;=25,"Low",Table2[[#This Row],[Spending Score (1-100)]]&lt;=50,"Medium",Table2[[#This Row],[Spending Score (1-100)]]&lt;=75,"High",Table2[[#This Row],[Spending Score (1-100)]]&lt;=100,"Very High")</f>
        <v>Very High</v>
      </c>
      <c r="H539" t="s">
        <v>10</v>
      </c>
      <c r="I539">
        <v>9</v>
      </c>
      <c r="J539" t="str">
        <f>CONCATENATE(Table2[[#This Row],[Work Experience]],"years")</f>
        <v>9years</v>
      </c>
      <c r="K539" t="str">
        <f>CONCATENATE(Table2[[#This Row],[Family Size2]],"members")</f>
        <v>5members</v>
      </c>
      <c r="L539" t="str">
        <f>CONCATENATE(Table2[[#This Row],[Family Size2]],"members")</f>
        <v>5members</v>
      </c>
      <c r="M539">
        <v>5</v>
      </c>
    </row>
    <row r="540" spans="1:13">
      <c r="A540">
        <v>539</v>
      </c>
      <c r="B540" t="s">
        <v>8</v>
      </c>
      <c r="C540">
        <v>91</v>
      </c>
      <c r="D540" t="str" cm="1">
        <f t="array" ref="D540">_xlfn.IFS(Table2[[#This Row],[Age]]&lt;=11,"Gen A",Table2[[#This Row],[Age]]&lt;=27,"Gen Z",Table2[[#This Row],[Age]]&lt;=43,"Millenials",Table2[[#This Row],[Age]]&lt;=59,"Gen X",Table2[[#This Row],[Age]]&lt;=78,"Baby Boomers",Table2[[#This Row],[Age]]&lt;=96,"Silent",Table2[[#This Row],[Age]]&gt;=97,"Greatest")</f>
        <v>Silent</v>
      </c>
      <c r="E540" s="1">
        <v>71925</v>
      </c>
      <c r="F540">
        <v>14</v>
      </c>
      <c r="G540" t="str" cm="1">
        <f t="array" ref="G540">_xlfn.IFS(Table2[[#This Row],[Spending Score (1-100)]]&lt;=25,"Low",Table2[[#This Row],[Spending Score (1-100)]]&lt;=50,"Medium",Table2[[#This Row],[Spending Score (1-100)]]&lt;=75,"High",Table2[[#This Row],[Spending Score (1-100)]]&lt;=100,"Very High")</f>
        <v>Low</v>
      </c>
      <c r="H540" t="s">
        <v>14</v>
      </c>
      <c r="I540">
        <v>4</v>
      </c>
      <c r="J540" t="str">
        <f>CONCATENATE(Table2[[#This Row],[Work Experience]],"years")</f>
        <v>4years</v>
      </c>
      <c r="K540" t="str">
        <f>CONCATENATE(Table2[[#This Row],[Family Size2]],"members")</f>
        <v>2members</v>
      </c>
      <c r="L540" t="str">
        <f>CONCATENATE(Table2[[#This Row],[Family Size2]],"members")</f>
        <v>2members</v>
      </c>
      <c r="M540">
        <v>2</v>
      </c>
    </row>
    <row r="541" spans="1:13">
      <c r="A541">
        <v>540</v>
      </c>
      <c r="B541" t="s">
        <v>11</v>
      </c>
      <c r="C541">
        <v>84</v>
      </c>
      <c r="D541" t="str" cm="1">
        <f t="array" ref="D541">_xlfn.IFS(Table2[[#This Row],[Age]]&lt;=11,"Gen A",Table2[[#This Row],[Age]]&lt;=27,"Gen Z",Table2[[#This Row],[Age]]&lt;=43,"Millenials",Table2[[#This Row],[Age]]&lt;=59,"Gen X",Table2[[#This Row],[Age]]&lt;=78,"Baby Boomers",Table2[[#This Row],[Age]]&lt;=96,"Silent",Table2[[#This Row],[Age]]&gt;=97,"Greatest")</f>
        <v>Silent</v>
      </c>
      <c r="E541" s="1">
        <v>151340</v>
      </c>
      <c r="F541">
        <v>95</v>
      </c>
      <c r="G541" t="str" cm="1">
        <f t="array" ref="G541">_xlfn.IFS(Table2[[#This Row],[Spending Score (1-100)]]&lt;=25,"Low",Table2[[#This Row],[Spending Score (1-100)]]&lt;=50,"Medium",Table2[[#This Row],[Spending Score (1-100)]]&lt;=75,"High",Table2[[#This Row],[Spending Score (1-100)]]&lt;=100,"Very High")</f>
        <v>Very High</v>
      </c>
      <c r="H541" t="s">
        <v>14</v>
      </c>
      <c r="I541">
        <v>1</v>
      </c>
      <c r="J541" t="str">
        <f>CONCATENATE(Table2[[#This Row],[Work Experience]],"years")</f>
        <v>1years</v>
      </c>
      <c r="K541" t="str">
        <f>CONCATENATE(Table2[[#This Row],[Family Size2]],"members")</f>
        <v>7members</v>
      </c>
      <c r="L541" t="str">
        <f>CONCATENATE(Table2[[#This Row],[Family Size2]],"members")</f>
        <v>7members</v>
      </c>
      <c r="M541">
        <v>7</v>
      </c>
    </row>
    <row r="542" spans="1:13">
      <c r="A542">
        <v>541</v>
      </c>
      <c r="B542" t="s">
        <v>8</v>
      </c>
      <c r="C542">
        <v>56</v>
      </c>
      <c r="D542" t="str" cm="1">
        <f t="array" ref="D542">_xlfn.IFS(Table2[[#This Row],[Age]]&lt;=11,"Gen A",Table2[[#This Row],[Age]]&lt;=27,"Gen Z",Table2[[#This Row],[Age]]&lt;=43,"Millenials",Table2[[#This Row],[Age]]&lt;=59,"Gen X",Table2[[#This Row],[Age]]&lt;=78,"Baby Boomers",Table2[[#This Row],[Age]]&lt;=96,"Silent",Table2[[#This Row],[Age]]&gt;=97,"Greatest")</f>
        <v>Gen X</v>
      </c>
      <c r="E542" s="1">
        <v>162921</v>
      </c>
      <c r="F542">
        <v>51</v>
      </c>
      <c r="G542" t="str" cm="1">
        <f t="array" ref="G542">_xlfn.IFS(Table2[[#This Row],[Spending Score (1-100)]]&lt;=25,"Low",Table2[[#This Row],[Spending Score (1-100)]]&lt;=50,"Medium",Table2[[#This Row],[Spending Score (1-100)]]&lt;=75,"High",Table2[[#This Row],[Spending Score (1-100)]]&lt;=100,"Very High")</f>
        <v>High</v>
      </c>
      <c r="H542" t="s">
        <v>15</v>
      </c>
      <c r="I542">
        <v>0</v>
      </c>
      <c r="J542" t="str">
        <f>CONCATENATE(Table2[[#This Row],[Work Experience]],"years")</f>
        <v>0years</v>
      </c>
      <c r="K542" t="str">
        <f>CONCATENATE(Table2[[#This Row],[Family Size2]],"members")</f>
        <v>4members</v>
      </c>
      <c r="L542" t="str">
        <f>CONCATENATE(Table2[[#This Row],[Family Size2]],"members")</f>
        <v>4members</v>
      </c>
      <c r="M542">
        <v>4</v>
      </c>
    </row>
    <row r="543" spans="1:13">
      <c r="A543">
        <v>542</v>
      </c>
      <c r="B543" t="s">
        <v>11</v>
      </c>
      <c r="C543">
        <v>26</v>
      </c>
      <c r="D543" t="str" cm="1">
        <f t="array" ref="D543">_xlfn.IFS(Table2[[#This Row],[Age]]&lt;=11,"Gen A",Table2[[#This Row],[Age]]&lt;=27,"Gen Z",Table2[[#This Row],[Age]]&lt;=43,"Millenials",Table2[[#This Row],[Age]]&lt;=59,"Gen X",Table2[[#This Row],[Age]]&lt;=78,"Baby Boomers",Table2[[#This Row],[Age]]&lt;=96,"Silent",Table2[[#This Row],[Age]]&gt;=97,"Greatest")</f>
        <v>Gen Z</v>
      </c>
      <c r="E543" s="1">
        <v>52234</v>
      </c>
      <c r="F543">
        <v>30</v>
      </c>
      <c r="G543" t="str" cm="1">
        <f t="array" ref="G543">_xlfn.IFS(Table2[[#This Row],[Spending Score (1-100)]]&lt;=25,"Low",Table2[[#This Row],[Spending Score (1-100)]]&lt;=50,"Medium",Table2[[#This Row],[Spending Score (1-100)]]&lt;=75,"High",Table2[[#This Row],[Spending Score (1-100)]]&lt;=100,"Very High")</f>
        <v>Medium</v>
      </c>
      <c r="H543" t="s">
        <v>15</v>
      </c>
      <c r="I543">
        <v>1</v>
      </c>
      <c r="J543" t="str">
        <f>CONCATENATE(Table2[[#This Row],[Work Experience]],"years")</f>
        <v>1years</v>
      </c>
      <c r="K543" t="str">
        <f>CONCATENATE(Table2[[#This Row],[Family Size2]],"members")</f>
        <v>2members</v>
      </c>
      <c r="L543" t="str">
        <f>CONCATENATE(Table2[[#This Row],[Family Size2]],"members")</f>
        <v>2members</v>
      </c>
      <c r="M543">
        <v>2</v>
      </c>
    </row>
    <row r="544" spans="1:13">
      <c r="A544">
        <v>543</v>
      </c>
      <c r="B544" t="s">
        <v>11</v>
      </c>
      <c r="C544">
        <v>56</v>
      </c>
      <c r="D544" t="str" cm="1">
        <f t="array" ref="D544">_xlfn.IFS(Table2[[#This Row],[Age]]&lt;=11,"Gen A",Table2[[#This Row],[Age]]&lt;=27,"Gen Z",Table2[[#This Row],[Age]]&lt;=43,"Millenials",Table2[[#This Row],[Age]]&lt;=59,"Gen X",Table2[[#This Row],[Age]]&lt;=78,"Baby Boomers",Table2[[#This Row],[Age]]&lt;=96,"Silent",Table2[[#This Row],[Age]]&gt;=97,"Greatest")</f>
        <v>Gen X</v>
      </c>
      <c r="E544" s="1">
        <v>100271</v>
      </c>
      <c r="F544">
        <v>87</v>
      </c>
      <c r="G544" t="str" cm="1">
        <f t="array" ref="G544">_xlfn.IFS(Table2[[#This Row],[Spending Score (1-100)]]&lt;=25,"Low",Table2[[#This Row],[Spending Score (1-100)]]&lt;=50,"Medium",Table2[[#This Row],[Spending Score (1-100)]]&lt;=75,"High",Table2[[#This Row],[Spending Score (1-100)]]&lt;=100,"Very High")</f>
        <v>Very High</v>
      </c>
      <c r="H544" t="s">
        <v>14</v>
      </c>
      <c r="I544">
        <v>1</v>
      </c>
      <c r="J544" t="str">
        <f>CONCATENATE(Table2[[#This Row],[Work Experience]],"years")</f>
        <v>1years</v>
      </c>
      <c r="K544" t="str">
        <f>CONCATENATE(Table2[[#This Row],[Family Size2]],"members")</f>
        <v>5members</v>
      </c>
      <c r="L544" t="str">
        <f>CONCATENATE(Table2[[#This Row],[Family Size2]],"members")</f>
        <v>5members</v>
      </c>
      <c r="M544">
        <v>5</v>
      </c>
    </row>
    <row r="545" spans="1:13">
      <c r="A545">
        <v>544</v>
      </c>
      <c r="B545" t="s">
        <v>11</v>
      </c>
      <c r="C545">
        <v>6</v>
      </c>
      <c r="D545" t="str" cm="1">
        <f t="array" ref="D545">_xlfn.IFS(Table2[[#This Row],[Age]]&lt;=11,"Gen A",Table2[[#This Row],[Age]]&lt;=27,"Gen Z",Table2[[#This Row],[Age]]&lt;=43,"Millenials",Table2[[#This Row],[Age]]&lt;=59,"Gen X",Table2[[#This Row],[Age]]&lt;=78,"Baby Boomers",Table2[[#This Row],[Age]]&lt;=96,"Silent",Table2[[#This Row],[Age]]&gt;=97,"Greatest")</f>
        <v>Gen A</v>
      </c>
      <c r="E545" s="1">
        <v>170266</v>
      </c>
      <c r="F545">
        <v>23</v>
      </c>
      <c r="G545" t="str" cm="1">
        <f t="array" ref="G545">_xlfn.IFS(Table2[[#This Row],[Spending Score (1-100)]]&lt;=25,"Low",Table2[[#This Row],[Spending Score (1-100)]]&lt;=50,"Medium",Table2[[#This Row],[Spending Score (1-100)]]&lt;=75,"High",Table2[[#This Row],[Spending Score (1-100)]]&lt;=100,"Very High")</f>
        <v>Low</v>
      </c>
      <c r="H545" t="s">
        <v>14</v>
      </c>
      <c r="I545">
        <v>3</v>
      </c>
      <c r="J545" t="str">
        <f>CONCATENATE(Table2[[#This Row],[Work Experience]],"years")</f>
        <v>3years</v>
      </c>
      <c r="K545" t="str">
        <f>CONCATENATE(Table2[[#This Row],[Family Size2]],"members")</f>
        <v>2members</v>
      </c>
      <c r="L545" t="str">
        <f>CONCATENATE(Table2[[#This Row],[Family Size2]],"members")</f>
        <v>2members</v>
      </c>
      <c r="M545">
        <v>2</v>
      </c>
    </row>
    <row r="546" spans="1:13">
      <c r="A546">
        <v>545</v>
      </c>
      <c r="B546" t="s">
        <v>11</v>
      </c>
      <c r="C546">
        <v>33</v>
      </c>
      <c r="D546" t="str" cm="1">
        <f t="array" ref="D546">_xlfn.IFS(Table2[[#This Row],[Age]]&lt;=11,"Gen A",Table2[[#This Row],[Age]]&lt;=27,"Gen Z",Table2[[#This Row],[Age]]&lt;=43,"Millenials",Table2[[#This Row],[Age]]&lt;=59,"Gen X",Table2[[#This Row],[Age]]&lt;=78,"Baby Boomers",Table2[[#This Row],[Age]]&lt;=96,"Silent",Table2[[#This Row],[Age]]&gt;=97,"Greatest")</f>
        <v>Millenials</v>
      </c>
      <c r="E546" s="1">
        <v>88763</v>
      </c>
      <c r="F546">
        <v>1</v>
      </c>
      <c r="G546" t="str" cm="1">
        <f t="array" ref="G546">_xlfn.IFS(Table2[[#This Row],[Spending Score (1-100)]]&lt;=25,"Low",Table2[[#This Row],[Spending Score (1-100)]]&lt;=50,"Medium",Table2[[#This Row],[Spending Score (1-100)]]&lt;=75,"High",Table2[[#This Row],[Spending Score (1-100)]]&lt;=100,"Very High")</f>
        <v>Low</v>
      </c>
      <c r="H546" t="s">
        <v>13</v>
      </c>
      <c r="I546">
        <v>1</v>
      </c>
      <c r="J546" t="str">
        <f>CONCATENATE(Table2[[#This Row],[Work Experience]],"years")</f>
        <v>1years</v>
      </c>
      <c r="K546" t="str">
        <f>CONCATENATE(Table2[[#This Row],[Family Size2]],"members")</f>
        <v>1members</v>
      </c>
      <c r="L546" t="str">
        <f>CONCATENATE(Table2[[#This Row],[Family Size2]],"members")</f>
        <v>1members</v>
      </c>
      <c r="M546">
        <v>1</v>
      </c>
    </row>
    <row r="547" spans="1:13">
      <c r="A547">
        <v>546</v>
      </c>
      <c r="B547" t="s">
        <v>11</v>
      </c>
      <c r="C547">
        <v>89</v>
      </c>
      <c r="D547" t="str" cm="1">
        <f t="array" ref="D547">_xlfn.IFS(Table2[[#This Row],[Age]]&lt;=11,"Gen A",Table2[[#This Row],[Age]]&lt;=27,"Gen Z",Table2[[#This Row],[Age]]&lt;=43,"Millenials",Table2[[#This Row],[Age]]&lt;=59,"Gen X",Table2[[#This Row],[Age]]&lt;=78,"Baby Boomers",Table2[[#This Row],[Age]]&lt;=96,"Silent",Table2[[#This Row],[Age]]&gt;=97,"Greatest")</f>
        <v>Silent</v>
      </c>
      <c r="E547" s="1">
        <v>107359</v>
      </c>
      <c r="F547">
        <v>26</v>
      </c>
      <c r="G547" t="str" cm="1">
        <f t="array" ref="G547">_xlfn.IFS(Table2[[#This Row],[Spending Score (1-100)]]&lt;=25,"Low",Table2[[#This Row],[Spending Score (1-100)]]&lt;=50,"Medium",Table2[[#This Row],[Spending Score (1-100)]]&lt;=75,"High",Table2[[#This Row],[Spending Score (1-100)]]&lt;=100,"Very High")</f>
        <v>Medium</v>
      </c>
      <c r="H547" t="s">
        <v>19</v>
      </c>
      <c r="I547">
        <v>10</v>
      </c>
      <c r="J547" t="str">
        <f>CONCATENATE(Table2[[#This Row],[Work Experience]],"years")</f>
        <v>10years</v>
      </c>
      <c r="K547" t="str">
        <f>CONCATENATE(Table2[[#This Row],[Family Size2]],"members")</f>
        <v>6members</v>
      </c>
      <c r="L547" t="str">
        <f>CONCATENATE(Table2[[#This Row],[Family Size2]],"members")</f>
        <v>6members</v>
      </c>
      <c r="M547">
        <v>6</v>
      </c>
    </row>
    <row r="548" spans="1:13">
      <c r="A548">
        <v>547</v>
      </c>
      <c r="B548" t="s">
        <v>8</v>
      </c>
      <c r="C548">
        <v>99</v>
      </c>
      <c r="D548" t="str" cm="1">
        <f t="array" ref="D548">_xlfn.IFS(Table2[[#This Row],[Age]]&lt;=11,"Gen A",Table2[[#This Row],[Age]]&lt;=27,"Gen Z",Table2[[#This Row],[Age]]&lt;=43,"Millenials",Table2[[#This Row],[Age]]&lt;=59,"Gen X",Table2[[#This Row],[Age]]&lt;=78,"Baby Boomers",Table2[[#This Row],[Age]]&lt;=96,"Silent",Table2[[#This Row],[Age]]&gt;=97,"Greatest")</f>
        <v>Greatest</v>
      </c>
      <c r="E548" s="1">
        <v>164781</v>
      </c>
      <c r="F548">
        <v>83</v>
      </c>
      <c r="G548" t="str" cm="1">
        <f t="array" ref="G548">_xlfn.IFS(Table2[[#This Row],[Spending Score (1-100)]]&lt;=25,"Low",Table2[[#This Row],[Spending Score (1-100)]]&lt;=50,"Medium",Table2[[#This Row],[Spending Score (1-100)]]&lt;=75,"High",Table2[[#This Row],[Spending Score (1-100)]]&lt;=100,"Very High")</f>
        <v>Very High</v>
      </c>
      <c r="H548" t="s">
        <v>10</v>
      </c>
      <c r="I548">
        <v>0</v>
      </c>
      <c r="J548" t="str">
        <f>CONCATENATE(Table2[[#This Row],[Work Experience]],"years")</f>
        <v>0years</v>
      </c>
      <c r="K548" t="str">
        <f>CONCATENATE(Table2[[#This Row],[Family Size2]],"members")</f>
        <v>2members</v>
      </c>
      <c r="L548" t="str">
        <f>CONCATENATE(Table2[[#This Row],[Family Size2]],"members")</f>
        <v>2members</v>
      </c>
      <c r="M548">
        <v>2</v>
      </c>
    </row>
    <row r="549" spans="1:13">
      <c r="A549">
        <v>548</v>
      </c>
      <c r="B549" t="s">
        <v>11</v>
      </c>
      <c r="C549">
        <v>25</v>
      </c>
      <c r="D549" t="str" cm="1">
        <f t="array" ref="D549">_xlfn.IFS(Table2[[#This Row],[Age]]&lt;=11,"Gen A",Table2[[#This Row],[Age]]&lt;=27,"Gen Z",Table2[[#This Row],[Age]]&lt;=43,"Millenials",Table2[[#This Row],[Age]]&lt;=59,"Gen X",Table2[[#This Row],[Age]]&lt;=78,"Baby Boomers",Table2[[#This Row],[Age]]&lt;=96,"Silent",Table2[[#This Row],[Age]]&gt;=97,"Greatest")</f>
        <v>Gen Z</v>
      </c>
      <c r="E549" s="1">
        <v>156016</v>
      </c>
      <c r="F549">
        <v>85</v>
      </c>
      <c r="G549" t="str" cm="1">
        <f t="array" ref="G549">_xlfn.IFS(Table2[[#This Row],[Spending Score (1-100)]]&lt;=25,"Low",Table2[[#This Row],[Spending Score (1-100)]]&lt;=50,"Medium",Table2[[#This Row],[Spending Score (1-100)]]&lt;=75,"High",Table2[[#This Row],[Spending Score (1-100)]]&lt;=100,"Very High")</f>
        <v>Very High</v>
      </c>
      <c r="H549" t="s">
        <v>14</v>
      </c>
      <c r="I549">
        <v>2</v>
      </c>
      <c r="J549" t="str">
        <f>CONCATENATE(Table2[[#This Row],[Work Experience]],"years")</f>
        <v>2years</v>
      </c>
      <c r="K549" t="str">
        <f>CONCATENATE(Table2[[#This Row],[Family Size2]],"members")</f>
        <v>1members</v>
      </c>
      <c r="L549" t="str">
        <f>CONCATENATE(Table2[[#This Row],[Family Size2]],"members")</f>
        <v>1members</v>
      </c>
      <c r="M549">
        <v>1</v>
      </c>
    </row>
    <row r="550" spans="1:13">
      <c r="A550">
        <v>549</v>
      </c>
      <c r="B550" t="s">
        <v>11</v>
      </c>
      <c r="C550">
        <v>96</v>
      </c>
      <c r="D550" t="str" cm="1">
        <f t="array" ref="D550">_xlfn.IFS(Table2[[#This Row],[Age]]&lt;=11,"Gen A",Table2[[#This Row],[Age]]&lt;=27,"Gen Z",Table2[[#This Row],[Age]]&lt;=43,"Millenials",Table2[[#This Row],[Age]]&lt;=59,"Gen X",Table2[[#This Row],[Age]]&lt;=78,"Baby Boomers",Table2[[#This Row],[Age]]&lt;=96,"Silent",Table2[[#This Row],[Age]]&gt;=97,"Greatest")</f>
        <v>Silent</v>
      </c>
      <c r="E550" s="1">
        <v>186882</v>
      </c>
      <c r="F550">
        <v>40</v>
      </c>
      <c r="G550" t="str" cm="1">
        <f t="array" ref="G550">_xlfn.IFS(Table2[[#This Row],[Spending Score (1-100)]]&lt;=25,"Low",Table2[[#This Row],[Spending Score (1-100)]]&lt;=50,"Medium",Table2[[#This Row],[Spending Score (1-100)]]&lt;=75,"High",Table2[[#This Row],[Spending Score (1-100)]]&lt;=100,"Very High")</f>
        <v>Medium</v>
      </c>
      <c r="H550" t="s">
        <v>13</v>
      </c>
      <c r="I550">
        <v>1</v>
      </c>
      <c r="J550" t="str">
        <f>CONCATENATE(Table2[[#This Row],[Work Experience]],"years")</f>
        <v>1years</v>
      </c>
      <c r="K550" t="str">
        <f>CONCATENATE(Table2[[#This Row],[Family Size2]],"members")</f>
        <v>7members</v>
      </c>
      <c r="L550" t="str">
        <f>CONCATENATE(Table2[[#This Row],[Family Size2]],"members")</f>
        <v>7members</v>
      </c>
      <c r="M550">
        <v>7</v>
      </c>
    </row>
    <row r="551" spans="1:13">
      <c r="A551">
        <v>550</v>
      </c>
      <c r="B551" t="s">
        <v>11</v>
      </c>
      <c r="C551">
        <v>35</v>
      </c>
      <c r="D551" t="str" cm="1">
        <f t="array" ref="D551">_xlfn.IFS(Table2[[#This Row],[Age]]&lt;=11,"Gen A",Table2[[#This Row],[Age]]&lt;=27,"Gen Z",Table2[[#This Row],[Age]]&lt;=43,"Millenials",Table2[[#This Row],[Age]]&lt;=59,"Gen X",Table2[[#This Row],[Age]]&lt;=78,"Baby Boomers",Table2[[#This Row],[Age]]&lt;=96,"Silent",Table2[[#This Row],[Age]]&gt;=97,"Greatest")</f>
        <v>Millenials</v>
      </c>
      <c r="E551" s="1">
        <v>99300</v>
      </c>
      <c r="F551">
        <v>88</v>
      </c>
      <c r="G551" t="str" cm="1">
        <f t="array" ref="G551">_xlfn.IFS(Table2[[#This Row],[Spending Score (1-100)]]&lt;=25,"Low",Table2[[#This Row],[Spending Score (1-100)]]&lt;=50,"Medium",Table2[[#This Row],[Spending Score (1-100)]]&lt;=75,"High",Table2[[#This Row],[Spending Score (1-100)]]&lt;=100,"Very High")</f>
        <v>Very High</v>
      </c>
      <c r="H551" t="s">
        <v>17</v>
      </c>
      <c r="I551">
        <v>5</v>
      </c>
      <c r="J551" t="str">
        <f>CONCATENATE(Table2[[#This Row],[Work Experience]],"years")</f>
        <v>5years</v>
      </c>
      <c r="K551" t="str">
        <f>CONCATENATE(Table2[[#This Row],[Family Size2]],"members")</f>
        <v>2members</v>
      </c>
      <c r="L551" t="str">
        <f>CONCATENATE(Table2[[#This Row],[Family Size2]],"members")</f>
        <v>2members</v>
      </c>
      <c r="M551">
        <v>2</v>
      </c>
    </row>
    <row r="552" spans="1:13">
      <c r="A552">
        <v>551</v>
      </c>
      <c r="B552" t="s">
        <v>8</v>
      </c>
      <c r="C552">
        <v>16</v>
      </c>
      <c r="D552" t="str" cm="1">
        <f t="array" ref="D552">_xlfn.IFS(Table2[[#This Row],[Age]]&lt;=11,"Gen A",Table2[[#This Row],[Age]]&lt;=27,"Gen Z",Table2[[#This Row],[Age]]&lt;=43,"Millenials",Table2[[#This Row],[Age]]&lt;=59,"Gen X",Table2[[#This Row],[Age]]&lt;=78,"Baby Boomers",Table2[[#This Row],[Age]]&lt;=96,"Silent",Table2[[#This Row],[Age]]&gt;=97,"Greatest")</f>
        <v>Gen Z</v>
      </c>
      <c r="E552" s="1">
        <v>58127</v>
      </c>
      <c r="F552">
        <v>65</v>
      </c>
      <c r="G552" t="str" cm="1">
        <f t="array" ref="G552">_xlfn.IFS(Table2[[#This Row],[Spending Score (1-100)]]&lt;=25,"Low",Table2[[#This Row],[Spending Score (1-100)]]&lt;=50,"Medium",Table2[[#This Row],[Spending Score (1-100)]]&lt;=75,"High",Table2[[#This Row],[Spending Score (1-100)]]&lt;=100,"Very High")</f>
        <v>High</v>
      </c>
      <c r="H552" t="s">
        <v>18</v>
      </c>
      <c r="I552">
        <v>0</v>
      </c>
      <c r="J552" t="str">
        <f>CONCATENATE(Table2[[#This Row],[Work Experience]],"years")</f>
        <v>0years</v>
      </c>
      <c r="K552" t="str">
        <f>CONCATENATE(Table2[[#This Row],[Family Size2]],"members")</f>
        <v>3members</v>
      </c>
      <c r="L552" t="str">
        <f>CONCATENATE(Table2[[#This Row],[Family Size2]],"members")</f>
        <v>3members</v>
      </c>
      <c r="M552">
        <v>3</v>
      </c>
    </row>
    <row r="553" spans="1:13">
      <c r="A553">
        <v>552</v>
      </c>
      <c r="B553" t="s">
        <v>11</v>
      </c>
      <c r="C553">
        <v>81</v>
      </c>
      <c r="D553" t="str" cm="1">
        <f t="array" ref="D553">_xlfn.IFS(Table2[[#This Row],[Age]]&lt;=11,"Gen A",Table2[[#This Row],[Age]]&lt;=27,"Gen Z",Table2[[#This Row],[Age]]&lt;=43,"Millenials",Table2[[#This Row],[Age]]&lt;=59,"Gen X",Table2[[#This Row],[Age]]&lt;=78,"Baby Boomers",Table2[[#This Row],[Age]]&lt;=96,"Silent",Table2[[#This Row],[Age]]&gt;=97,"Greatest")</f>
        <v>Silent</v>
      </c>
      <c r="E553" s="1">
        <v>89211</v>
      </c>
      <c r="F553">
        <v>12</v>
      </c>
      <c r="G553" t="str" cm="1">
        <f t="array" ref="G553">_xlfn.IFS(Table2[[#This Row],[Spending Score (1-100)]]&lt;=25,"Low",Table2[[#This Row],[Spending Score (1-100)]]&lt;=50,"Medium",Table2[[#This Row],[Spending Score (1-100)]]&lt;=75,"High",Table2[[#This Row],[Spending Score (1-100)]]&lt;=100,"Very High")</f>
        <v>Low</v>
      </c>
      <c r="H553" t="s">
        <v>16</v>
      </c>
      <c r="I553">
        <v>1</v>
      </c>
      <c r="J553" t="str">
        <f>CONCATENATE(Table2[[#This Row],[Work Experience]],"years")</f>
        <v>1years</v>
      </c>
      <c r="K553" t="str">
        <f>CONCATENATE(Table2[[#This Row],[Family Size2]],"members")</f>
        <v>7members</v>
      </c>
      <c r="L553" t="str">
        <f>CONCATENATE(Table2[[#This Row],[Family Size2]],"members")</f>
        <v>7members</v>
      </c>
      <c r="M553">
        <v>7</v>
      </c>
    </row>
    <row r="554" spans="1:13">
      <c r="A554">
        <v>553</v>
      </c>
      <c r="B554" t="s">
        <v>11</v>
      </c>
      <c r="C554">
        <v>7</v>
      </c>
      <c r="D554" t="str" cm="1">
        <f t="array" ref="D554">_xlfn.IFS(Table2[[#This Row],[Age]]&lt;=11,"Gen A",Table2[[#This Row],[Age]]&lt;=27,"Gen Z",Table2[[#This Row],[Age]]&lt;=43,"Millenials",Table2[[#This Row],[Age]]&lt;=59,"Gen X",Table2[[#This Row],[Age]]&lt;=78,"Baby Boomers",Table2[[#This Row],[Age]]&lt;=96,"Silent",Table2[[#This Row],[Age]]&gt;=97,"Greatest")</f>
        <v>Gen A</v>
      </c>
      <c r="E554" s="1">
        <v>148607</v>
      </c>
      <c r="F554">
        <v>59</v>
      </c>
      <c r="G554" t="str" cm="1">
        <f t="array" ref="G554">_xlfn.IFS(Table2[[#This Row],[Spending Score (1-100)]]&lt;=25,"Low",Table2[[#This Row],[Spending Score (1-100)]]&lt;=50,"Medium",Table2[[#This Row],[Spending Score (1-100)]]&lt;=75,"High",Table2[[#This Row],[Spending Score (1-100)]]&lt;=100,"Very High")</f>
        <v>High</v>
      </c>
      <c r="H554" t="s">
        <v>17</v>
      </c>
      <c r="I554">
        <v>1</v>
      </c>
      <c r="J554" t="str">
        <f>CONCATENATE(Table2[[#This Row],[Work Experience]],"years")</f>
        <v>1years</v>
      </c>
      <c r="K554" t="str">
        <f>CONCATENATE(Table2[[#This Row],[Family Size2]],"members")</f>
        <v>7members</v>
      </c>
      <c r="L554" t="str">
        <f>CONCATENATE(Table2[[#This Row],[Family Size2]],"members")</f>
        <v>7members</v>
      </c>
      <c r="M554">
        <v>7</v>
      </c>
    </row>
    <row r="555" spans="1:13">
      <c r="A555">
        <v>554</v>
      </c>
      <c r="B555" t="s">
        <v>11</v>
      </c>
      <c r="C555">
        <v>31</v>
      </c>
      <c r="D555" t="str" cm="1">
        <f t="array" ref="D555">_xlfn.IFS(Table2[[#This Row],[Age]]&lt;=11,"Gen A",Table2[[#This Row],[Age]]&lt;=27,"Gen Z",Table2[[#This Row],[Age]]&lt;=43,"Millenials",Table2[[#This Row],[Age]]&lt;=59,"Gen X",Table2[[#This Row],[Age]]&lt;=78,"Baby Boomers",Table2[[#This Row],[Age]]&lt;=96,"Silent",Table2[[#This Row],[Age]]&gt;=97,"Greatest")</f>
        <v>Millenials</v>
      </c>
      <c r="E555" s="1">
        <v>139592</v>
      </c>
      <c r="F555">
        <v>62</v>
      </c>
      <c r="G555" t="str" cm="1">
        <f t="array" ref="G555">_xlfn.IFS(Table2[[#This Row],[Spending Score (1-100)]]&lt;=25,"Low",Table2[[#This Row],[Spending Score (1-100)]]&lt;=50,"Medium",Table2[[#This Row],[Spending Score (1-100)]]&lt;=75,"High",Table2[[#This Row],[Spending Score (1-100)]]&lt;=100,"Very High")</f>
        <v>High</v>
      </c>
      <c r="H555" t="s">
        <v>18</v>
      </c>
      <c r="I555">
        <v>1</v>
      </c>
      <c r="J555" t="str">
        <f>CONCATENATE(Table2[[#This Row],[Work Experience]],"years")</f>
        <v>1years</v>
      </c>
      <c r="K555" t="str">
        <f>CONCATENATE(Table2[[#This Row],[Family Size2]],"members")</f>
        <v>1members</v>
      </c>
      <c r="L555" t="str">
        <f>CONCATENATE(Table2[[#This Row],[Family Size2]],"members")</f>
        <v>1members</v>
      </c>
      <c r="M555">
        <v>1</v>
      </c>
    </row>
    <row r="556" spans="1:13">
      <c r="A556">
        <v>555</v>
      </c>
      <c r="B556" t="s">
        <v>11</v>
      </c>
      <c r="C556">
        <v>16</v>
      </c>
      <c r="D556" t="str" cm="1">
        <f t="array" ref="D556">_xlfn.IFS(Table2[[#This Row],[Age]]&lt;=11,"Gen A",Table2[[#This Row],[Age]]&lt;=27,"Gen Z",Table2[[#This Row],[Age]]&lt;=43,"Millenials",Table2[[#This Row],[Age]]&lt;=59,"Gen X",Table2[[#This Row],[Age]]&lt;=78,"Baby Boomers",Table2[[#This Row],[Age]]&lt;=96,"Silent",Table2[[#This Row],[Age]]&gt;=97,"Greatest")</f>
        <v>Gen Z</v>
      </c>
      <c r="E556" s="1">
        <v>172051</v>
      </c>
      <c r="F556">
        <v>62</v>
      </c>
      <c r="G556" t="str" cm="1">
        <f t="array" ref="G556">_xlfn.IFS(Table2[[#This Row],[Spending Score (1-100)]]&lt;=25,"Low",Table2[[#This Row],[Spending Score (1-100)]]&lt;=50,"Medium",Table2[[#This Row],[Spending Score (1-100)]]&lt;=75,"High",Table2[[#This Row],[Spending Score (1-100)]]&lt;=100,"Very High")</f>
        <v>High</v>
      </c>
      <c r="H556" t="s">
        <v>9</v>
      </c>
      <c r="I556">
        <v>1</v>
      </c>
      <c r="J556" t="str">
        <f>CONCATENATE(Table2[[#This Row],[Work Experience]],"years")</f>
        <v>1years</v>
      </c>
      <c r="K556" t="str">
        <f>CONCATENATE(Table2[[#This Row],[Family Size2]],"members")</f>
        <v>3members</v>
      </c>
      <c r="L556" t="str">
        <f>CONCATENATE(Table2[[#This Row],[Family Size2]],"members")</f>
        <v>3members</v>
      </c>
      <c r="M556">
        <v>3</v>
      </c>
    </row>
    <row r="557" spans="1:13">
      <c r="A557">
        <v>556</v>
      </c>
      <c r="B557" t="s">
        <v>8</v>
      </c>
      <c r="C557">
        <v>89</v>
      </c>
      <c r="D557" t="str" cm="1">
        <f t="array" ref="D557">_xlfn.IFS(Table2[[#This Row],[Age]]&lt;=11,"Gen A",Table2[[#This Row],[Age]]&lt;=27,"Gen Z",Table2[[#This Row],[Age]]&lt;=43,"Millenials",Table2[[#This Row],[Age]]&lt;=59,"Gen X",Table2[[#This Row],[Age]]&lt;=78,"Baby Boomers",Table2[[#This Row],[Age]]&lt;=96,"Silent",Table2[[#This Row],[Age]]&gt;=97,"Greatest")</f>
        <v>Silent</v>
      </c>
      <c r="E557" s="1">
        <v>57033</v>
      </c>
      <c r="F557">
        <v>99</v>
      </c>
      <c r="G557" t="str" cm="1">
        <f t="array" ref="G557">_xlfn.IFS(Table2[[#This Row],[Spending Score (1-100)]]&lt;=25,"Low",Table2[[#This Row],[Spending Score (1-100)]]&lt;=50,"Medium",Table2[[#This Row],[Spending Score (1-100)]]&lt;=75,"High",Table2[[#This Row],[Spending Score (1-100)]]&lt;=100,"Very High")</f>
        <v>Very High</v>
      </c>
      <c r="H557" t="s">
        <v>14</v>
      </c>
      <c r="I557">
        <v>0</v>
      </c>
      <c r="J557" t="str">
        <f>CONCATENATE(Table2[[#This Row],[Work Experience]],"years")</f>
        <v>0years</v>
      </c>
      <c r="K557" t="str">
        <f>CONCATENATE(Table2[[#This Row],[Family Size2]],"members")</f>
        <v>4members</v>
      </c>
      <c r="L557" t="str">
        <f>CONCATENATE(Table2[[#This Row],[Family Size2]],"members")</f>
        <v>4members</v>
      </c>
      <c r="M557">
        <v>4</v>
      </c>
    </row>
    <row r="558" spans="1:13">
      <c r="A558">
        <v>557</v>
      </c>
      <c r="B558" t="s">
        <v>8</v>
      </c>
      <c r="C558">
        <v>84</v>
      </c>
      <c r="D558" t="str" cm="1">
        <f t="array" ref="D558">_xlfn.IFS(Table2[[#This Row],[Age]]&lt;=11,"Gen A",Table2[[#This Row],[Age]]&lt;=27,"Gen Z",Table2[[#This Row],[Age]]&lt;=43,"Millenials",Table2[[#This Row],[Age]]&lt;=59,"Gen X",Table2[[#This Row],[Age]]&lt;=78,"Baby Boomers",Table2[[#This Row],[Age]]&lt;=96,"Silent",Table2[[#This Row],[Age]]&gt;=97,"Greatest")</f>
        <v>Silent</v>
      </c>
      <c r="E558" s="1">
        <v>117612</v>
      </c>
      <c r="F558">
        <v>63</v>
      </c>
      <c r="G558" t="str" cm="1">
        <f t="array" ref="G558">_xlfn.IFS(Table2[[#This Row],[Spending Score (1-100)]]&lt;=25,"Low",Table2[[#This Row],[Spending Score (1-100)]]&lt;=50,"Medium",Table2[[#This Row],[Spending Score (1-100)]]&lt;=75,"High",Table2[[#This Row],[Spending Score (1-100)]]&lt;=100,"Very High")</f>
        <v>High</v>
      </c>
      <c r="H558" t="s">
        <v>10</v>
      </c>
      <c r="I558">
        <v>0</v>
      </c>
      <c r="J558" t="str">
        <f>CONCATENATE(Table2[[#This Row],[Work Experience]],"years")</f>
        <v>0years</v>
      </c>
      <c r="K558" t="str">
        <f>CONCATENATE(Table2[[#This Row],[Family Size2]],"members")</f>
        <v>6members</v>
      </c>
      <c r="L558" t="str">
        <f>CONCATENATE(Table2[[#This Row],[Family Size2]],"members")</f>
        <v>6members</v>
      </c>
      <c r="M558">
        <v>6</v>
      </c>
    </row>
    <row r="559" spans="1:13">
      <c r="A559">
        <v>558</v>
      </c>
      <c r="B559" t="s">
        <v>8</v>
      </c>
      <c r="C559">
        <v>40</v>
      </c>
      <c r="D559" t="str" cm="1">
        <f t="array" ref="D559">_xlfn.IFS(Table2[[#This Row],[Age]]&lt;=11,"Gen A",Table2[[#This Row],[Age]]&lt;=27,"Gen Z",Table2[[#This Row],[Age]]&lt;=43,"Millenials",Table2[[#This Row],[Age]]&lt;=59,"Gen X",Table2[[#This Row],[Age]]&lt;=78,"Baby Boomers",Table2[[#This Row],[Age]]&lt;=96,"Silent",Table2[[#This Row],[Age]]&gt;=97,"Greatest")</f>
        <v>Millenials</v>
      </c>
      <c r="E559" s="1">
        <v>185321</v>
      </c>
      <c r="F559">
        <v>96</v>
      </c>
      <c r="G559" t="str" cm="1">
        <f t="array" ref="G559">_xlfn.IFS(Table2[[#This Row],[Spending Score (1-100)]]&lt;=25,"Low",Table2[[#This Row],[Spending Score (1-100)]]&lt;=50,"Medium",Table2[[#This Row],[Spending Score (1-100)]]&lt;=75,"High",Table2[[#This Row],[Spending Score (1-100)]]&lt;=100,"Very High")</f>
        <v>Very High</v>
      </c>
      <c r="H559" t="s">
        <v>14</v>
      </c>
      <c r="I559">
        <v>0</v>
      </c>
      <c r="J559" t="str">
        <f>CONCATENATE(Table2[[#This Row],[Work Experience]],"years")</f>
        <v>0years</v>
      </c>
      <c r="K559" t="str">
        <f>CONCATENATE(Table2[[#This Row],[Family Size2]],"members")</f>
        <v>7members</v>
      </c>
      <c r="L559" t="str">
        <f>CONCATENATE(Table2[[#This Row],[Family Size2]],"members")</f>
        <v>7members</v>
      </c>
      <c r="M559">
        <v>7</v>
      </c>
    </row>
    <row r="560" spans="1:13">
      <c r="A560">
        <v>559</v>
      </c>
      <c r="B560" t="s">
        <v>11</v>
      </c>
      <c r="C560">
        <v>17</v>
      </c>
      <c r="D560" t="str" cm="1">
        <f t="array" ref="D560">_xlfn.IFS(Table2[[#This Row],[Age]]&lt;=11,"Gen A",Table2[[#This Row],[Age]]&lt;=27,"Gen Z",Table2[[#This Row],[Age]]&lt;=43,"Millenials",Table2[[#This Row],[Age]]&lt;=59,"Gen X",Table2[[#This Row],[Age]]&lt;=78,"Baby Boomers",Table2[[#This Row],[Age]]&lt;=96,"Silent",Table2[[#This Row],[Age]]&gt;=97,"Greatest")</f>
        <v>Gen Z</v>
      </c>
      <c r="E560" s="1">
        <v>186577</v>
      </c>
      <c r="F560">
        <v>5</v>
      </c>
      <c r="G560" t="str" cm="1">
        <f t="array" ref="G560">_xlfn.IFS(Table2[[#This Row],[Spending Score (1-100)]]&lt;=25,"Low",Table2[[#This Row],[Spending Score (1-100)]]&lt;=50,"Medium",Table2[[#This Row],[Spending Score (1-100)]]&lt;=75,"High",Table2[[#This Row],[Spending Score (1-100)]]&lt;=100,"Very High")</f>
        <v>Low</v>
      </c>
      <c r="H560" t="s">
        <v>9</v>
      </c>
      <c r="I560">
        <v>8</v>
      </c>
      <c r="J560" t="str">
        <f>CONCATENATE(Table2[[#This Row],[Work Experience]],"years")</f>
        <v>8years</v>
      </c>
      <c r="K560" t="str">
        <f>CONCATENATE(Table2[[#This Row],[Family Size2]],"members")</f>
        <v>5members</v>
      </c>
      <c r="L560" t="str">
        <f>CONCATENATE(Table2[[#This Row],[Family Size2]],"members")</f>
        <v>5members</v>
      </c>
      <c r="M560">
        <v>5</v>
      </c>
    </row>
    <row r="561" spans="1:13">
      <c r="A561">
        <v>560</v>
      </c>
      <c r="B561" t="s">
        <v>8</v>
      </c>
      <c r="C561">
        <v>0</v>
      </c>
      <c r="D561" t="str" cm="1">
        <f t="array" ref="D561">_xlfn.IFS(Table2[[#This Row],[Age]]&lt;=11,"Gen A",Table2[[#This Row],[Age]]&lt;=27,"Gen Z",Table2[[#This Row],[Age]]&lt;=43,"Millenials",Table2[[#This Row],[Age]]&lt;=59,"Gen X",Table2[[#This Row],[Age]]&lt;=78,"Baby Boomers",Table2[[#This Row],[Age]]&lt;=96,"Silent",Table2[[#This Row],[Age]]&gt;=97,"Greatest")</f>
        <v>Gen A</v>
      </c>
      <c r="E561" s="1">
        <v>151298</v>
      </c>
      <c r="F561">
        <v>89</v>
      </c>
      <c r="G561" t="str" cm="1">
        <f t="array" ref="G561">_xlfn.IFS(Table2[[#This Row],[Spending Score (1-100)]]&lt;=25,"Low",Table2[[#This Row],[Spending Score (1-100)]]&lt;=50,"Medium",Table2[[#This Row],[Spending Score (1-100)]]&lt;=75,"High",Table2[[#This Row],[Spending Score (1-100)]]&lt;=100,"Very High")</f>
        <v>Very High</v>
      </c>
      <c r="H561" t="s">
        <v>14</v>
      </c>
      <c r="I561">
        <v>0</v>
      </c>
      <c r="J561" t="str">
        <f>CONCATENATE(Table2[[#This Row],[Work Experience]],"years")</f>
        <v>0years</v>
      </c>
      <c r="K561" t="str">
        <f>CONCATENATE(Table2[[#This Row],[Family Size2]],"members")</f>
        <v>6members</v>
      </c>
      <c r="L561" t="str">
        <f>CONCATENATE(Table2[[#This Row],[Family Size2]],"members")</f>
        <v>6members</v>
      </c>
      <c r="M561">
        <v>6</v>
      </c>
    </row>
    <row r="562" spans="1:13">
      <c r="A562">
        <v>561</v>
      </c>
      <c r="B562" t="s">
        <v>11</v>
      </c>
      <c r="C562">
        <v>69</v>
      </c>
      <c r="D562" t="str" cm="1">
        <f t="array" ref="D562">_xlfn.IFS(Table2[[#This Row],[Age]]&lt;=11,"Gen A",Table2[[#This Row],[Age]]&lt;=27,"Gen Z",Table2[[#This Row],[Age]]&lt;=43,"Millenials",Table2[[#This Row],[Age]]&lt;=59,"Gen X",Table2[[#This Row],[Age]]&lt;=78,"Baby Boomers",Table2[[#This Row],[Age]]&lt;=96,"Silent",Table2[[#This Row],[Age]]&gt;=97,"Greatest")</f>
        <v>Baby Boomers</v>
      </c>
      <c r="E562" s="1">
        <v>123925</v>
      </c>
      <c r="F562">
        <v>52</v>
      </c>
      <c r="G562" t="str" cm="1">
        <f t="array" ref="G562">_xlfn.IFS(Table2[[#This Row],[Spending Score (1-100)]]&lt;=25,"Low",Table2[[#This Row],[Spending Score (1-100)]]&lt;=50,"Medium",Table2[[#This Row],[Spending Score (1-100)]]&lt;=75,"High",Table2[[#This Row],[Spending Score (1-100)]]&lt;=100,"Very High")</f>
        <v>High</v>
      </c>
      <c r="H562" t="s">
        <v>14</v>
      </c>
      <c r="I562">
        <v>1</v>
      </c>
      <c r="J562" t="str">
        <f>CONCATENATE(Table2[[#This Row],[Work Experience]],"years")</f>
        <v>1years</v>
      </c>
      <c r="K562" t="str">
        <f>CONCATENATE(Table2[[#This Row],[Family Size2]],"members")</f>
        <v>7members</v>
      </c>
      <c r="L562" t="str">
        <f>CONCATENATE(Table2[[#This Row],[Family Size2]],"members")</f>
        <v>7members</v>
      </c>
      <c r="M562">
        <v>7</v>
      </c>
    </row>
    <row r="563" spans="1:13">
      <c r="A563">
        <v>562</v>
      </c>
      <c r="B563" t="s">
        <v>11</v>
      </c>
      <c r="C563">
        <v>17</v>
      </c>
      <c r="D563" t="str" cm="1">
        <f t="array" ref="D563">_xlfn.IFS(Table2[[#This Row],[Age]]&lt;=11,"Gen A",Table2[[#This Row],[Age]]&lt;=27,"Gen Z",Table2[[#This Row],[Age]]&lt;=43,"Millenials",Table2[[#This Row],[Age]]&lt;=59,"Gen X",Table2[[#This Row],[Age]]&lt;=78,"Baby Boomers",Table2[[#This Row],[Age]]&lt;=96,"Silent",Table2[[#This Row],[Age]]&gt;=97,"Greatest")</f>
        <v>Gen Z</v>
      </c>
      <c r="E563" s="1">
        <v>169496</v>
      </c>
      <c r="F563">
        <v>12</v>
      </c>
      <c r="G563" t="str" cm="1">
        <f t="array" ref="G563">_xlfn.IFS(Table2[[#This Row],[Spending Score (1-100)]]&lt;=25,"Low",Table2[[#This Row],[Spending Score (1-100)]]&lt;=50,"Medium",Table2[[#This Row],[Spending Score (1-100)]]&lt;=75,"High",Table2[[#This Row],[Spending Score (1-100)]]&lt;=100,"Very High")</f>
        <v>Low</v>
      </c>
      <c r="H563" t="s">
        <v>12</v>
      </c>
      <c r="I563">
        <v>11</v>
      </c>
      <c r="J563" t="str">
        <f>CONCATENATE(Table2[[#This Row],[Work Experience]],"years")</f>
        <v>11years</v>
      </c>
      <c r="K563" t="str">
        <f>CONCATENATE(Table2[[#This Row],[Family Size2]],"members")</f>
        <v>6members</v>
      </c>
      <c r="L563" t="str">
        <f>CONCATENATE(Table2[[#This Row],[Family Size2]],"members")</f>
        <v>6members</v>
      </c>
      <c r="M563">
        <v>6</v>
      </c>
    </row>
    <row r="564" spans="1:13">
      <c r="A564">
        <v>563</v>
      </c>
      <c r="B564" t="s">
        <v>11</v>
      </c>
      <c r="C564">
        <v>0</v>
      </c>
      <c r="D564" t="str" cm="1">
        <f t="array" ref="D564">_xlfn.IFS(Table2[[#This Row],[Age]]&lt;=11,"Gen A",Table2[[#This Row],[Age]]&lt;=27,"Gen Z",Table2[[#This Row],[Age]]&lt;=43,"Millenials",Table2[[#This Row],[Age]]&lt;=59,"Gen X",Table2[[#This Row],[Age]]&lt;=78,"Baby Boomers",Table2[[#This Row],[Age]]&lt;=96,"Silent",Table2[[#This Row],[Age]]&gt;=97,"Greatest")</f>
        <v>Gen A</v>
      </c>
      <c r="E564" s="1">
        <v>142892</v>
      </c>
      <c r="F564">
        <v>25</v>
      </c>
      <c r="G564" t="str" cm="1">
        <f t="array" ref="G564">_xlfn.IFS(Table2[[#This Row],[Spending Score (1-100)]]&lt;=25,"Low",Table2[[#This Row],[Spending Score (1-100)]]&lt;=50,"Medium",Table2[[#This Row],[Spending Score (1-100)]]&lt;=75,"High",Table2[[#This Row],[Spending Score (1-100)]]&lt;=100,"Very High")</f>
        <v>Low</v>
      </c>
      <c r="H564" t="s">
        <v>13</v>
      </c>
      <c r="I564">
        <v>8</v>
      </c>
      <c r="J564" t="str">
        <f>CONCATENATE(Table2[[#This Row],[Work Experience]],"years")</f>
        <v>8years</v>
      </c>
      <c r="K564" t="str">
        <f>CONCATENATE(Table2[[#This Row],[Family Size2]],"members")</f>
        <v>1members</v>
      </c>
      <c r="L564" t="str">
        <f>CONCATENATE(Table2[[#This Row],[Family Size2]],"members")</f>
        <v>1members</v>
      </c>
      <c r="M564">
        <v>1</v>
      </c>
    </row>
    <row r="565" spans="1:13">
      <c r="A565">
        <v>564</v>
      </c>
      <c r="B565" t="s">
        <v>11</v>
      </c>
      <c r="C565">
        <v>34</v>
      </c>
      <c r="D565" t="str" cm="1">
        <f t="array" ref="D565">_xlfn.IFS(Table2[[#This Row],[Age]]&lt;=11,"Gen A",Table2[[#This Row],[Age]]&lt;=27,"Gen Z",Table2[[#This Row],[Age]]&lt;=43,"Millenials",Table2[[#This Row],[Age]]&lt;=59,"Gen X",Table2[[#This Row],[Age]]&lt;=78,"Baby Boomers",Table2[[#This Row],[Age]]&lt;=96,"Silent",Table2[[#This Row],[Age]]&gt;=97,"Greatest")</f>
        <v>Millenials</v>
      </c>
      <c r="E565" s="1">
        <v>58979</v>
      </c>
      <c r="F565">
        <v>3</v>
      </c>
      <c r="G565" t="str" cm="1">
        <f t="array" ref="G565">_xlfn.IFS(Table2[[#This Row],[Spending Score (1-100)]]&lt;=25,"Low",Table2[[#This Row],[Spending Score (1-100)]]&lt;=50,"Medium",Table2[[#This Row],[Spending Score (1-100)]]&lt;=75,"High",Table2[[#This Row],[Spending Score (1-100)]]&lt;=100,"Very High")</f>
        <v>Low</v>
      </c>
      <c r="H565" t="s">
        <v>13</v>
      </c>
      <c r="I565">
        <v>9</v>
      </c>
      <c r="J565" t="str">
        <f>CONCATENATE(Table2[[#This Row],[Work Experience]],"years")</f>
        <v>9years</v>
      </c>
      <c r="K565" t="str">
        <f>CONCATENATE(Table2[[#This Row],[Family Size2]],"members")</f>
        <v>5members</v>
      </c>
      <c r="L565" t="str">
        <f>CONCATENATE(Table2[[#This Row],[Family Size2]],"members")</f>
        <v>5members</v>
      </c>
      <c r="M565">
        <v>5</v>
      </c>
    </row>
    <row r="566" spans="1:13">
      <c r="A566">
        <v>565</v>
      </c>
      <c r="B566" t="s">
        <v>11</v>
      </c>
      <c r="C566">
        <v>51</v>
      </c>
      <c r="D566" t="str" cm="1">
        <f t="array" ref="D566">_xlfn.IFS(Table2[[#This Row],[Age]]&lt;=11,"Gen A",Table2[[#This Row],[Age]]&lt;=27,"Gen Z",Table2[[#This Row],[Age]]&lt;=43,"Millenials",Table2[[#This Row],[Age]]&lt;=59,"Gen X",Table2[[#This Row],[Age]]&lt;=78,"Baby Boomers",Table2[[#This Row],[Age]]&lt;=96,"Silent",Table2[[#This Row],[Age]]&gt;=97,"Greatest")</f>
        <v>Gen X</v>
      </c>
      <c r="E566" s="1">
        <v>141416</v>
      </c>
      <c r="F566">
        <v>100</v>
      </c>
      <c r="G566" t="str" cm="1">
        <f t="array" ref="G566">_xlfn.IFS(Table2[[#This Row],[Spending Score (1-100)]]&lt;=25,"Low",Table2[[#This Row],[Spending Score (1-100)]]&lt;=50,"Medium",Table2[[#This Row],[Spending Score (1-100)]]&lt;=75,"High",Table2[[#This Row],[Spending Score (1-100)]]&lt;=100,"Very High")</f>
        <v>Very High</v>
      </c>
      <c r="H566" t="s">
        <v>9</v>
      </c>
      <c r="I566">
        <v>15</v>
      </c>
      <c r="J566" t="str">
        <f>CONCATENATE(Table2[[#This Row],[Work Experience]],"years")</f>
        <v>15years</v>
      </c>
      <c r="K566" t="str">
        <f>CONCATENATE(Table2[[#This Row],[Family Size2]],"members")</f>
        <v>1members</v>
      </c>
      <c r="L566" t="str">
        <f>CONCATENATE(Table2[[#This Row],[Family Size2]],"members")</f>
        <v>1members</v>
      </c>
      <c r="M566">
        <v>1</v>
      </c>
    </row>
    <row r="567" spans="1:13">
      <c r="A567">
        <v>566</v>
      </c>
      <c r="B567" t="s">
        <v>8</v>
      </c>
      <c r="C567">
        <v>54</v>
      </c>
      <c r="D567" t="str" cm="1">
        <f t="array" ref="D567">_xlfn.IFS(Table2[[#This Row],[Age]]&lt;=11,"Gen A",Table2[[#This Row],[Age]]&lt;=27,"Gen Z",Table2[[#This Row],[Age]]&lt;=43,"Millenials",Table2[[#This Row],[Age]]&lt;=59,"Gen X",Table2[[#This Row],[Age]]&lt;=78,"Baby Boomers",Table2[[#This Row],[Age]]&lt;=96,"Silent",Table2[[#This Row],[Age]]&gt;=97,"Greatest")</f>
        <v>Gen X</v>
      </c>
      <c r="E567" s="1">
        <v>104854</v>
      </c>
      <c r="F567">
        <v>67</v>
      </c>
      <c r="G567" t="str" cm="1">
        <f t="array" ref="G567">_xlfn.IFS(Table2[[#This Row],[Spending Score (1-100)]]&lt;=25,"Low",Table2[[#This Row],[Spending Score (1-100)]]&lt;=50,"Medium",Table2[[#This Row],[Spending Score (1-100)]]&lt;=75,"High",Table2[[#This Row],[Spending Score (1-100)]]&lt;=100,"Very High")</f>
        <v>High</v>
      </c>
      <c r="H567" t="s">
        <v>9</v>
      </c>
      <c r="I567">
        <v>1</v>
      </c>
      <c r="J567" t="str">
        <f>CONCATENATE(Table2[[#This Row],[Work Experience]],"years")</f>
        <v>1years</v>
      </c>
      <c r="K567" t="str">
        <f>CONCATENATE(Table2[[#This Row],[Family Size2]],"members")</f>
        <v>7members</v>
      </c>
      <c r="L567" t="str">
        <f>CONCATENATE(Table2[[#This Row],[Family Size2]],"members")</f>
        <v>7members</v>
      </c>
      <c r="M567">
        <v>7</v>
      </c>
    </row>
    <row r="568" spans="1:13">
      <c r="A568">
        <v>567</v>
      </c>
      <c r="B568" t="s">
        <v>11</v>
      </c>
      <c r="C568">
        <v>19</v>
      </c>
      <c r="D568" t="str" cm="1">
        <f t="array" ref="D568">_xlfn.IFS(Table2[[#This Row],[Age]]&lt;=11,"Gen A",Table2[[#This Row],[Age]]&lt;=27,"Gen Z",Table2[[#This Row],[Age]]&lt;=43,"Millenials",Table2[[#This Row],[Age]]&lt;=59,"Gen X",Table2[[#This Row],[Age]]&lt;=78,"Baby Boomers",Table2[[#This Row],[Age]]&lt;=96,"Silent",Table2[[#This Row],[Age]]&gt;=97,"Greatest")</f>
        <v>Gen Z</v>
      </c>
      <c r="E568" s="1">
        <v>180331</v>
      </c>
      <c r="F568">
        <v>14</v>
      </c>
      <c r="G568" t="str" cm="1">
        <f t="array" ref="G568">_xlfn.IFS(Table2[[#This Row],[Spending Score (1-100)]]&lt;=25,"Low",Table2[[#This Row],[Spending Score (1-100)]]&lt;=50,"Medium",Table2[[#This Row],[Spending Score (1-100)]]&lt;=75,"High",Table2[[#This Row],[Spending Score (1-100)]]&lt;=100,"Very High")</f>
        <v>Low</v>
      </c>
      <c r="H568" t="s">
        <v>14</v>
      </c>
      <c r="I568">
        <v>17</v>
      </c>
      <c r="J568" t="str">
        <f>CONCATENATE(Table2[[#This Row],[Work Experience]],"years")</f>
        <v>17years</v>
      </c>
      <c r="K568" t="str">
        <f>CONCATENATE(Table2[[#This Row],[Family Size2]],"members")</f>
        <v>5members</v>
      </c>
      <c r="L568" t="str">
        <f>CONCATENATE(Table2[[#This Row],[Family Size2]],"members")</f>
        <v>5members</v>
      </c>
      <c r="M568">
        <v>5</v>
      </c>
    </row>
    <row r="569" spans="1:13">
      <c r="A569">
        <v>568</v>
      </c>
      <c r="B569" t="s">
        <v>11</v>
      </c>
      <c r="C569">
        <v>99</v>
      </c>
      <c r="D569" t="str" cm="1">
        <f t="array" ref="D569">_xlfn.IFS(Table2[[#This Row],[Age]]&lt;=11,"Gen A",Table2[[#This Row],[Age]]&lt;=27,"Gen Z",Table2[[#This Row],[Age]]&lt;=43,"Millenials",Table2[[#This Row],[Age]]&lt;=59,"Gen X",Table2[[#This Row],[Age]]&lt;=78,"Baby Boomers",Table2[[#This Row],[Age]]&lt;=96,"Silent",Table2[[#This Row],[Age]]&gt;=97,"Greatest")</f>
        <v>Greatest</v>
      </c>
      <c r="E569" s="1">
        <v>172896</v>
      </c>
      <c r="F569">
        <v>13</v>
      </c>
      <c r="G569" t="str" cm="1">
        <f t="array" ref="G569">_xlfn.IFS(Table2[[#This Row],[Spending Score (1-100)]]&lt;=25,"Low",Table2[[#This Row],[Spending Score (1-100)]]&lt;=50,"Medium",Table2[[#This Row],[Spending Score (1-100)]]&lt;=75,"High",Table2[[#This Row],[Spending Score (1-100)]]&lt;=100,"Very High")</f>
        <v>Low</v>
      </c>
      <c r="H569" t="s">
        <v>10</v>
      </c>
      <c r="I569">
        <v>0</v>
      </c>
      <c r="J569" t="str">
        <f>CONCATENATE(Table2[[#This Row],[Work Experience]],"years")</f>
        <v>0years</v>
      </c>
      <c r="K569" t="str">
        <f>CONCATENATE(Table2[[#This Row],[Family Size2]],"members")</f>
        <v>3members</v>
      </c>
      <c r="L569" t="str">
        <f>CONCATENATE(Table2[[#This Row],[Family Size2]],"members")</f>
        <v>3members</v>
      </c>
      <c r="M569">
        <v>3</v>
      </c>
    </row>
    <row r="570" spans="1:13">
      <c r="A570">
        <v>569</v>
      </c>
      <c r="B570" t="s">
        <v>11</v>
      </c>
      <c r="C570">
        <v>2</v>
      </c>
      <c r="D570" t="str" cm="1">
        <f t="array" ref="D570">_xlfn.IFS(Table2[[#This Row],[Age]]&lt;=11,"Gen A",Table2[[#This Row],[Age]]&lt;=27,"Gen Z",Table2[[#This Row],[Age]]&lt;=43,"Millenials",Table2[[#This Row],[Age]]&lt;=59,"Gen X",Table2[[#This Row],[Age]]&lt;=78,"Baby Boomers",Table2[[#This Row],[Age]]&lt;=96,"Silent",Table2[[#This Row],[Age]]&gt;=97,"Greatest")</f>
        <v>Gen A</v>
      </c>
      <c r="E570" s="1">
        <v>101451</v>
      </c>
      <c r="F570">
        <v>82</v>
      </c>
      <c r="G570" t="str" cm="1">
        <f t="array" ref="G570">_xlfn.IFS(Table2[[#This Row],[Spending Score (1-100)]]&lt;=25,"Low",Table2[[#This Row],[Spending Score (1-100)]]&lt;=50,"Medium",Table2[[#This Row],[Spending Score (1-100)]]&lt;=75,"High",Table2[[#This Row],[Spending Score (1-100)]]&lt;=100,"Very High")</f>
        <v>Very High</v>
      </c>
      <c r="H570" t="s">
        <v>9</v>
      </c>
      <c r="I570">
        <v>4</v>
      </c>
      <c r="J570" t="str">
        <f>CONCATENATE(Table2[[#This Row],[Work Experience]],"years")</f>
        <v>4years</v>
      </c>
      <c r="K570" t="str">
        <f>CONCATENATE(Table2[[#This Row],[Family Size2]],"members")</f>
        <v>3members</v>
      </c>
      <c r="L570" t="str">
        <f>CONCATENATE(Table2[[#This Row],[Family Size2]],"members")</f>
        <v>3members</v>
      </c>
      <c r="M570">
        <v>3</v>
      </c>
    </row>
    <row r="571" spans="1:13">
      <c r="A571">
        <v>570</v>
      </c>
      <c r="B571" t="s">
        <v>11</v>
      </c>
      <c r="C571">
        <v>91</v>
      </c>
      <c r="D571" t="str" cm="1">
        <f t="array" ref="D571">_xlfn.IFS(Table2[[#This Row],[Age]]&lt;=11,"Gen A",Table2[[#This Row],[Age]]&lt;=27,"Gen Z",Table2[[#This Row],[Age]]&lt;=43,"Millenials",Table2[[#This Row],[Age]]&lt;=59,"Gen X",Table2[[#This Row],[Age]]&lt;=78,"Baby Boomers",Table2[[#This Row],[Age]]&lt;=96,"Silent",Table2[[#This Row],[Age]]&gt;=97,"Greatest")</f>
        <v>Silent</v>
      </c>
      <c r="E571" s="1">
        <v>189974</v>
      </c>
      <c r="F571">
        <v>37</v>
      </c>
      <c r="G571" t="str" cm="1">
        <f t="array" ref="G571">_xlfn.IFS(Table2[[#This Row],[Spending Score (1-100)]]&lt;=25,"Low",Table2[[#This Row],[Spending Score (1-100)]]&lt;=50,"Medium",Table2[[#This Row],[Spending Score (1-100)]]&lt;=75,"High",Table2[[#This Row],[Spending Score (1-100)]]&lt;=100,"Very High")</f>
        <v>Medium</v>
      </c>
      <c r="H571" t="s">
        <v>10</v>
      </c>
      <c r="I571">
        <v>8</v>
      </c>
      <c r="J571" t="str">
        <f>CONCATENATE(Table2[[#This Row],[Work Experience]],"years")</f>
        <v>8years</v>
      </c>
      <c r="K571" t="str">
        <f>CONCATENATE(Table2[[#This Row],[Family Size2]],"members")</f>
        <v>1members</v>
      </c>
      <c r="L571" t="str">
        <f>CONCATENATE(Table2[[#This Row],[Family Size2]],"members")</f>
        <v>1members</v>
      </c>
      <c r="M571">
        <v>1</v>
      </c>
    </row>
    <row r="572" spans="1:13">
      <c r="A572">
        <v>571</v>
      </c>
      <c r="B572" t="s">
        <v>8</v>
      </c>
      <c r="C572">
        <v>65</v>
      </c>
      <c r="D572" t="str" cm="1">
        <f t="array" ref="D572">_xlfn.IFS(Table2[[#This Row],[Age]]&lt;=11,"Gen A",Table2[[#This Row],[Age]]&lt;=27,"Gen Z",Table2[[#This Row],[Age]]&lt;=43,"Millenials",Table2[[#This Row],[Age]]&lt;=59,"Gen X",Table2[[#This Row],[Age]]&lt;=78,"Baby Boomers",Table2[[#This Row],[Age]]&lt;=96,"Silent",Table2[[#This Row],[Age]]&gt;=97,"Greatest")</f>
        <v>Baby Boomers</v>
      </c>
      <c r="E572" s="1">
        <v>90084</v>
      </c>
      <c r="F572">
        <v>65</v>
      </c>
      <c r="G572" t="str" cm="1">
        <f t="array" ref="G572">_xlfn.IFS(Table2[[#This Row],[Spending Score (1-100)]]&lt;=25,"Low",Table2[[#This Row],[Spending Score (1-100)]]&lt;=50,"Medium",Table2[[#This Row],[Spending Score (1-100)]]&lt;=75,"High",Table2[[#This Row],[Spending Score (1-100)]]&lt;=100,"Very High")</f>
        <v>High</v>
      </c>
      <c r="H572" t="s">
        <v>14</v>
      </c>
      <c r="I572">
        <v>1</v>
      </c>
      <c r="J572" t="str">
        <f>CONCATENATE(Table2[[#This Row],[Work Experience]],"years")</f>
        <v>1years</v>
      </c>
      <c r="K572" t="str">
        <f>CONCATENATE(Table2[[#This Row],[Family Size2]],"members")</f>
        <v>6members</v>
      </c>
      <c r="L572" t="str">
        <f>CONCATENATE(Table2[[#This Row],[Family Size2]],"members")</f>
        <v>6members</v>
      </c>
      <c r="M572">
        <v>6</v>
      </c>
    </row>
    <row r="573" spans="1:13">
      <c r="A573">
        <v>572</v>
      </c>
      <c r="B573" t="s">
        <v>11</v>
      </c>
      <c r="C573">
        <v>47</v>
      </c>
      <c r="D573" t="str" cm="1">
        <f t="array" ref="D573">_xlfn.IFS(Table2[[#This Row],[Age]]&lt;=11,"Gen A",Table2[[#This Row],[Age]]&lt;=27,"Gen Z",Table2[[#This Row],[Age]]&lt;=43,"Millenials",Table2[[#This Row],[Age]]&lt;=59,"Gen X",Table2[[#This Row],[Age]]&lt;=78,"Baby Boomers",Table2[[#This Row],[Age]]&lt;=96,"Silent",Table2[[#This Row],[Age]]&gt;=97,"Greatest")</f>
        <v>Gen X</v>
      </c>
      <c r="E573" s="1">
        <v>112247</v>
      </c>
      <c r="F573">
        <v>24</v>
      </c>
      <c r="G573" t="str" cm="1">
        <f t="array" ref="G573">_xlfn.IFS(Table2[[#This Row],[Spending Score (1-100)]]&lt;=25,"Low",Table2[[#This Row],[Spending Score (1-100)]]&lt;=50,"Medium",Table2[[#This Row],[Spending Score (1-100)]]&lt;=75,"High",Table2[[#This Row],[Spending Score (1-100)]]&lt;=100,"Very High")</f>
        <v>Low</v>
      </c>
      <c r="H573" t="s">
        <v>15</v>
      </c>
      <c r="I573">
        <v>4</v>
      </c>
      <c r="J573" t="str">
        <f>CONCATENATE(Table2[[#This Row],[Work Experience]],"years")</f>
        <v>4years</v>
      </c>
      <c r="K573" t="str">
        <f>CONCATENATE(Table2[[#This Row],[Family Size2]],"members")</f>
        <v>5members</v>
      </c>
      <c r="L573" t="str">
        <f>CONCATENATE(Table2[[#This Row],[Family Size2]],"members")</f>
        <v>5members</v>
      </c>
      <c r="M573">
        <v>5</v>
      </c>
    </row>
    <row r="574" spans="1:13">
      <c r="A574">
        <v>573</v>
      </c>
      <c r="B574" t="s">
        <v>11</v>
      </c>
      <c r="C574">
        <v>91</v>
      </c>
      <c r="D574" t="str" cm="1">
        <f t="array" ref="D574">_xlfn.IFS(Table2[[#This Row],[Age]]&lt;=11,"Gen A",Table2[[#This Row],[Age]]&lt;=27,"Gen Z",Table2[[#This Row],[Age]]&lt;=43,"Millenials",Table2[[#This Row],[Age]]&lt;=59,"Gen X",Table2[[#This Row],[Age]]&lt;=78,"Baby Boomers",Table2[[#This Row],[Age]]&lt;=96,"Silent",Table2[[#This Row],[Age]]&gt;=97,"Greatest")</f>
        <v>Silent</v>
      </c>
      <c r="E574" s="1">
        <v>181775</v>
      </c>
      <c r="F574">
        <v>61</v>
      </c>
      <c r="G574" t="str" cm="1">
        <f t="array" ref="G574">_xlfn.IFS(Table2[[#This Row],[Spending Score (1-100)]]&lt;=25,"Low",Table2[[#This Row],[Spending Score (1-100)]]&lt;=50,"Medium",Table2[[#This Row],[Spending Score (1-100)]]&lt;=75,"High",Table2[[#This Row],[Spending Score (1-100)]]&lt;=100,"Very High")</f>
        <v>High</v>
      </c>
      <c r="H574" t="s">
        <v>14</v>
      </c>
      <c r="I574">
        <v>4</v>
      </c>
      <c r="J574" t="str">
        <f>CONCATENATE(Table2[[#This Row],[Work Experience]],"years")</f>
        <v>4years</v>
      </c>
      <c r="K574" t="str">
        <f>CONCATENATE(Table2[[#This Row],[Family Size2]],"members")</f>
        <v>5members</v>
      </c>
      <c r="L574" t="str">
        <f>CONCATENATE(Table2[[#This Row],[Family Size2]],"members")</f>
        <v>5members</v>
      </c>
      <c r="M574">
        <v>5</v>
      </c>
    </row>
    <row r="575" spans="1:13">
      <c r="A575">
        <v>574</v>
      </c>
      <c r="B575" t="s">
        <v>11</v>
      </c>
      <c r="C575">
        <v>64</v>
      </c>
      <c r="D575" t="str" cm="1">
        <f t="array" ref="D575">_xlfn.IFS(Table2[[#This Row],[Age]]&lt;=11,"Gen A",Table2[[#This Row],[Age]]&lt;=27,"Gen Z",Table2[[#This Row],[Age]]&lt;=43,"Millenials",Table2[[#This Row],[Age]]&lt;=59,"Gen X",Table2[[#This Row],[Age]]&lt;=78,"Baby Boomers",Table2[[#This Row],[Age]]&lt;=96,"Silent",Table2[[#This Row],[Age]]&gt;=97,"Greatest")</f>
        <v>Baby Boomers</v>
      </c>
      <c r="E575" s="1">
        <v>59088</v>
      </c>
      <c r="F575">
        <v>31</v>
      </c>
      <c r="G575" t="str" cm="1">
        <f t="array" ref="G575">_xlfn.IFS(Table2[[#This Row],[Spending Score (1-100)]]&lt;=25,"Low",Table2[[#This Row],[Spending Score (1-100)]]&lt;=50,"Medium",Table2[[#This Row],[Spending Score (1-100)]]&lt;=75,"High",Table2[[#This Row],[Spending Score (1-100)]]&lt;=100,"Very High")</f>
        <v>Medium</v>
      </c>
      <c r="H575" t="s">
        <v>14</v>
      </c>
      <c r="I575">
        <v>1</v>
      </c>
      <c r="J575" t="str">
        <f>CONCATENATE(Table2[[#This Row],[Work Experience]],"years")</f>
        <v>1years</v>
      </c>
      <c r="K575" t="str">
        <f>CONCATENATE(Table2[[#This Row],[Family Size2]],"members")</f>
        <v>3members</v>
      </c>
      <c r="L575" t="str">
        <f>CONCATENATE(Table2[[#This Row],[Family Size2]],"members")</f>
        <v>3members</v>
      </c>
      <c r="M575">
        <v>3</v>
      </c>
    </row>
    <row r="576" spans="1:13">
      <c r="A576">
        <v>575</v>
      </c>
      <c r="B576" t="s">
        <v>11</v>
      </c>
      <c r="C576">
        <v>91</v>
      </c>
      <c r="D576" t="str" cm="1">
        <f t="array" ref="D576">_xlfn.IFS(Table2[[#This Row],[Age]]&lt;=11,"Gen A",Table2[[#This Row],[Age]]&lt;=27,"Gen Z",Table2[[#This Row],[Age]]&lt;=43,"Millenials",Table2[[#This Row],[Age]]&lt;=59,"Gen X",Table2[[#This Row],[Age]]&lt;=78,"Baby Boomers",Table2[[#This Row],[Age]]&lt;=96,"Silent",Table2[[#This Row],[Age]]&gt;=97,"Greatest")</f>
        <v>Silent</v>
      </c>
      <c r="E576" s="1">
        <v>60856</v>
      </c>
      <c r="F576">
        <v>23</v>
      </c>
      <c r="G576" t="str" cm="1">
        <f t="array" ref="G576">_xlfn.IFS(Table2[[#This Row],[Spending Score (1-100)]]&lt;=25,"Low",Table2[[#This Row],[Spending Score (1-100)]]&lt;=50,"Medium",Table2[[#This Row],[Spending Score (1-100)]]&lt;=75,"High",Table2[[#This Row],[Spending Score (1-100)]]&lt;=100,"Very High")</f>
        <v>Low</v>
      </c>
      <c r="H576" t="s">
        <v>14</v>
      </c>
      <c r="I576">
        <v>1</v>
      </c>
      <c r="J576" t="str">
        <f>CONCATENATE(Table2[[#This Row],[Work Experience]],"years")</f>
        <v>1years</v>
      </c>
      <c r="K576" t="str">
        <f>CONCATENATE(Table2[[#This Row],[Family Size2]],"members")</f>
        <v>6members</v>
      </c>
      <c r="L576" t="str">
        <f>CONCATENATE(Table2[[#This Row],[Family Size2]],"members")</f>
        <v>6members</v>
      </c>
      <c r="M576">
        <v>6</v>
      </c>
    </row>
    <row r="577" spans="1:13">
      <c r="A577">
        <v>576</v>
      </c>
      <c r="B577" t="s">
        <v>8</v>
      </c>
      <c r="C577">
        <v>32</v>
      </c>
      <c r="D577" t="str" cm="1">
        <f t="array" ref="D577">_xlfn.IFS(Table2[[#This Row],[Age]]&lt;=11,"Gen A",Table2[[#This Row],[Age]]&lt;=27,"Gen Z",Table2[[#This Row],[Age]]&lt;=43,"Millenials",Table2[[#This Row],[Age]]&lt;=59,"Gen X",Table2[[#This Row],[Age]]&lt;=78,"Baby Boomers",Table2[[#This Row],[Age]]&lt;=96,"Silent",Table2[[#This Row],[Age]]&gt;=97,"Greatest")</f>
        <v>Millenials</v>
      </c>
      <c r="E577" s="1">
        <v>149900</v>
      </c>
      <c r="F577">
        <v>34</v>
      </c>
      <c r="G577" t="str" cm="1">
        <f t="array" ref="G577">_xlfn.IFS(Table2[[#This Row],[Spending Score (1-100)]]&lt;=25,"Low",Table2[[#This Row],[Spending Score (1-100)]]&lt;=50,"Medium",Table2[[#This Row],[Spending Score (1-100)]]&lt;=75,"High",Table2[[#This Row],[Spending Score (1-100)]]&lt;=100,"Very High")</f>
        <v>Medium</v>
      </c>
      <c r="H577" t="s">
        <v>14</v>
      </c>
      <c r="I577">
        <v>6</v>
      </c>
      <c r="J577" t="str">
        <f>CONCATENATE(Table2[[#This Row],[Work Experience]],"years")</f>
        <v>6years</v>
      </c>
      <c r="K577" t="str">
        <f>CONCATENATE(Table2[[#This Row],[Family Size2]],"members")</f>
        <v>3members</v>
      </c>
      <c r="L577" t="str">
        <f>CONCATENATE(Table2[[#This Row],[Family Size2]],"members")</f>
        <v>3members</v>
      </c>
      <c r="M577">
        <v>3</v>
      </c>
    </row>
    <row r="578" spans="1:13">
      <c r="A578">
        <v>577</v>
      </c>
      <c r="B578" t="s">
        <v>8</v>
      </c>
      <c r="C578">
        <v>15</v>
      </c>
      <c r="D578" t="str" cm="1">
        <f t="array" ref="D578">_xlfn.IFS(Table2[[#This Row],[Age]]&lt;=11,"Gen A",Table2[[#This Row],[Age]]&lt;=27,"Gen Z",Table2[[#This Row],[Age]]&lt;=43,"Millenials",Table2[[#This Row],[Age]]&lt;=59,"Gen X",Table2[[#This Row],[Age]]&lt;=78,"Baby Boomers",Table2[[#This Row],[Age]]&lt;=96,"Silent",Table2[[#This Row],[Age]]&gt;=97,"Greatest")</f>
        <v>Gen Z</v>
      </c>
      <c r="E578" s="1">
        <v>142776</v>
      </c>
      <c r="F578">
        <v>98</v>
      </c>
      <c r="G578" t="str" cm="1">
        <f t="array" ref="G578">_xlfn.IFS(Table2[[#This Row],[Spending Score (1-100)]]&lt;=25,"Low",Table2[[#This Row],[Spending Score (1-100)]]&lt;=50,"Medium",Table2[[#This Row],[Spending Score (1-100)]]&lt;=75,"High",Table2[[#This Row],[Spending Score (1-100)]]&lt;=100,"Very High")</f>
        <v>Very High</v>
      </c>
      <c r="H578" t="s">
        <v>10</v>
      </c>
      <c r="I578">
        <v>8</v>
      </c>
      <c r="J578" t="str">
        <f>CONCATENATE(Table2[[#This Row],[Work Experience]],"years")</f>
        <v>8years</v>
      </c>
      <c r="K578" t="str">
        <f>CONCATENATE(Table2[[#This Row],[Family Size2]],"members")</f>
        <v>5members</v>
      </c>
      <c r="L578" t="str">
        <f>CONCATENATE(Table2[[#This Row],[Family Size2]],"members")</f>
        <v>5members</v>
      </c>
      <c r="M578">
        <v>5</v>
      </c>
    </row>
    <row r="579" spans="1:13">
      <c r="A579">
        <v>578</v>
      </c>
      <c r="B579" t="s">
        <v>8</v>
      </c>
      <c r="C579">
        <v>22</v>
      </c>
      <c r="D579" t="str" cm="1">
        <f t="array" ref="D579">_xlfn.IFS(Table2[[#This Row],[Age]]&lt;=11,"Gen A",Table2[[#This Row],[Age]]&lt;=27,"Gen Z",Table2[[#This Row],[Age]]&lt;=43,"Millenials",Table2[[#This Row],[Age]]&lt;=59,"Gen X",Table2[[#This Row],[Age]]&lt;=78,"Baby Boomers",Table2[[#This Row],[Age]]&lt;=96,"Silent",Table2[[#This Row],[Age]]&gt;=97,"Greatest")</f>
        <v>Gen Z</v>
      </c>
      <c r="E579" s="1">
        <v>162598</v>
      </c>
      <c r="F579">
        <v>84</v>
      </c>
      <c r="G579" t="str" cm="1">
        <f t="array" ref="G579">_xlfn.IFS(Table2[[#This Row],[Spending Score (1-100)]]&lt;=25,"Low",Table2[[#This Row],[Spending Score (1-100)]]&lt;=50,"Medium",Table2[[#This Row],[Spending Score (1-100)]]&lt;=75,"High",Table2[[#This Row],[Spending Score (1-100)]]&lt;=100,"Very High")</f>
        <v>Very High</v>
      </c>
      <c r="H579" t="s">
        <v>14</v>
      </c>
      <c r="I579">
        <v>8</v>
      </c>
      <c r="J579" t="str">
        <f>CONCATENATE(Table2[[#This Row],[Work Experience]],"years")</f>
        <v>8years</v>
      </c>
      <c r="K579" t="str">
        <f>CONCATENATE(Table2[[#This Row],[Family Size2]],"members")</f>
        <v>3members</v>
      </c>
      <c r="L579" t="str">
        <f>CONCATENATE(Table2[[#This Row],[Family Size2]],"members")</f>
        <v>3members</v>
      </c>
      <c r="M579">
        <v>3</v>
      </c>
    </row>
    <row r="580" spans="1:13">
      <c r="A580">
        <v>579</v>
      </c>
      <c r="B580" t="s">
        <v>11</v>
      </c>
      <c r="C580">
        <v>37</v>
      </c>
      <c r="D580" t="str" cm="1">
        <f t="array" ref="D580">_xlfn.IFS(Table2[[#This Row],[Age]]&lt;=11,"Gen A",Table2[[#This Row],[Age]]&lt;=27,"Gen Z",Table2[[#This Row],[Age]]&lt;=43,"Millenials",Table2[[#This Row],[Age]]&lt;=59,"Gen X",Table2[[#This Row],[Age]]&lt;=78,"Baby Boomers",Table2[[#This Row],[Age]]&lt;=96,"Silent",Table2[[#This Row],[Age]]&gt;=97,"Greatest")</f>
        <v>Millenials</v>
      </c>
      <c r="E580" s="1">
        <v>146195</v>
      </c>
      <c r="F580">
        <v>89</v>
      </c>
      <c r="G580" t="str" cm="1">
        <f t="array" ref="G580">_xlfn.IFS(Table2[[#This Row],[Spending Score (1-100)]]&lt;=25,"Low",Table2[[#This Row],[Spending Score (1-100)]]&lt;=50,"Medium",Table2[[#This Row],[Spending Score (1-100)]]&lt;=75,"High",Table2[[#This Row],[Spending Score (1-100)]]&lt;=100,"Very High")</f>
        <v>Very High</v>
      </c>
      <c r="H580" t="s">
        <v>9</v>
      </c>
      <c r="I580">
        <v>4</v>
      </c>
      <c r="J580" t="str">
        <f>CONCATENATE(Table2[[#This Row],[Work Experience]],"years")</f>
        <v>4years</v>
      </c>
      <c r="K580" t="str">
        <f>CONCATENATE(Table2[[#This Row],[Family Size2]],"members")</f>
        <v>4members</v>
      </c>
      <c r="L580" t="str">
        <f>CONCATENATE(Table2[[#This Row],[Family Size2]],"members")</f>
        <v>4members</v>
      </c>
      <c r="M580">
        <v>4</v>
      </c>
    </row>
    <row r="581" spans="1:13">
      <c r="A581">
        <v>580</v>
      </c>
      <c r="B581" t="s">
        <v>8</v>
      </c>
      <c r="C581">
        <v>83</v>
      </c>
      <c r="D581" t="str" cm="1">
        <f t="array" ref="D581">_xlfn.IFS(Table2[[#This Row],[Age]]&lt;=11,"Gen A",Table2[[#This Row],[Age]]&lt;=27,"Gen Z",Table2[[#This Row],[Age]]&lt;=43,"Millenials",Table2[[#This Row],[Age]]&lt;=59,"Gen X",Table2[[#This Row],[Age]]&lt;=78,"Baby Boomers",Table2[[#This Row],[Age]]&lt;=96,"Silent",Table2[[#This Row],[Age]]&gt;=97,"Greatest")</f>
        <v>Silent</v>
      </c>
      <c r="E581" s="1">
        <v>135268</v>
      </c>
      <c r="F581">
        <v>53</v>
      </c>
      <c r="G581" t="str" cm="1">
        <f t="array" ref="G581">_xlfn.IFS(Table2[[#This Row],[Spending Score (1-100)]]&lt;=25,"Low",Table2[[#This Row],[Spending Score (1-100)]]&lt;=50,"Medium",Table2[[#This Row],[Spending Score (1-100)]]&lt;=75,"High",Table2[[#This Row],[Spending Score (1-100)]]&lt;=100,"Very High")</f>
        <v>High</v>
      </c>
      <c r="H581" t="s">
        <v>12</v>
      </c>
      <c r="I581">
        <v>4</v>
      </c>
      <c r="J581" t="str">
        <f>CONCATENATE(Table2[[#This Row],[Work Experience]],"years")</f>
        <v>4years</v>
      </c>
      <c r="K581" t="str">
        <f>CONCATENATE(Table2[[#This Row],[Family Size2]],"members")</f>
        <v>5members</v>
      </c>
      <c r="L581" t="str">
        <f>CONCATENATE(Table2[[#This Row],[Family Size2]],"members")</f>
        <v>5members</v>
      </c>
      <c r="M581">
        <v>5</v>
      </c>
    </row>
    <row r="582" spans="1:13">
      <c r="A582">
        <v>581</v>
      </c>
      <c r="B582" t="s">
        <v>11</v>
      </c>
      <c r="C582">
        <v>89</v>
      </c>
      <c r="D582" t="str" cm="1">
        <f t="array" ref="D582">_xlfn.IFS(Table2[[#This Row],[Age]]&lt;=11,"Gen A",Table2[[#This Row],[Age]]&lt;=27,"Gen Z",Table2[[#This Row],[Age]]&lt;=43,"Millenials",Table2[[#This Row],[Age]]&lt;=59,"Gen X",Table2[[#This Row],[Age]]&lt;=78,"Baby Boomers",Table2[[#This Row],[Age]]&lt;=96,"Silent",Table2[[#This Row],[Age]]&gt;=97,"Greatest")</f>
        <v>Silent</v>
      </c>
      <c r="E582" s="1">
        <v>136037</v>
      </c>
      <c r="F582">
        <v>1</v>
      </c>
      <c r="G582" t="str" cm="1">
        <f t="array" ref="G582">_xlfn.IFS(Table2[[#This Row],[Spending Score (1-100)]]&lt;=25,"Low",Table2[[#This Row],[Spending Score (1-100)]]&lt;=50,"Medium",Table2[[#This Row],[Spending Score (1-100)]]&lt;=75,"High",Table2[[#This Row],[Spending Score (1-100)]]&lt;=100,"Very High")</f>
        <v>Low</v>
      </c>
      <c r="H582" t="s">
        <v>18</v>
      </c>
      <c r="I582">
        <v>5</v>
      </c>
      <c r="J582" t="str">
        <f>CONCATENATE(Table2[[#This Row],[Work Experience]],"years")</f>
        <v>5years</v>
      </c>
      <c r="K582" t="str">
        <f>CONCATENATE(Table2[[#This Row],[Family Size2]],"members")</f>
        <v>1members</v>
      </c>
      <c r="L582" t="str">
        <f>CONCATENATE(Table2[[#This Row],[Family Size2]],"members")</f>
        <v>1members</v>
      </c>
      <c r="M582">
        <v>1</v>
      </c>
    </row>
    <row r="583" spans="1:13">
      <c r="A583">
        <v>582</v>
      </c>
      <c r="B583" t="s">
        <v>11</v>
      </c>
      <c r="C583">
        <v>33</v>
      </c>
      <c r="D583" t="str" cm="1">
        <f t="array" ref="D583">_xlfn.IFS(Table2[[#This Row],[Age]]&lt;=11,"Gen A",Table2[[#This Row],[Age]]&lt;=27,"Gen Z",Table2[[#This Row],[Age]]&lt;=43,"Millenials",Table2[[#This Row],[Age]]&lt;=59,"Gen X",Table2[[#This Row],[Age]]&lt;=78,"Baby Boomers",Table2[[#This Row],[Age]]&lt;=96,"Silent",Table2[[#This Row],[Age]]&gt;=97,"Greatest")</f>
        <v>Millenials</v>
      </c>
      <c r="E583" s="1">
        <v>111191</v>
      </c>
      <c r="F583">
        <v>67</v>
      </c>
      <c r="G583" t="str" cm="1">
        <f t="array" ref="G583">_xlfn.IFS(Table2[[#This Row],[Spending Score (1-100)]]&lt;=25,"Low",Table2[[#This Row],[Spending Score (1-100)]]&lt;=50,"Medium",Table2[[#This Row],[Spending Score (1-100)]]&lt;=75,"High",Table2[[#This Row],[Spending Score (1-100)]]&lt;=100,"Very High")</f>
        <v>High</v>
      </c>
      <c r="H583" t="s">
        <v>14</v>
      </c>
      <c r="I583">
        <v>9</v>
      </c>
      <c r="J583" t="str">
        <f>CONCATENATE(Table2[[#This Row],[Work Experience]],"years")</f>
        <v>9years</v>
      </c>
      <c r="K583" t="str">
        <f>CONCATENATE(Table2[[#This Row],[Family Size2]],"members")</f>
        <v>4members</v>
      </c>
      <c r="L583" t="str">
        <f>CONCATENATE(Table2[[#This Row],[Family Size2]],"members")</f>
        <v>4members</v>
      </c>
      <c r="M583">
        <v>4</v>
      </c>
    </row>
    <row r="584" spans="1:13">
      <c r="A584">
        <v>583</v>
      </c>
      <c r="B584" t="s">
        <v>11</v>
      </c>
      <c r="C584">
        <v>13</v>
      </c>
      <c r="D584" t="str" cm="1">
        <f t="array" ref="D584">_xlfn.IFS(Table2[[#This Row],[Age]]&lt;=11,"Gen A",Table2[[#This Row],[Age]]&lt;=27,"Gen Z",Table2[[#This Row],[Age]]&lt;=43,"Millenials",Table2[[#This Row],[Age]]&lt;=59,"Gen X",Table2[[#This Row],[Age]]&lt;=78,"Baby Boomers",Table2[[#This Row],[Age]]&lt;=96,"Silent",Table2[[#This Row],[Age]]&gt;=97,"Greatest")</f>
        <v>Gen Z</v>
      </c>
      <c r="E584" s="1">
        <v>144111</v>
      </c>
      <c r="F584">
        <v>62</v>
      </c>
      <c r="G584" t="str" cm="1">
        <f t="array" ref="G584">_xlfn.IFS(Table2[[#This Row],[Spending Score (1-100)]]&lt;=25,"Low",Table2[[#This Row],[Spending Score (1-100)]]&lt;=50,"Medium",Table2[[#This Row],[Spending Score (1-100)]]&lt;=75,"High",Table2[[#This Row],[Spending Score (1-100)]]&lt;=100,"Very High")</f>
        <v>High</v>
      </c>
      <c r="H584" t="s">
        <v>13</v>
      </c>
      <c r="I584">
        <v>12</v>
      </c>
      <c r="J584" t="str">
        <f>CONCATENATE(Table2[[#This Row],[Work Experience]],"years")</f>
        <v>12years</v>
      </c>
      <c r="K584" t="str">
        <f>CONCATENATE(Table2[[#This Row],[Family Size2]],"members")</f>
        <v>5members</v>
      </c>
      <c r="L584" t="str">
        <f>CONCATENATE(Table2[[#This Row],[Family Size2]],"members")</f>
        <v>5members</v>
      </c>
      <c r="M584">
        <v>5</v>
      </c>
    </row>
    <row r="585" spans="1:13">
      <c r="A585">
        <v>584</v>
      </c>
      <c r="B585" t="s">
        <v>11</v>
      </c>
      <c r="C585">
        <v>71</v>
      </c>
      <c r="D585" t="str" cm="1">
        <f t="array" ref="D585">_xlfn.IFS(Table2[[#This Row],[Age]]&lt;=11,"Gen A",Table2[[#This Row],[Age]]&lt;=27,"Gen Z",Table2[[#This Row],[Age]]&lt;=43,"Millenials",Table2[[#This Row],[Age]]&lt;=59,"Gen X",Table2[[#This Row],[Age]]&lt;=78,"Baby Boomers",Table2[[#This Row],[Age]]&lt;=96,"Silent",Table2[[#This Row],[Age]]&gt;=97,"Greatest")</f>
        <v>Baby Boomers</v>
      </c>
      <c r="E585" s="1">
        <v>177359</v>
      </c>
      <c r="F585">
        <v>56</v>
      </c>
      <c r="G585" t="str" cm="1">
        <f t="array" ref="G585">_xlfn.IFS(Table2[[#This Row],[Spending Score (1-100)]]&lt;=25,"Low",Table2[[#This Row],[Spending Score (1-100)]]&lt;=50,"Medium",Table2[[#This Row],[Spending Score (1-100)]]&lt;=75,"High",Table2[[#This Row],[Spending Score (1-100)]]&lt;=100,"Very High")</f>
        <v>High</v>
      </c>
      <c r="H585" t="s">
        <v>16</v>
      </c>
      <c r="I585">
        <v>6</v>
      </c>
      <c r="J585" t="str">
        <f>CONCATENATE(Table2[[#This Row],[Work Experience]],"years")</f>
        <v>6years</v>
      </c>
      <c r="K585" t="str">
        <f>CONCATENATE(Table2[[#This Row],[Family Size2]],"members")</f>
        <v>2members</v>
      </c>
      <c r="L585" t="str">
        <f>CONCATENATE(Table2[[#This Row],[Family Size2]],"members")</f>
        <v>2members</v>
      </c>
      <c r="M585">
        <v>2</v>
      </c>
    </row>
    <row r="586" spans="1:13">
      <c r="A586">
        <v>585</v>
      </c>
      <c r="B586" t="s">
        <v>11</v>
      </c>
      <c r="C586">
        <v>10</v>
      </c>
      <c r="D586" t="str" cm="1">
        <f t="array" ref="D586">_xlfn.IFS(Table2[[#This Row],[Age]]&lt;=11,"Gen A",Table2[[#This Row],[Age]]&lt;=27,"Gen Z",Table2[[#This Row],[Age]]&lt;=43,"Millenials",Table2[[#This Row],[Age]]&lt;=59,"Gen X",Table2[[#This Row],[Age]]&lt;=78,"Baby Boomers",Table2[[#This Row],[Age]]&lt;=96,"Silent",Table2[[#This Row],[Age]]&gt;=97,"Greatest")</f>
        <v>Gen A</v>
      </c>
      <c r="E586" s="1">
        <v>112818</v>
      </c>
      <c r="F586">
        <v>85</v>
      </c>
      <c r="G586" t="str" cm="1">
        <f t="array" ref="G586">_xlfn.IFS(Table2[[#This Row],[Spending Score (1-100)]]&lt;=25,"Low",Table2[[#This Row],[Spending Score (1-100)]]&lt;=50,"Medium",Table2[[#This Row],[Spending Score (1-100)]]&lt;=75,"High",Table2[[#This Row],[Spending Score (1-100)]]&lt;=100,"Very High")</f>
        <v>Very High</v>
      </c>
      <c r="H586" t="s">
        <v>18</v>
      </c>
      <c r="I586">
        <v>15</v>
      </c>
      <c r="J586" t="str">
        <f>CONCATENATE(Table2[[#This Row],[Work Experience]],"years")</f>
        <v>15years</v>
      </c>
      <c r="K586" t="str">
        <f>CONCATENATE(Table2[[#This Row],[Family Size2]],"members")</f>
        <v>7members</v>
      </c>
      <c r="L586" t="str">
        <f>CONCATENATE(Table2[[#This Row],[Family Size2]],"members")</f>
        <v>7members</v>
      </c>
      <c r="M586">
        <v>7</v>
      </c>
    </row>
    <row r="587" spans="1:13">
      <c r="A587">
        <v>586</v>
      </c>
      <c r="B587" t="s">
        <v>8</v>
      </c>
      <c r="C587">
        <v>49</v>
      </c>
      <c r="D587" t="str" cm="1">
        <f t="array" ref="D587">_xlfn.IFS(Table2[[#This Row],[Age]]&lt;=11,"Gen A",Table2[[#This Row],[Age]]&lt;=27,"Gen Z",Table2[[#This Row],[Age]]&lt;=43,"Millenials",Table2[[#This Row],[Age]]&lt;=59,"Gen X",Table2[[#This Row],[Age]]&lt;=78,"Baby Boomers",Table2[[#This Row],[Age]]&lt;=96,"Silent",Table2[[#This Row],[Age]]&gt;=97,"Greatest")</f>
        <v>Gen X</v>
      </c>
      <c r="E587" s="1">
        <v>53509</v>
      </c>
      <c r="F587">
        <v>98</v>
      </c>
      <c r="G587" t="str" cm="1">
        <f t="array" ref="G587">_xlfn.IFS(Table2[[#This Row],[Spending Score (1-100)]]&lt;=25,"Low",Table2[[#This Row],[Spending Score (1-100)]]&lt;=50,"Medium",Table2[[#This Row],[Spending Score (1-100)]]&lt;=75,"High",Table2[[#This Row],[Spending Score (1-100)]]&lt;=100,"Very High")</f>
        <v>Very High</v>
      </c>
      <c r="H587" t="s">
        <v>14</v>
      </c>
      <c r="I587">
        <v>5</v>
      </c>
      <c r="J587" t="str">
        <f>CONCATENATE(Table2[[#This Row],[Work Experience]],"years")</f>
        <v>5years</v>
      </c>
      <c r="K587" t="str">
        <f>CONCATENATE(Table2[[#This Row],[Family Size2]],"members")</f>
        <v>4members</v>
      </c>
      <c r="L587" t="str">
        <f>CONCATENATE(Table2[[#This Row],[Family Size2]],"members")</f>
        <v>4members</v>
      </c>
      <c r="M587">
        <v>4</v>
      </c>
    </row>
    <row r="588" spans="1:13">
      <c r="A588">
        <v>587</v>
      </c>
      <c r="B588" t="s">
        <v>11</v>
      </c>
      <c r="C588">
        <v>9</v>
      </c>
      <c r="D588" t="str" cm="1">
        <f t="array" ref="D588">_xlfn.IFS(Table2[[#This Row],[Age]]&lt;=11,"Gen A",Table2[[#This Row],[Age]]&lt;=27,"Gen Z",Table2[[#This Row],[Age]]&lt;=43,"Millenials",Table2[[#This Row],[Age]]&lt;=59,"Gen X",Table2[[#This Row],[Age]]&lt;=78,"Baby Boomers",Table2[[#This Row],[Age]]&lt;=96,"Silent",Table2[[#This Row],[Age]]&gt;=97,"Greatest")</f>
        <v>Gen A</v>
      </c>
      <c r="E588" s="1">
        <v>168269</v>
      </c>
      <c r="F588">
        <v>75</v>
      </c>
      <c r="G588" t="str" cm="1">
        <f t="array" ref="G588">_xlfn.IFS(Table2[[#This Row],[Spending Score (1-100)]]&lt;=25,"Low",Table2[[#This Row],[Spending Score (1-100)]]&lt;=50,"Medium",Table2[[#This Row],[Spending Score (1-100)]]&lt;=75,"High",Table2[[#This Row],[Spending Score (1-100)]]&lt;=100,"Very High")</f>
        <v>High</v>
      </c>
      <c r="H588" t="s">
        <v>15</v>
      </c>
      <c r="I588">
        <v>10</v>
      </c>
      <c r="J588" t="str">
        <f>CONCATENATE(Table2[[#This Row],[Work Experience]],"years")</f>
        <v>10years</v>
      </c>
      <c r="K588" t="str">
        <f>CONCATENATE(Table2[[#This Row],[Family Size2]],"members")</f>
        <v>2members</v>
      </c>
      <c r="L588" t="str">
        <f>CONCATENATE(Table2[[#This Row],[Family Size2]],"members")</f>
        <v>2members</v>
      </c>
      <c r="M588">
        <v>2</v>
      </c>
    </row>
    <row r="589" spans="1:13">
      <c r="A589">
        <v>588</v>
      </c>
      <c r="B589" t="s">
        <v>11</v>
      </c>
      <c r="C589">
        <v>53</v>
      </c>
      <c r="D589" t="str" cm="1">
        <f t="array" ref="D589">_xlfn.IFS(Table2[[#This Row],[Age]]&lt;=11,"Gen A",Table2[[#This Row],[Age]]&lt;=27,"Gen Z",Table2[[#This Row],[Age]]&lt;=43,"Millenials",Table2[[#This Row],[Age]]&lt;=59,"Gen X",Table2[[#This Row],[Age]]&lt;=78,"Baby Boomers",Table2[[#This Row],[Age]]&lt;=96,"Silent",Table2[[#This Row],[Age]]&gt;=97,"Greatest")</f>
        <v>Gen X</v>
      </c>
      <c r="E589" s="1">
        <v>86766</v>
      </c>
      <c r="F589">
        <v>2</v>
      </c>
      <c r="G589" t="str" cm="1">
        <f t="array" ref="G589">_xlfn.IFS(Table2[[#This Row],[Spending Score (1-100)]]&lt;=25,"Low",Table2[[#This Row],[Spending Score (1-100)]]&lt;=50,"Medium",Table2[[#This Row],[Spending Score (1-100)]]&lt;=75,"High",Table2[[#This Row],[Spending Score (1-100)]]&lt;=100,"Very High")</f>
        <v>Low</v>
      </c>
      <c r="H589" t="s">
        <v>12</v>
      </c>
      <c r="I589">
        <v>16</v>
      </c>
      <c r="J589" t="str">
        <f>CONCATENATE(Table2[[#This Row],[Work Experience]],"years")</f>
        <v>16years</v>
      </c>
      <c r="K589" t="str">
        <f>CONCATENATE(Table2[[#This Row],[Family Size2]],"members")</f>
        <v>3members</v>
      </c>
      <c r="L589" t="str">
        <f>CONCATENATE(Table2[[#This Row],[Family Size2]],"members")</f>
        <v>3members</v>
      </c>
      <c r="M589">
        <v>3</v>
      </c>
    </row>
    <row r="590" spans="1:13">
      <c r="A590">
        <v>589</v>
      </c>
      <c r="B590" t="s">
        <v>11</v>
      </c>
      <c r="C590">
        <v>63</v>
      </c>
      <c r="D590" t="str" cm="1">
        <f t="array" ref="D590">_xlfn.IFS(Table2[[#This Row],[Age]]&lt;=11,"Gen A",Table2[[#This Row],[Age]]&lt;=27,"Gen Z",Table2[[#This Row],[Age]]&lt;=43,"Millenials",Table2[[#This Row],[Age]]&lt;=59,"Gen X",Table2[[#This Row],[Age]]&lt;=78,"Baby Boomers",Table2[[#This Row],[Age]]&lt;=96,"Silent",Table2[[#This Row],[Age]]&gt;=97,"Greatest")</f>
        <v>Baby Boomers</v>
      </c>
      <c r="E590" s="1">
        <v>52661</v>
      </c>
      <c r="F590">
        <v>25</v>
      </c>
      <c r="G590" t="str" cm="1">
        <f t="array" ref="G590">_xlfn.IFS(Table2[[#This Row],[Spending Score (1-100)]]&lt;=25,"Low",Table2[[#This Row],[Spending Score (1-100)]]&lt;=50,"Medium",Table2[[#This Row],[Spending Score (1-100)]]&lt;=75,"High",Table2[[#This Row],[Spending Score (1-100)]]&lt;=100,"Very High")</f>
        <v>Low</v>
      </c>
      <c r="H590" t="s">
        <v>9</v>
      </c>
      <c r="I590">
        <v>12</v>
      </c>
      <c r="J590" t="str">
        <f>CONCATENATE(Table2[[#This Row],[Work Experience]],"years")</f>
        <v>12years</v>
      </c>
      <c r="K590" t="str">
        <f>CONCATENATE(Table2[[#This Row],[Family Size2]],"members")</f>
        <v>5members</v>
      </c>
      <c r="L590" t="str">
        <f>CONCATENATE(Table2[[#This Row],[Family Size2]],"members")</f>
        <v>5members</v>
      </c>
      <c r="M590">
        <v>5</v>
      </c>
    </row>
    <row r="591" spans="1:13">
      <c r="A591">
        <v>590</v>
      </c>
      <c r="B591" t="s">
        <v>11</v>
      </c>
      <c r="C591">
        <v>46</v>
      </c>
      <c r="D591" t="str" cm="1">
        <f t="array" ref="D591">_xlfn.IFS(Table2[[#This Row],[Age]]&lt;=11,"Gen A",Table2[[#This Row],[Age]]&lt;=27,"Gen Z",Table2[[#This Row],[Age]]&lt;=43,"Millenials",Table2[[#This Row],[Age]]&lt;=59,"Gen X",Table2[[#This Row],[Age]]&lt;=78,"Baby Boomers",Table2[[#This Row],[Age]]&lt;=96,"Silent",Table2[[#This Row],[Age]]&gt;=97,"Greatest")</f>
        <v>Gen X</v>
      </c>
      <c r="E591" s="1">
        <v>148520</v>
      </c>
      <c r="F591">
        <v>14</v>
      </c>
      <c r="G591" t="str" cm="1">
        <f t="array" ref="G591">_xlfn.IFS(Table2[[#This Row],[Spending Score (1-100)]]&lt;=25,"Low",Table2[[#This Row],[Spending Score (1-100)]]&lt;=50,"Medium",Table2[[#This Row],[Spending Score (1-100)]]&lt;=75,"High",Table2[[#This Row],[Spending Score (1-100)]]&lt;=100,"Very High")</f>
        <v>Low</v>
      </c>
      <c r="H591" t="s">
        <v>9</v>
      </c>
      <c r="I591">
        <v>11</v>
      </c>
      <c r="J591" t="str">
        <f>CONCATENATE(Table2[[#This Row],[Work Experience]],"years")</f>
        <v>11years</v>
      </c>
      <c r="K591" t="str">
        <f>CONCATENATE(Table2[[#This Row],[Family Size2]],"members")</f>
        <v>5members</v>
      </c>
      <c r="L591" t="str">
        <f>CONCATENATE(Table2[[#This Row],[Family Size2]],"members")</f>
        <v>5members</v>
      </c>
      <c r="M591">
        <v>5</v>
      </c>
    </row>
    <row r="592" spans="1:13">
      <c r="A592">
        <v>591</v>
      </c>
      <c r="B592" t="s">
        <v>8</v>
      </c>
      <c r="C592">
        <v>42</v>
      </c>
      <c r="D592" t="str" cm="1">
        <f t="array" ref="D592">_xlfn.IFS(Table2[[#This Row],[Age]]&lt;=11,"Gen A",Table2[[#This Row],[Age]]&lt;=27,"Gen Z",Table2[[#This Row],[Age]]&lt;=43,"Millenials",Table2[[#This Row],[Age]]&lt;=59,"Gen X",Table2[[#This Row],[Age]]&lt;=78,"Baby Boomers",Table2[[#This Row],[Age]]&lt;=96,"Silent",Table2[[#This Row],[Age]]&gt;=97,"Greatest")</f>
        <v>Millenials</v>
      </c>
      <c r="E592" s="1">
        <v>149936</v>
      </c>
      <c r="F592">
        <v>52</v>
      </c>
      <c r="G592" t="str" cm="1">
        <f t="array" ref="G592">_xlfn.IFS(Table2[[#This Row],[Spending Score (1-100)]]&lt;=25,"Low",Table2[[#This Row],[Spending Score (1-100)]]&lt;=50,"Medium",Table2[[#This Row],[Spending Score (1-100)]]&lt;=75,"High",Table2[[#This Row],[Spending Score (1-100)]]&lt;=100,"Very High")</f>
        <v>High</v>
      </c>
      <c r="H592" t="s">
        <v>14</v>
      </c>
      <c r="I592">
        <v>15</v>
      </c>
      <c r="J592" t="str">
        <f>CONCATENATE(Table2[[#This Row],[Work Experience]],"years")</f>
        <v>15years</v>
      </c>
      <c r="K592" t="str">
        <f>CONCATENATE(Table2[[#This Row],[Family Size2]],"members")</f>
        <v>3members</v>
      </c>
      <c r="L592" t="str">
        <f>CONCATENATE(Table2[[#This Row],[Family Size2]],"members")</f>
        <v>3members</v>
      </c>
      <c r="M592">
        <v>3</v>
      </c>
    </row>
    <row r="593" spans="1:13">
      <c r="A593">
        <v>592</v>
      </c>
      <c r="B593" t="s">
        <v>11</v>
      </c>
      <c r="C593">
        <v>73</v>
      </c>
      <c r="D593" t="str" cm="1">
        <f t="array" ref="D593">_xlfn.IFS(Table2[[#This Row],[Age]]&lt;=11,"Gen A",Table2[[#This Row],[Age]]&lt;=27,"Gen Z",Table2[[#This Row],[Age]]&lt;=43,"Millenials",Table2[[#This Row],[Age]]&lt;=59,"Gen X",Table2[[#This Row],[Age]]&lt;=78,"Baby Boomers",Table2[[#This Row],[Age]]&lt;=96,"Silent",Table2[[#This Row],[Age]]&gt;=97,"Greatest")</f>
        <v>Baby Boomers</v>
      </c>
      <c r="E593" s="1">
        <v>102296</v>
      </c>
      <c r="F593">
        <v>31</v>
      </c>
      <c r="G593" t="str" cm="1">
        <f t="array" ref="G593">_xlfn.IFS(Table2[[#This Row],[Spending Score (1-100)]]&lt;=25,"Low",Table2[[#This Row],[Spending Score (1-100)]]&lt;=50,"Medium",Table2[[#This Row],[Spending Score (1-100)]]&lt;=75,"High",Table2[[#This Row],[Spending Score (1-100)]]&lt;=100,"Very High")</f>
        <v>Medium</v>
      </c>
      <c r="H593" t="s">
        <v>13</v>
      </c>
      <c r="I593">
        <v>7</v>
      </c>
      <c r="J593" t="str">
        <f>CONCATENATE(Table2[[#This Row],[Work Experience]],"years")</f>
        <v>7years</v>
      </c>
      <c r="K593" t="str">
        <f>CONCATENATE(Table2[[#This Row],[Family Size2]],"members")</f>
        <v>5members</v>
      </c>
      <c r="L593" t="str">
        <f>CONCATENATE(Table2[[#This Row],[Family Size2]],"members")</f>
        <v>5members</v>
      </c>
      <c r="M593">
        <v>5</v>
      </c>
    </row>
    <row r="594" spans="1:13">
      <c r="A594">
        <v>593</v>
      </c>
      <c r="B594" t="s">
        <v>8</v>
      </c>
      <c r="C594">
        <v>75</v>
      </c>
      <c r="D594" t="str" cm="1">
        <f t="array" ref="D594">_xlfn.IFS(Table2[[#This Row],[Age]]&lt;=11,"Gen A",Table2[[#This Row],[Age]]&lt;=27,"Gen Z",Table2[[#This Row],[Age]]&lt;=43,"Millenials",Table2[[#This Row],[Age]]&lt;=59,"Gen X",Table2[[#This Row],[Age]]&lt;=78,"Baby Boomers",Table2[[#This Row],[Age]]&lt;=96,"Silent",Table2[[#This Row],[Age]]&gt;=97,"Greatest")</f>
        <v>Baby Boomers</v>
      </c>
      <c r="E594" s="1">
        <v>178416</v>
      </c>
      <c r="F594">
        <v>16</v>
      </c>
      <c r="G594" t="str" cm="1">
        <f t="array" ref="G594">_xlfn.IFS(Table2[[#This Row],[Spending Score (1-100)]]&lt;=25,"Low",Table2[[#This Row],[Spending Score (1-100)]]&lt;=50,"Medium",Table2[[#This Row],[Spending Score (1-100)]]&lt;=75,"High",Table2[[#This Row],[Spending Score (1-100)]]&lt;=100,"Very High")</f>
        <v>Low</v>
      </c>
      <c r="H594" t="s">
        <v>15</v>
      </c>
      <c r="I594">
        <v>10</v>
      </c>
      <c r="J594" t="str">
        <f>CONCATENATE(Table2[[#This Row],[Work Experience]],"years")</f>
        <v>10years</v>
      </c>
      <c r="K594" t="str">
        <f>CONCATENATE(Table2[[#This Row],[Family Size2]],"members")</f>
        <v>7members</v>
      </c>
      <c r="L594" t="str">
        <f>CONCATENATE(Table2[[#This Row],[Family Size2]],"members")</f>
        <v>7members</v>
      </c>
      <c r="M594">
        <v>7</v>
      </c>
    </row>
    <row r="595" spans="1:13">
      <c r="A595">
        <v>594</v>
      </c>
      <c r="B595" t="s">
        <v>11</v>
      </c>
      <c r="C595">
        <v>49</v>
      </c>
      <c r="D595" t="str" cm="1">
        <f t="array" ref="D595">_xlfn.IFS(Table2[[#This Row],[Age]]&lt;=11,"Gen A",Table2[[#This Row],[Age]]&lt;=27,"Gen Z",Table2[[#This Row],[Age]]&lt;=43,"Millenials",Table2[[#This Row],[Age]]&lt;=59,"Gen X",Table2[[#This Row],[Age]]&lt;=78,"Baby Boomers",Table2[[#This Row],[Age]]&lt;=96,"Silent",Table2[[#This Row],[Age]]&gt;=97,"Greatest")</f>
        <v>Gen X</v>
      </c>
      <c r="E595" s="1">
        <v>83788</v>
      </c>
      <c r="F595">
        <v>41</v>
      </c>
      <c r="G595" t="str" cm="1">
        <f t="array" ref="G595">_xlfn.IFS(Table2[[#This Row],[Spending Score (1-100)]]&lt;=25,"Low",Table2[[#This Row],[Spending Score (1-100)]]&lt;=50,"Medium",Table2[[#This Row],[Spending Score (1-100)]]&lt;=75,"High",Table2[[#This Row],[Spending Score (1-100)]]&lt;=100,"Very High")</f>
        <v>Medium</v>
      </c>
      <c r="H595" t="s">
        <v>16</v>
      </c>
      <c r="I595">
        <v>15</v>
      </c>
      <c r="J595" t="str">
        <f>CONCATENATE(Table2[[#This Row],[Work Experience]],"years")</f>
        <v>15years</v>
      </c>
      <c r="K595" t="str">
        <f>CONCATENATE(Table2[[#This Row],[Family Size2]],"members")</f>
        <v>1members</v>
      </c>
      <c r="L595" t="str">
        <f>CONCATENATE(Table2[[#This Row],[Family Size2]],"members")</f>
        <v>1members</v>
      </c>
      <c r="M595">
        <v>1</v>
      </c>
    </row>
    <row r="596" spans="1:13">
      <c r="A596">
        <v>595</v>
      </c>
      <c r="B596" t="s">
        <v>11</v>
      </c>
      <c r="C596">
        <v>96</v>
      </c>
      <c r="D596" t="str" cm="1">
        <f t="array" ref="D596">_xlfn.IFS(Table2[[#This Row],[Age]]&lt;=11,"Gen A",Table2[[#This Row],[Age]]&lt;=27,"Gen Z",Table2[[#This Row],[Age]]&lt;=43,"Millenials",Table2[[#This Row],[Age]]&lt;=59,"Gen X",Table2[[#This Row],[Age]]&lt;=78,"Baby Boomers",Table2[[#This Row],[Age]]&lt;=96,"Silent",Table2[[#This Row],[Age]]&gt;=97,"Greatest")</f>
        <v>Silent</v>
      </c>
      <c r="E596" s="1">
        <v>184771</v>
      </c>
      <c r="F596">
        <v>77</v>
      </c>
      <c r="G596" t="str" cm="1">
        <f t="array" ref="G596">_xlfn.IFS(Table2[[#This Row],[Spending Score (1-100)]]&lt;=25,"Low",Table2[[#This Row],[Spending Score (1-100)]]&lt;=50,"Medium",Table2[[#This Row],[Spending Score (1-100)]]&lt;=75,"High",Table2[[#This Row],[Spending Score (1-100)]]&lt;=100,"Very High")</f>
        <v>Very High</v>
      </c>
      <c r="H596" t="s">
        <v>10</v>
      </c>
      <c r="I596">
        <v>8</v>
      </c>
      <c r="J596" t="str">
        <f>CONCATENATE(Table2[[#This Row],[Work Experience]],"years")</f>
        <v>8years</v>
      </c>
      <c r="K596" t="str">
        <f>CONCATENATE(Table2[[#This Row],[Family Size2]],"members")</f>
        <v>5members</v>
      </c>
      <c r="L596" t="str">
        <f>CONCATENATE(Table2[[#This Row],[Family Size2]],"members")</f>
        <v>5members</v>
      </c>
      <c r="M596">
        <v>5</v>
      </c>
    </row>
    <row r="597" spans="1:13">
      <c r="A597">
        <v>596</v>
      </c>
      <c r="B597" t="s">
        <v>11</v>
      </c>
      <c r="C597">
        <v>52</v>
      </c>
      <c r="D597" t="str" cm="1">
        <f t="array" ref="D597">_xlfn.IFS(Table2[[#This Row],[Age]]&lt;=11,"Gen A",Table2[[#This Row],[Age]]&lt;=27,"Gen Z",Table2[[#This Row],[Age]]&lt;=43,"Millenials",Table2[[#This Row],[Age]]&lt;=59,"Gen X",Table2[[#This Row],[Age]]&lt;=78,"Baby Boomers",Table2[[#This Row],[Age]]&lt;=96,"Silent",Table2[[#This Row],[Age]]&gt;=97,"Greatest")</f>
        <v>Gen X</v>
      </c>
      <c r="E597" s="1">
        <v>70302</v>
      </c>
      <c r="F597">
        <v>88</v>
      </c>
      <c r="G597" t="str" cm="1">
        <f t="array" ref="G597">_xlfn.IFS(Table2[[#This Row],[Spending Score (1-100)]]&lt;=25,"Low",Table2[[#This Row],[Spending Score (1-100)]]&lt;=50,"Medium",Table2[[#This Row],[Spending Score (1-100)]]&lt;=75,"High",Table2[[#This Row],[Spending Score (1-100)]]&lt;=100,"Very High")</f>
        <v>Very High</v>
      </c>
      <c r="H597" t="s">
        <v>15</v>
      </c>
      <c r="I597">
        <v>14</v>
      </c>
      <c r="J597" t="str">
        <f>CONCATENATE(Table2[[#This Row],[Work Experience]],"years")</f>
        <v>14years</v>
      </c>
      <c r="K597" t="str">
        <f>CONCATENATE(Table2[[#This Row],[Family Size2]],"members")</f>
        <v>3members</v>
      </c>
      <c r="L597" t="str">
        <f>CONCATENATE(Table2[[#This Row],[Family Size2]],"members")</f>
        <v>3members</v>
      </c>
      <c r="M597">
        <v>3</v>
      </c>
    </row>
    <row r="598" spans="1:13">
      <c r="A598">
        <v>597</v>
      </c>
      <c r="B598" t="s">
        <v>11</v>
      </c>
      <c r="C598">
        <v>15</v>
      </c>
      <c r="D598" t="str" cm="1">
        <f t="array" ref="D598">_xlfn.IFS(Table2[[#This Row],[Age]]&lt;=11,"Gen A",Table2[[#This Row],[Age]]&lt;=27,"Gen Z",Table2[[#This Row],[Age]]&lt;=43,"Millenials",Table2[[#This Row],[Age]]&lt;=59,"Gen X",Table2[[#This Row],[Age]]&lt;=78,"Baby Boomers",Table2[[#This Row],[Age]]&lt;=96,"Silent",Table2[[#This Row],[Age]]&gt;=97,"Greatest")</f>
        <v>Gen Z</v>
      </c>
      <c r="E598" s="1">
        <v>58639</v>
      </c>
      <c r="F598">
        <v>51</v>
      </c>
      <c r="G598" t="str" cm="1">
        <f t="array" ref="G598">_xlfn.IFS(Table2[[#This Row],[Spending Score (1-100)]]&lt;=25,"Low",Table2[[#This Row],[Spending Score (1-100)]]&lt;=50,"Medium",Table2[[#This Row],[Spending Score (1-100)]]&lt;=75,"High",Table2[[#This Row],[Spending Score (1-100)]]&lt;=100,"Very High")</f>
        <v>High</v>
      </c>
      <c r="H598" t="s">
        <v>13</v>
      </c>
      <c r="I598">
        <v>5</v>
      </c>
      <c r="J598" t="str">
        <f>CONCATENATE(Table2[[#This Row],[Work Experience]],"years")</f>
        <v>5years</v>
      </c>
      <c r="K598" t="str">
        <f>CONCATENATE(Table2[[#This Row],[Family Size2]],"members")</f>
        <v>7members</v>
      </c>
      <c r="L598" t="str">
        <f>CONCATENATE(Table2[[#This Row],[Family Size2]],"members")</f>
        <v>7members</v>
      </c>
      <c r="M598">
        <v>7</v>
      </c>
    </row>
    <row r="599" spans="1:13">
      <c r="A599">
        <v>598</v>
      </c>
      <c r="B599" t="s">
        <v>8</v>
      </c>
      <c r="C599">
        <v>91</v>
      </c>
      <c r="D599" t="str" cm="1">
        <f t="array" ref="D599">_xlfn.IFS(Table2[[#This Row],[Age]]&lt;=11,"Gen A",Table2[[#This Row],[Age]]&lt;=27,"Gen Z",Table2[[#This Row],[Age]]&lt;=43,"Millenials",Table2[[#This Row],[Age]]&lt;=59,"Gen X",Table2[[#This Row],[Age]]&lt;=78,"Baby Boomers",Table2[[#This Row],[Age]]&lt;=96,"Silent",Table2[[#This Row],[Age]]&gt;=97,"Greatest")</f>
        <v>Silent</v>
      </c>
      <c r="E599" s="1">
        <v>97879</v>
      </c>
      <c r="F599">
        <v>40</v>
      </c>
      <c r="G599" t="str" cm="1">
        <f t="array" ref="G599">_xlfn.IFS(Table2[[#This Row],[Spending Score (1-100)]]&lt;=25,"Low",Table2[[#This Row],[Spending Score (1-100)]]&lt;=50,"Medium",Table2[[#This Row],[Spending Score (1-100)]]&lt;=75,"High",Table2[[#This Row],[Spending Score (1-100)]]&lt;=100,"Very High")</f>
        <v>Medium</v>
      </c>
      <c r="H599" t="s">
        <v>13</v>
      </c>
      <c r="I599">
        <v>15</v>
      </c>
      <c r="J599" t="str">
        <f>CONCATENATE(Table2[[#This Row],[Work Experience]],"years")</f>
        <v>15years</v>
      </c>
      <c r="K599" t="str">
        <f>CONCATENATE(Table2[[#This Row],[Family Size2]],"members")</f>
        <v>7members</v>
      </c>
      <c r="L599" t="str">
        <f>CONCATENATE(Table2[[#This Row],[Family Size2]],"members")</f>
        <v>7members</v>
      </c>
      <c r="M599">
        <v>7</v>
      </c>
    </row>
    <row r="600" spans="1:13">
      <c r="A600">
        <v>599</v>
      </c>
      <c r="B600" t="s">
        <v>8</v>
      </c>
      <c r="C600">
        <v>22</v>
      </c>
      <c r="D600" t="str" cm="1">
        <f t="array" ref="D600">_xlfn.IFS(Table2[[#This Row],[Age]]&lt;=11,"Gen A",Table2[[#This Row],[Age]]&lt;=27,"Gen Z",Table2[[#This Row],[Age]]&lt;=43,"Millenials",Table2[[#This Row],[Age]]&lt;=59,"Gen X",Table2[[#This Row],[Age]]&lt;=78,"Baby Boomers",Table2[[#This Row],[Age]]&lt;=96,"Silent",Table2[[#This Row],[Age]]&gt;=97,"Greatest")</f>
        <v>Gen Z</v>
      </c>
      <c r="E600" s="1">
        <v>64707</v>
      </c>
      <c r="F600">
        <v>29</v>
      </c>
      <c r="G600" t="str" cm="1">
        <f t="array" ref="G600">_xlfn.IFS(Table2[[#This Row],[Spending Score (1-100)]]&lt;=25,"Low",Table2[[#This Row],[Spending Score (1-100)]]&lt;=50,"Medium",Table2[[#This Row],[Spending Score (1-100)]]&lt;=75,"High",Table2[[#This Row],[Spending Score (1-100)]]&lt;=100,"Very High")</f>
        <v>Medium</v>
      </c>
      <c r="H600" t="s">
        <v>13</v>
      </c>
      <c r="I600">
        <v>7</v>
      </c>
      <c r="J600" t="str">
        <f>CONCATENATE(Table2[[#This Row],[Work Experience]],"years")</f>
        <v>7years</v>
      </c>
      <c r="K600" t="str">
        <f>CONCATENATE(Table2[[#This Row],[Family Size2]],"members")</f>
        <v>3members</v>
      </c>
      <c r="L600" t="str">
        <f>CONCATENATE(Table2[[#This Row],[Family Size2]],"members")</f>
        <v>3members</v>
      </c>
      <c r="M600">
        <v>3</v>
      </c>
    </row>
    <row r="601" spans="1:13">
      <c r="A601">
        <v>600</v>
      </c>
      <c r="B601" t="s">
        <v>8</v>
      </c>
      <c r="C601">
        <v>62</v>
      </c>
      <c r="D601" t="str" cm="1">
        <f t="array" ref="D601">_xlfn.IFS(Table2[[#This Row],[Age]]&lt;=11,"Gen A",Table2[[#This Row],[Age]]&lt;=27,"Gen Z",Table2[[#This Row],[Age]]&lt;=43,"Millenials",Table2[[#This Row],[Age]]&lt;=59,"Gen X",Table2[[#This Row],[Age]]&lt;=78,"Baby Boomers",Table2[[#This Row],[Age]]&lt;=96,"Silent",Table2[[#This Row],[Age]]&gt;=97,"Greatest")</f>
        <v>Baby Boomers</v>
      </c>
      <c r="E601" s="1">
        <v>71795</v>
      </c>
      <c r="F601">
        <v>87</v>
      </c>
      <c r="G601" t="str" cm="1">
        <f t="array" ref="G601">_xlfn.IFS(Table2[[#This Row],[Spending Score (1-100)]]&lt;=25,"Low",Table2[[#This Row],[Spending Score (1-100)]]&lt;=50,"Medium",Table2[[#This Row],[Spending Score (1-100)]]&lt;=75,"High",Table2[[#This Row],[Spending Score (1-100)]]&lt;=100,"Very High")</f>
        <v>Very High</v>
      </c>
      <c r="H601" t="s">
        <v>9</v>
      </c>
      <c r="I601">
        <v>8</v>
      </c>
      <c r="J601" t="str">
        <f>CONCATENATE(Table2[[#This Row],[Work Experience]],"years")</f>
        <v>8years</v>
      </c>
      <c r="K601" t="str">
        <f>CONCATENATE(Table2[[#This Row],[Family Size2]],"members")</f>
        <v>1members</v>
      </c>
      <c r="L601" t="str">
        <f>CONCATENATE(Table2[[#This Row],[Family Size2]],"members")</f>
        <v>1members</v>
      </c>
      <c r="M601">
        <v>1</v>
      </c>
    </row>
    <row r="602" spans="1:13">
      <c r="A602">
        <v>601</v>
      </c>
      <c r="B602" t="s">
        <v>8</v>
      </c>
      <c r="C602">
        <v>41</v>
      </c>
      <c r="D602" t="str" cm="1">
        <f t="array" ref="D602">_xlfn.IFS(Table2[[#This Row],[Age]]&lt;=11,"Gen A",Table2[[#This Row],[Age]]&lt;=27,"Gen Z",Table2[[#This Row],[Age]]&lt;=43,"Millenials",Table2[[#This Row],[Age]]&lt;=59,"Gen X",Table2[[#This Row],[Age]]&lt;=78,"Baby Boomers",Table2[[#This Row],[Age]]&lt;=96,"Silent",Table2[[#This Row],[Age]]&gt;=97,"Greatest")</f>
        <v>Millenials</v>
      </c>
      <c r="E602" s="1">
        <v>76567</v>
      </c>
      <c r="F602">
        <v>85</v>
      </c>
      <c r="G602" t="str" cm="1">
        <f t="array" ref="G602">_xlfn.IFS(Table2[[#This Row],[Spending Score (1-100)]]&lt;=25,"Low",Table2[[#This Row],[Spending Score (1-100)]]&lt;=50,"Medium",Table2[[#This Row],[Spending Score (1-100)]]&lt;=75,"High",Table2[[#This Row],[Spending Score (1-100)]]&lt;=100,"Very High")</f>
        <v>Very High</v>
      </c>
      <c r="H602" t="s">
        <v>16</v>
      </c>
      <c r="I602">
        <v>16</v>
      </c>
      <c r="J602" t="str">
        <f>CONCATENATE(Table2[[#This Row],[Work Experience]],"years")</f>
        <v>16years</v>
      </c>
      <c r="K602" t="str">
        <f>CONCATENATE(Table2[[#This Row],[Family Size2]],"members")</f>
        <v>1members</v>
      </c>
      <c r="L602" t="str">
        <f>CONCATENATE(Table2[[#This Row],[Family Size2]],"members")</f>
        <v>1members</v>
      </c>
      <c r="M602">
        <v>1</v>
      </c>
    </row>
    <row r="603" spans="1:13">
      <c r="A603">
        <v>602</v>
      </c>
      <c r="B603" t="s">
        <v>8</v>
      </c>
      <c r="C603">
        <v>61</v>
      </c>
      <c r="D603" t="str" cm="1">
        <f t="array" ref="D603">_xlfn.IFS(Table2[[#This Row],[Age]]&lt;=11,"Gen A",Table2[[#This Row],[Age]]&lt;=27,"Gen Z",Table2[[#This Row],[Age]]&lt;=43,"Millenials",Table2[[#This Row],[Age]]&lt;=59,"Gen X",Table2[[#This Row],[Age]]&lt;=78,"Baby Boomers",Table2[[#This Row],[Age]]&lt;=96,"Silent",Table2[[#This Row],[Age]]&gt;=97,"Greatest")</f>
        <v>Baby Boomers</v>
      </c>
      <c r="E603" s="1">
        <v>126370</v>
      </c>
      <c r="F603">
        <v>20</v>
      </c>
      <c r="G603" t="str" cm="1">
        <f t="array" ref="G603">_xlfn.IFS(Table2[[#This Row],[Spending Score (1-100)]]&lt;=25,"Low",Table2[[#This Row],[Spending Score (1-100)]]&lt;=50,"Medium",Table2[[#This Row],[Spending Score (1-100)]]&lt;=75,"High",Table2[[#This Row],[Spending Score (1-100)]]&lt;=100,"Very High")</f>
        <v>Low</v>
      </c>
      <c r="H603" t="s">
        <v>19</v>
      </c>
      <c r="I603">
        <v>11</v>
      </c>
      <c r="J603" t="str">
        <f>CONCATENATE(Table2[[#This Row],[Work Experience]],"years")</f>
        <v>11years</v>
      </c>
      <c r="K603" t="str">
        <f>CONCATENATE(Table2[[#This Row],[Family Size2]],"members")</f>
        <v>4members</v>
      </c>
      <c r="L603" t="str">
        <f>CONCATENATE(Table2[[#This Row],[Family Size2]],"members")</f>
        <v>4members</v>
      </c>
      <c r="M603">
        <v>4</v>
      </c>
    </row>
    <row r="604" spans="1:13">
      <c r="A604">
        <v>603</v>
      </c>
      <c r="B604" t="s">
        <v>11</v>
      </c>
      <c r="C604">
        <v>71</v>
      </c>
      <c r="D604" t="str" cm="1">
        <f t="array" ref="D604">_xlfn.IFS(Table2[[#This Row],[Age]]&lt;=11,"Gen A",Table2[[#This Row],[Age]]&lt;=27,"Gen Z",Table2[[#This Row],[Age]]&lt;=43,"Millenials",Table2[[#This Row],[Age]]&lt;=59,"Gen X",Table2[[#This Row],[Age]]&lt;=78,"Baby Boomers",Table2[[#This Row],[Age]]&lt;=96,"Silent",Table2[[#This Row],[Age]]&gt;=97,"Greatest")</f>
        <v>Baby Boomers</v>
      </c>
      <c r="E604" s="1">
        <v>154007</v>
      </c>
      <c r="F604">
        <v>32</v>
      </c>
      <c r="G604" t="str" cm="1">
        <f t="array" ref="G604">_xlfn.IFS(Table2[[#This Row],[Spending Score (1-100)]]&lt;=25,"Low",Table2[[#This Row],[Spending Score (1-100)]]&lt;=50,"Medium",Table2[[#This Row],[Spending Score (1-100)]]&lt;=75,"High",Table2[[#This Row],[Spending Score (1-100)]]&lt;=100,"Very High")</f>
        <v>Medium</v>
      </c>
      <c r="H604" t="s">
        <v>14</v>
      </c>
      <c r="I604">
        <v>7</v>
      </c>
      <c r="J604" t="str">
        <f>CONCATENATE(Table2[[#This Row],[Work Experience]],"years")</f>
        <v>7years</v>
      </c>
      <c r="K604" t="str">
        <f>CONCATENATE(Table2[[#This Row],[Family Size2]],"members")</f>
        <v>7members</v>
      </c>
      <c r="L604" t="str">
        <f>CONCATENATE(Table2[[#This Row],[Family Size2]],"members")</f>
        <v>7members</v>
      </c>
      <c r="M604">
        <v>7</v>
      </c>
    </row>
    <row r="605" spans="1:13">
      <c r="A605">
        <v>604</v>
      </c>
      <c r="B605" t="s">
        <v>11</v>
      </c>
      <c r="C605">
        <v>91</v>
      </c>
      <c r="D605" t="str" cm="1">
        <f t="array" ref="D605">_xlfn.IFS(Table2[[#This Row],[Age]]&lt;=11,"Gen A",Table2[[#This Row],[Age]]&lt;=27,"Gen Z",Table2[[#This Row],[Age]]&lt;=43,"Millenials",Table2[[#This Row],[Age]]&lt;=59,"Gen X",Table2[[#This Row],[Age]]&lt;=78,"Baby Boomers",Table2[[#This Row],[Age]]&lt;=96,"Silent",Table2[[#This Row],[Age]]&gt;=97,"Greatest")</f>
        <v>Silent</v>
      </c>
      <c r="E605" s="1">
        <v>69720</v>
      </c>
      <c r="F605">
        <v>78</v>
      </c>
      <c r="G605" t="str" cm="1">
        <f t="array" ref="G605">_xlfn.IFS(Table2[[#This Row],[Spending Score (1-100)]]&lt;=25,"Low",Table2[[#This Row],[Spending Score (1-100)]]&lt;=50,"Medium",Table2[[#This Row],[Spending Score (1-100)]]&lt;=75,"High",Table2[[#This Row],[Spending Score (1-100)]]&lt;=100,"Very High")</f>
        <v>Very High</v>
      </c>
      <c r="H605" t="s">
        <v>12</v>
      </c>
      <c r="I605">
        <v>17</v>
      </c>
      <c r="J605" t="str">
        <f>CONCATENATE(Table2[[#This Row],[Work Experience]],"years")</f>
        <v>17years</v>
      </c>
      <c r="K605" t="str">
        <f>CONCATENATE(Table2[[#This Row],[Family Size2]],"members")</f>
        <v>6members</v>
      </c>
      <c r="L605" t="str">
        <f>CONCATENATE(Table2[[#This Row],[Family Size2]],"members")</f>
        <v>6members</v>
      </c>
      <c r="M605">
        <v>6</v>
      </c>
    </row>
    <row r="606" spans="1:13">
      <c r="A606">
        <v>605</v>
      </c>
      <c r="B606" t="s">
        <v>11</v>
      </c>
      <c r="C606">
        <v>94</v>
      </c>
      <c r="D606" t="str" cm="1">
        <f t="array" ref="D606">_xlfn.IFS(Table2[[#This Row],[Age]]&lt;=11,"Gen A",Table2[[#This Row],[Age]]&lt;=27,"Gen Z",Table2[[#This Row],[Age]]&lt;=43,"Millenials",Table2[[#This Row],[Age]]&lt;=59,"Gen X",Table2[[#This Row],[Age]]&lt;=78,"Baby Boomers",Table2[[#This Row],[Age]]&lt;=96,"Silent",Table2[[#This Row],[Age]]&gt;=97,"Greatest")</f>
        <v>Silent</v>
      </c>
      <c r="E606" s="1">
        <v>85265</v>
      </c>
      <c r="F606">
        <v>68</v>
      </c>
      <c r="G606" t="str" cm="1">
        <f t="array" ref="G606">_xlfn.IFS(Table2[[#This Row],[Spending Score (1-100)]]&lt;=25,"Low",Table2[[#This Row],[Spending Score (1-100)]]&lt;=50,"Medium",Table2[[#This Row],[Spending Score (1-100)]]&lt;=75,"High",Table2[[#This Row],[Spending Score (1-100)]]&lt;=100,"Very High")</f>
        <v>High</v>
      </c>
      <c r="H606" t="s">
        <v>15</v>
      </c>
      <c r="I606">
        <v>7</v>
      </c>
      <c r="J606" t="str">
        <f>CONCATENATE(Table2[[#This Row],[Work Experience]],"years")</f>
        <v>7years</v>
      </c>
      <c r="K606" t="str">
        <f>CONCATENATE(Table2[[#This Row],[Family Size2]],"members")</f>
        <v>6members</v>
      </c>
      <c r="L606" t="str">
        <f>CONCATENATE(Table2[[#This Row],[Family Size2]],"members")</f>
        <v>6members</v>
      </c>
      <c r="M606">
        <v>6</v>
      </c>
    </row>
    <row r="607" spans="1:13">
      <c r="A607">
        <v>606</v>
      </c>
      <c r="B607" t="s">
        <v>11</v>
      </c>
      <c r="C607">
        <v>3</v>
      </c>
      <c r="D607" t="str" cm="1">
        <f t="array" ref="D607">_xlfn.IFS(Table2[[#This Row],[Age]]&lt;=11,"Gen A",Table2[[#This Row],[Age]]&lt;=27,"Gen Z",Table2[[#This Row],[Age]]&lt;=43,"Millenials",Table2[[#This Row],[Age]]&lt;=59,"Gen X",Table2[[#This Row],[Age]]&lt;=78,"Baby Boomers",Table2[[#This Row],[Age]]&lt;=96,"Silent",Table2[[#This Row],[Age]]&gt;=97,"Greatest")</f>
        <v>Gen A</v>
      </c>
      <c r="E607" s="1">
        <v>155864</v>
      </c>
      <c r="F607">
        <v>31</v>
      </c>
      <c r="G607" t="str" cm="1">
        <f t="array" ref="G607">_xlfn.IFS(Table2[[#This Row],[Spending Score (1-100)]]&lt;=25,"Low",Table2[[#This Row],[Spending Score (1-100)]]&lt;=50,"Medium",Table2[[#This Row],[Spending Score (1-100)]]&lt;=75,"High",Table2[[#This Row],[Spending Score (1-100)]]&lt;=100,"Very High")</f>
        <v>Medium</v>
      </c>
      <c r="H607" t="s">
        <v>9</v>
      </c>
      <c r="I607">
        <v>13</v>
      </c>
      <c r="J607" t="str">
        <f>CONCATENATE(Table2[[#This Row],[Work Experience]],"years")</f>
        <v>13years</v>
      </c>
      <c r="K607" t="str">
        <f>CONCATENATE(Table2[[#This Row],[Family Size2]],"members")</f>
        <v>3members</v>
      </c>
      <c r="L607" t="str">
        <f>CONCATENATE(Table2[[#This Row],[Family Size2]],"members")</f>
        <v>3members</v>
      </c>
      <c r="M607">
        <v>3</v>
      </c>
    </row>
    <row r="608" spans="1:13">
      <c r="A608">
        <v>607</v>
      </c>
      <c r="B608" t="s">
        <v>11</v>
      </c>
      <c r="C608">
        <v>15</v>
      </c>
      <c r="D608" t="str" cm="1">
        <f t="array" ref="D608">_xlfn.IFS(Table2[[#This Row],[Age]]&lt;=11,"Gen A",Table2[[#This Row],[Age]]&lt;=27,"Gen Z",Table2[[#This Row],[Age]]&lt;=43,"Millenials",Table2[[#This Row],[Age]]&lt;=59,"Gen X",Table2[[#This Row],[Age]]&lt;=78,"Baby Boomers",Table2[[#This Row],[Age]]&lt;=96,"Silent",Table2[[#This Row],[Age]]&gt;=97,"Greatest")</f>
        <v>Gen Z</v>
      </c>
      <c r="E608" s="1">
        <v>99421</v>
      </c>
      <c r="F608">
        <v>72</v>
      </c>
      <c r="G608" t="str" cm="1">
        <f t="array" ref="G608">_xlfn.IFS(Table2[[#This Row],[Spending Score (1-100)]]&lt;=25,"Low",Table2[[#This Row],[Spending Score (1-100)]]&lt;=50,"Medium",Table2[[#This Row],[Spending Score (1-100)]]&lt;=75,"High",Table2[[#This Row],[Spending Score (1-100)]]&lt;=100,"Very High")</f>
        <v>High</v>
      </c>
      <c r="H608" t="s">
        <v>14</v>
      </c>
      <c r="I608">
        <v>8</v>
      </c>
      <c r="J608" t="str">
        <f>CONCATENATE(Table2[[#This Row],[Work Experience]],"years")</f>
        <v>8years</v>
      </c>
      <c r="K608" t="str">
        <f>CONCATENATE(Table2[[#This Row],[Family Size2]],"members")</f>
        <v>7members</v>
      </c>
      <c r="L608" t="str">
        <f>CONCATENATE(Table2[[#This Row],[Family Size2]],"members")</f>
        <v>7members</v>
      </c>
      <c r="M608">
        <v>7</v>
      </c>
    </row>
    <row r="609" spans="1:13">
      <c r="A609">
        <v>608</v>
      </c>
      <c r="B609" t="s">
        <v>11</v>
      </c>
      <c r="C609">
        <v>96</v>
      </c>
      <c r="D609" t="str" cm="1">
        <f t="array" ref="D609">_xlfn.IFS(Table2[[#This Row],[Age]]&lt;=11,"Gen A",Table2[[#This Row],[Age]]&lt;=27,"Gen Z",Table2[[#This Row],[Age]]&lt;=43,"Millenials",Table2[[#This Row],[Age]]&lt;=59,"Gen X",Table2[[#This Row],[Age]]&lt;=78,"Baby Boomers",Table2[[#This Row],[Age]]&lt;=96,"Silent",Table2[[#This Row],[Age]]&gt;=97,"Greatest")</f>
        <v>Silent</v>
      </c>
      <c r="E609" s="1">
        <v>145457</v>
      </c>
      <c r="F609">
        <v>57</v>
      </c>
      <c r="G609" t="str" cm="1">
        <f t="array" ref="G609">_xlfn.IFS(Table2[[#This Row],[Spending Score (1-100)]]&lt;=25,"Low",Table2[[#This Row],[Spending Score (1-100)]]&lt;=50,"Medium",Table2[[#This Row],[Spending Score (1-100)]]&lt;=75,"High",Table2[[#This Row],[Spending Score (1-100)]]&lt;=100,"Very High")</f>
        <v>High</v>
      </c>
      <c r="H609" t="s">
        <v>15</v>
      </c>
      <c r="I609">
        <v>2</v>
      </c>
      <c r="J609" t="str">
        <f>CONCATENATE(Table2[[#This Row],[Work Experience]],"years")</f>
        <v>2years</v>
      </c>
      <c r="K609" t="str">
        <f>CONCATENATE(Table2[[#This Row],[Family Size2]],"members")</f>
        <v>1members</v>
      </c>
      <c r="L609" t="str">
        <f>CONCATENATE(Table2[[#This Row],[Family Size2]],"members")</f>
        <v>1members</v>
      </c>
      <c r="M609">
        <v>1</v>
      </c>
    </row>
    <row r="610" spans="1:13">
      <c r="A610">
        <v>609</v>
      </c>
      <c r="B610" t="s">
        <v>8</v>
      </c>
      <c r="C610">
        <v>12</v>
      </c>
      <c r="D610" t="str" cm="1">
        <f t="array" ref="D610">_xlfn.IFS(Table2[[#This Row],[Age]]&lt;=11,"Gen A",Table2[[#This Row],[Age]]&lt;=27,"Gen Z",Table2[[#This Row],[Age]]&lt;=43,"Millenials",Table2[[#This Row],[Age]]&lt;=59,"Gen X",Table2[[#This Row],[Age]]&lt;=78,"Baby Boomers",Table2[[#This Row],[Age]]&lt;=96,"Silent",Table2[[#This Row],[Age]]&gt;=97,"Greatest")</f>
        <v>Gen Z</v>
      </c>
      <c r="E610" s="1">
        <v>118041</v>
      </c>
      <c r="F610">
        <v>77</v>
      </c>
      <c r="G610" t="str" cm="1">
        <f t="array" ref="G610">_xlfn.IFS(Table2[[#This Row],[Spending Score (1-100)]]&lt;=25,"Low",Table2[[#This Row],[Spending Score (1-100)]]&lt;=50,"Medium",Table2[[#This Row],[Spending Score (1-100)]]&lt;=75,"High",Table2[[#This Row],[Spending Score (1-100)]]&lt;=100,"Very High")</f>
        <v>Very High</v>
      </c>
      <c r="H610" t="s">
        <v>14</v>
      </c>
      <c r="I610">
        <v>9</v>
      </c>
      <c r="J610" t="str">
        <f>CONCATENATE(Table2[[#This Row],[Work Experience]],"years")</f>
        <v>9years</v>
      </c>
      <c r="K610" t="str">
        <f>CONCATENATE(Table2[[#This Row],[Family Size2]],"members")</f>
        <v>2members</v>
      </c>
      <c r="L610" t="str">
        <f>CONCATENATE(Table2[[#This Row],[Family Size2]],"members")</f>
        <v>2members</v>
      </c>
      <c r="M610">
        <v>2</v>
      </c>
    </row>
    <row r="611" spans="1:13">
      <c r="A611">
        <v>610</v>
      </c>
      <c r="B611" t="s">
        <v>11</v>
      </c>
      <c r="C611">
        <v>23</v>
      </c>
      <c r="D611" t="str" cm="1">
        <f t="array" ref="D611">_xlfn.IFS(Table2[[#This Row],[Age]]&lt;=11,"Gen A",Table2[[#This Row],[Age]]&lt;=27,"Gen Z",Table2[[#This Row],[Age]]&lt;=43,"Millenials",Table2[[#This Row],[Age]]&lt;=59,"Gen X",Table2[[#This Row],[Age]]&lt;=78,"Baby Boomers",Table2[[#This Row],[Age]]&lt;=96,"Silent",Table2[[#This Row],[Age]]&gt;=97,"Greatest")</f>
        <v>Gen Z</v>
      </c>
      <c r="E611" s="1">
        <v>73759</v>
      </c>
      <c r="F611">
        <v>83</v>
      </c>
      <c r="G611" t="str" cm="1">
        <f t="array" ref="G611">_xlfn.IFS(Table2[[#This Row],[Spending Score (1-100)]]&lt;=25,"Low",Table2[[#This Row],[Spending Score (1-100)]]&lt;=50,"Medium",Table2[[#This Row],[Spending Score (1-100)]]&lt;=75,"High",Table2[[#This Row],[Spending Score (1-100)]]&lt;=100,"Very High")</f>
        <v>Very High</v>
      </c>
      <c r="H611" t="s">
        <v>16</v>
      </c>
      <c r="I611">
        <v>0</v>
      </c>
      <c r="J611" t="str">
        <f>CONCATENATE(Table2[[#This Row],[Work Experience]],"years")</f>
        <v>0years</v>
      </c>
      <c r="K611" t="str">
        <f>CONCATENATE(Table2[[#This Row],[Family Size2]],"members")</f>
        <v>7members</v>
      </c>
      <c r="L611" t="str">
        <f>CONCATENATE(Table2[[#This Row],[Family Size2]],"members")</f>
        <v>7members</v>
      </c>
      <c r="M611">
        <v>7</v>
      </c>
    </row>
    <row r="612" spans="1:13">
      <c r="A612">
        <v>611</v>
      </c>
      <c r="B612" t="s">
        <v>8</v>
      </c>
      <c r="C612">
        <v>94</v>
      </c>
      <c r="D612" t="str" cm="1">
        <f t="array" ref="D612">_xlfn.IFS(Table2[[#This Row],[Age]]&lt;=11,"Gen A",Table2[[#This Row],[Age]]&lt;=27,"Gen Z",Table2[[#This Row],[Age]]&lt;=43,"Millenials",Table2[[#This Row],[Age]]&lt;=59,"Gen X",Table2[[#This Row],[Age]]&lt;=78,"Baby Boomers",Table2[[#This Row],[Age]]&lt;=96,"Silent",Table2[[#This Row],[Age]]&gt;=97,"Greatest")</f>
        <v>Silent</v>
      </c>
      <c r="E612" s="1">
        <v>90082</v>
      </c>
      <c r="F612">
        <v>17</v>
      </c>
      <c r="G612" t="str" cm="1">
        <f t="array" ref="G612">_xlfn.IFS(Table2[[#This Row],[Spending Score (1-100)]]&lt;=25,"Low",Table2[[#This Row],[Spending Score (1-100)]]&lt;=50,"Medium",Table2[[#This Row],[Spending Score (1-100)]]&lt;=75,"High",Table2[[#This Row],[Spending Score (1-100)]]&lt;=100,"Very High")</f>
        <v>Low</v>
      </c>
      <c r="H612" t="s">
        <v>14</v>
      </c>
      <c r="I612">
        <v>5</v>
      </c>
      <c r="J612" t="str">
        <f>CONCATENATE(Table2[[#This Row],[Work Experience]],"years")</f>
        <v>5years</v>
      </c>
      <c r="K612" t="str">
        <f>CONCATENATE(Table2[[#This Row],[Family Size2]],"members")</f>
        <v>7members</v>
      </c>
      <c r="L612" t="str">
        <f>CONCATENATE(Table2[[#This Row],[Family Size2]],"members")</f>
        <v>7members</v>
      </c>
      <c r="M612">
        <v>7</v>
      </c>
    </row>
    <row r="613" spans="1:13">
      <c r="A613">
        <v>612</v>
      </c>
      <c r="B613" t="s">
        <v>11</v>
      </c>
      <c r="C613">
        <v>7</v>
      </c>
      <c r="D613" t="str" cm="1">
        <f t="array" ref="D613">_xlfn.IFS(Table2[[#This Row],[Age]]&lt;=11,"Gen A",Table2[[#This Row],[Age]]&lt;=27,"Gen Z",Table2[[#This Row],[Age]]&lt;=43,"Millenials",Table2[[#This Row],[Age]]&lt;=59,"Gen X",Table2[[#This Row],[Age]]&lt;=78,"Baby Boomers",Table2[[#This Row],[Age]]&lt;=96,"Silent",Table2[[#This Row],[Age]]&gt;=97,"Greatest")</f>
        <v>Gen A</v>
      </c>
      <c r="E613" s="1">
        <v>74928</v>
      </c>
      <c r="F613">
        <v>12</v>
      </c>
      <c r="G613" t="str" cm="1">
        <f t="array" ref="G613">_xlfn.IFS(Table2[[#This Row],[Spending Score (1-100)]]&lt;=25,"Low",Table2[[#This Row],[Spending Score (1-100)]]&lt;=50,"Medium",Table2[[#This Row],[Spending Score (1-100)]]&lt;=75,"High",Table2[[#This Row],[Spending Score (1-100)]]&lt;=100,"Very High")</f>
        <v>Low</v>
      </c>
      <c r="H613" t="s">
        <v>14</v>
      </c>
      <c r="I613">
        <v>0</v>
      </c>
      <c r="J613" t="str">
        <f>CONCATENATE(Table2[[#This Row],[Work Experience]],"years")</f>
        <v>0years</v>
      </c>
      <c r="K613" t="str">
        <f>CONCATENATE(Table2[[#This Row],[Family Size2]],"members")</f>
        <v>6members</v>
      </c>
      <c r="L613" t="str">
        <f>CONCATENATE(Table2[[#This Row],[Family Size2]],"members")</f>
        <v>6members</v>
      </c>
      <c r="M613">
        <v>6</v>
      </c>
    </row>
    <row r="614" spans="1:13">
      <c r="A614">
        <v>613</v>
      </c>
      <c r="B614" t="s">
        <v>11</v>
      </c>
      <c r="C614">
        <v>74</v>
      </c>
      <c r="D614" t="str" cm="1">
        <f t="array" ref="D614">_xlfn.IFS(Table2[[#This Row],[Age]]&lt;=11,"Gen A",Table2[[#This Row],[Age]]&lt;=27,"Gen Z",Table2[[#This Row],[Age]]&lt;=43,"Millenials",Table2[[#This Row],[Age]]&lt;=59,"Gen X",Table2[[#This Row],[Age]]&lt;=78,"Baby Boomers",Table2[[#This Row],[Age]]&lt;=96,"Silent",Table2[[#This Row],[Age]]&gt;=97,"Greatest")</f>
        <v>Baby Boomers</v>
      </c>
      <c r="E614" s="1">
        <v>101352</v>
      </c>
      <c r="F614">
        <v>36</v>
      </c>
      <c r="G614" t="str" cm="1">
        <f t="array" ref="G614">_xlfn.IFS(Table2[[#This Row],[Spending Score (1-100)]]&lt;=25,"Low",Table2[[#This Row],[Spending Score (1-100)]]&lt;=50,"Medium",Table2[[#This Row],[Spending Score (1-100)]]&lt;=75,"High",Table2[[#This Row],[Spending Score (1-100)]]&lt;=100,"Very High")</f>
        <v>Medium</v>
      </c>
      <c r="H614" t="s">
        <v>12</v>
      </c>
      <c r="I614">
        <v>0</v>
      </c>
      <c r="J614" t="str">
        <f>CONCATENATE(Table2[[#This Row],[Work Experience]],"years")</f>
        <v>0years</v>
      </c>
      <c r="K614" t="str">
        <f>CONCATENATE(Table2[[#This Row],[Family Size2]],"members")</f>
        <v>5members</v>
      </c>
      <c r="L614" t="str">
        <f>CONCATENATE(Table2[[#This Row],[Family Size2]],"members")</f>
        <v>5members</v>
      </c>
      <c r="M614">
        <v>5</v>
      </c>
    </row>
    <row r="615" spans="1:13">
      <c r="A615">
        <v>614</v>
      </c>
      <c r="B615" t="s">
        <v>11</v>
      </c>
      <c r="C615">
        <v>52</v>
      </c>
      <c r="D615" t="str" cm="1">
        <f t="array" ref="D615">_xlfn.IFS(Table2[[#This Row],[Age]]&lt;=11,"Gen A",Table2[[#This Row],[Age]]&lt;=27,"Gen Z",Table2[[#This Row],[Age]]&lt;=43,"Millenials",Table2[[#This Row],[Age]]&lt;=59,"Gen X",Table2[[#This Row],[Age]]&lt;=78,"Baby Boomers",Table2[[#This Row],[Age]]&lt;=96,"Silent",Table2[[#This Row],[Age]]&gt;=97,"Greatest")</f>
        <v>Gen X</v>
      </c>
      <c r="E615" s="1">
        <v>93947</v>
      </c>
      <c r="F615">
        <v>81</v>
      </c>
      <c r="G615" t="str" cm="1">
        <f t="array" ref="G615">_xlfn.IFS(Table2[[#This Row],[Spending Score (1-100)]]&lt;=25,"Low",Table2[[#This Row],[Spending Score (1-100)]]&lt;=50,"Medium",Table2[[#This Row],[Spending Score (1-100)]]&lt;=75,"High",Table2[[#This Row],[Spending Score (1-100)]]&lt;=100,"Very High")</f>
        <v>Very High</v>
      </c>
      <c r="H615" t="s">
        <v>9</v>
      </c>
      <c r="I615">
        <v>9</v>
      </c>
      <c r="J615" t="str">
        <f>CONCATENATE(Table2[[#This Row],[Work Experience]],"years")</f>
        <v>9years</v>
      </c>
      <c r="K615" t="str">
        <f>CONCATENATE(Table2[[#This Row],[Family Size2]],"members")</f>
        <v>2members</v>
      </c>
      <c r="L615" t="str">
        <f>CONCATENATE(Table2[[#This Row],[Family Size2]],"members")</f>
        <v>2members</v>
      </c>
      <c r="M615">
        <v>2</v>
      </c>
    </row>
    <row r="616" spans="1:13">
      <c r="A616">
        <v>615</v>
      </c>
      <c r="B616" t="s">
        <v>8</v>
      </c>
      <c r="C616">
        <v>39</v>
      </c>
      <c r="D616" t="str" cm="1">
        <f t="array" ref="D616">_xlfn.IFS(Table2[[#This Row],[Age]]&lt;=11,"Gen A",Table2[[#This Row],[Age]]&lt;=27,"Gen Z",Table2[[#This Row],[Age]]&lt;=43,"Millenials",Table2[[#This Row],[Age]]&lt;=59,"Gen X",Table2[[#This Row],[Age]]&lt;=78,"Baby Boomers",Table2[[#This Row],[Age]]&lt;=96,"Silent",Table2[[#This Row],[Age]]&gt;=97,"Greatest")</f>
        <v>Millenials</v>
      </c>
      <c r="E616" s="1">
        <v>134629</v>
      </c>
      <c r="F616">
        <v>23</v>
      </c>
      <c r="G616" t="str" cm="1">
        <f t="array" ref="G616">_xlfn.IFS(Table2[[#This Row],[Spending Score (1-100)]]&lt;=25,"Low",Table2[[#This Row],[Spending Score (1-100)]]&lt;=50,"Medium",Table2[[#This Row],[Spending Score (1-100)]]&lt;=75,"High",Table2[[#This Row],[Spending Score (1-100)]]&lt;=100,"Very High")</f>
        <v>Low</v>
      </c>
      <c r="H616" t="s">
        <v>10</v>
      </c>
      <c r="I616">
        <v>1</v>
      </c>
      <c r="J616" t="str">
        <f>CONCATENATE(Table2[[#This Row],[Work Experience]],"years")</f>
        <v>1years</v>
      </c>
      <c r="K616" t="str">
        <f>CONCATENATE(Table2[[#This Row],[Family Size2]],"members")</f>
        <v>6members</v>
      </c>
      <c r="L616" t="str">
        <f>CONCATENATE(Table2[[#This Row],[Family Size2]],"members")</f>
        <v>6members</v>
      </c>
      <c r="M616">
        <v>6</v>
      </c>
    </row>
    <row r="617" spans="1:13">
      <c r="A617">
        <v>616</v>
      </c>
      <c r="B617" t="s">
        <v>8</v>
      </c>
      <c r="C617">
        <v>72</v>
      </c>
      <c r="D617" t="str" cm="1">
        <f t="array" ref="D617">_xlfn.IFS(Table2[[#This Row],[Age]]&lt;=11,"Gen A",Table2[[#This Row],[Age]]&lt;=27,"Gen Z",Table2[[#This Row],[Age]]&lt;=43,"Millenials",Table2[[#This Row],[Age]]&lt;=59,"Gen X",Table2[[#This Row],[Age]]&lt;=78,"Baby Boomers",Table2[[#This Row],[Age]]&lt;=96,"Silent",Table2[[#This Row],[Age]]&gt;=97,"Greatest")</f>
        <v>Baby Boomers</v>
      </c>
      <c r="E617" s="1">
        <v>101858</v>
      </c>
      <c r="F617">
        <v>70</v>
      </c>
      <c r="G617" t="str" cm="1">
        <f t="array" ref="G617">_xlfn.IFS(Table2[[#This Row],[Spending Score (1-100)]]&lt;=25,"Low",Table2[[#This Row],[Spending Score (1-100)]]&lt;=50,"Medium",Table2[[#This Row],[Spending Score (1-100)]]&lt;=75,"High",Table2[[#This Row],[Spending Score (1-100)]]&lt;=100,"Very High")</f>
        <v>High</v>
      </c>
      <c r="H617" t="s">
        <v>9</v>
      </c>
      <c r="I617">
        <v>8</v>
      </c>
      <c r="J617" t="str">
        <f>CONCATENATE(Table2[[#This Row],[Work Experience]],"years")</f>
        <v>8years</v>
      </c>
      <c r="K617" t="str">
        <f>CONCATENATE(Table2[[#This Row],[Family Size2]],"members")</f>
        <v>6members</v>
      </c>
      <c r="L617" t="str">
        <f>CONCATENATE(Table2[[#This Row],[Family Size2]],"members")</f>
        <v>6members</v>
      </c>
      <c r="M617">
        <v>6</v>
      </c>
    </row>
    <row r="618" spans="1:13">
      <c r="A618">
        <v>617</v>
      </c>
      <c r="B618" t="s">
        <v>11</v>
      </c>
      <c r="C618">
        <v>55</v>
      </c>
      <c r="D618" t="str" cm="1">
        <f t="array" ref="D618">_xlfn.IFS(Table2[[#This Row],[Age]]&lt;=11,"Gen A",Table2[[#This Row],[Age]]&lt;=27,"Gen Z",Table2[[#This Row],[Age]]&lt;=43,"Millenials",Table2[[#This Row],[Age]]&lt;=59,"Gen X",Table2[[#This Row],[Age]]&lt;=78,"Baby Boomers",Table2[[#This Row],[Age]]&lt;=96,"Silent",Table2[[#This Row],[Age]]&gt;=97,"Greatest")</f>
        <v>Gen X</v>
      </c>
      <c r="E618" s="1">
        <v>165501</v>
      </c>
      <c r="F618">
        <v>47</v>
      </c>
      <c r="G618" t="str" cm="1">
        <f t="array" ref="G618">_xlfn.IFS(Table2[[#This Row],[Spending Score (1-100)]]&lt;=25,"Low",Table2[[#This Row],[Spending Score (1-100)]]&lt;=50,"Medium",Table2[[#This Row],[Spending Score (1-100)]]&lt;=75,"High",Table2[[#This Row],[Spending Score (1-100)]]&lt;=100,"Very High")</f>
        <v>Medium</v>
      </c>
      <c r="H618" t="s">
        <v>14</v>
      </c>
      <c r="I618">
        <v>10</v>
      </c>
      <c r="J618" t="str">
        <f>CONCATENATE(Table2[[#This Row],[Work Experience]],"years")</f>
        <v>10years</v>
      </c>
      <c r="K618" t="str">
        <f>CONCATENATE(Table2[[#This Row],[Family Size2]],"members")</f>
        <v>4members</v>
      </c>
      <c r="L618" t="str">
        <f>CONCATENATE(Table2[[#This Row],[Family Size2]],"members")</f>
        <v>4members</v>
      </c>
      <c r="M618">
        <v>4</v>
      </c>
    </row>
    <row r="619" spans="1:13">
      <c r="A619">
        <v>618</v>
      </c>
      <c r="B619" t="s">
        <v>8</v>
      </c>
      <c r="C619">
        <v>29</v>
      </c>
      <c r="D619" t="str" cm="1">
        <f t="array" ref="D619">_xlfn.IFS(Table2[[#This Row],[Age]]&lt;=11,"Gen A",Table2[[#This Row],[Age]]&lt;=27,"Gen Z",Table2[[#This Row],[Age]]&lt;=43,"Millenials",Table2[[#This Row],[Age]]&lt;=59,"Gen X",Table2[[#This Row],[Age]]&lt;=78,"Baby Boomers",Table2[[#This Row],[Age]]&lt;=96,"Silent",Table2[[#This Row],[Age]]&gt;=97,"Greatest")</f>
        <v>Millenials</v>
      </c>
      <c r="E619" s="1">
        <v>135931</v>
      </c>
      <c r="F619">
        <v>74</v>
      </c>
      <c r="G619" t="str" cm="1">
        <f t="array" ref="G619">_xlfn.IFS(Table2[[#This Row],[Spending Score (1-100)]]&lt;=25,"Low",Table2[[#This Row],[Spending Score (1-100)]]&lt;=50,"Medium",Table2[[#This Row],[Spending Score (1-100)]]&lt;=75,"High",Table2[[#This Row],[Spending Score (1-100)]]&lt;=100,"Very High")</f>
        <v>High</v>
      </c>
      <c r="H619" t="s">
        <v>12</v>
      </c>
      <c r="I619">
        <v>5</v>
      </c>
      <c r="J619" t="str">
        <f>CONCATENATE(Table2[[#This Row],[Work Experience]],"years")</f>
        <v>5years</v>
      </c>
      <c r="K619" t="str">
        <f>CONCATENATE(Table2[[#This Row],[Family Size2]],"members")</f>
        <v>1members</v>
      </c>
      <c r="L619" t="str">
        <f>CONCATENATE(Table2[[#This Row],[Family Size2]],"members")</f>
        <v>1members</v>
      </c>
      <c r="M619">
        <v>1</v>
      </c>
    </row>
    <row r="620" spans="1:13">
      <c r="A620">
        <v>619</v>
      </c>
      <c r="B620" t="s">
        <v>8</v>
      </c>
      <c r="C620">
        <v>38</v>
      </c>
      <c r="D620" t="str" cm="1">
        <f t="array" ref="D620">_xlfn.IFS(Table2[[#This Row],[Age]]&lt;=11,"Gen A",Table2[[#This Row],[Age]]&lt;=27,"Gen Z",Table2[[#This Row],[Age]]&lt;=43,"Millenials",Table2[[#This Row],[Age]]&lt;=59,"Gen X",Table2[[#This Row],[Age]]&lt;=78,"Baby Boomers",Table2[[#This Row],[Age]]&lt;=96,"Silent",Table2[[#This Row],[Age]]&gt;=97,"Greatest")</f>
        <v>Millenials</v>
      </c>
      <c r="E620" s="1">
        <v>103356</v>
      </c>
      <c r="F620">
        <v>20</v>
      </c>
      <c r="G620" t="str" cm="1">
        <f t="array" ref="G620">_xlfn.IFS(Table2[[#This Row],[Spending Score (1-100)]]&lt;=25,"Low",Table2[[#This Row],[Spending Score (1-100)]]&lt;=50,"Medium",Table2[[#This Row],[Spending Score (1-100)]]&lt;=75,"High",Table2[[#This Row],[Spending Score (1-100)]]&lt;=100,"Very High")</f>
        <v>Low</v>
      </c>
      <c r="H620" t="s">
        <v>18</v>
      </c>
      <c r="I620">
        <v>1</v>
      </c>
      <c r="J620" t="str">
        <f>CONCATENATE(Table2[[#This Row],[Work Experience]],"years")</f>
        <v>1years</v>
      </c>
      <c r="K620" t="str">
        <f>CONCATENATE(Table2[[#This Row],[Family Size2]],"members")</f>
        <v>6members</v>
      </c>
      <c r="L620" t="str">
        <f>CONCATENATE(Table2[[#This Row],[Family Size2]],"members")</f>
        <v>6members</v>
      </c>
      <c r="M620">
        <v>6</v>
      </c>
    </row>
    <row r="621" spans="1:13">
      <c r="A621">
        <v>620</v>
      </c>
      <c r="B621" t="s">
        <v>11</v>
      </c>
      <c r="C621">
        <v>44</v>
      </c>
      <c r="D621" t="str" cm="1">
        <f t="array" ref="D621">_xlfn.IFS(Table2[[#This Row],[Age]]&lt;=11,"Gen A",Table2[[#This Row],[Age]]&lt;=27,"Gen Z",Table2[[#This Row],[Age]]&lt;=43,"Millenials",Table2[[#This Row],[Age]]&lt;=59,"Gen X",Table2[[#This Row],[Age]]&lt;=78,"Baby Boomers",Table2[[#This Row],[Age]]&lt;=96,"Silent",Table2[[#This Row],[Age]]&gt;=97,"Greatest")</f>
        <v>Gen X</v>
      </c>
      <c r="E621" s="1">
        <v>75195</v>
      </c>
      <c r="F621">
        <v>79</v>
      </c>
      <c r="G621" t="str" cm="1">
        <f t="array" ref="G621">_xlfn.IFS(Table2[[#This Row],[Spending Score (1-100)]]&lt;=25,"Low",Table2[[#This Row],[Spending Score (1-100)]]&lt;=50,"Medium",Table2[[#This Row],[Spending Score (1-100)]]&lt;=75,"High",Table2[[#This Row],[Spending Score (1-100)]]&lt;=100,"Very High")</f>
        <v>Very High</v>
      </c>
      <c r="H621" t="s">
        <v>14</v>
      </c>
      <c r="I621">
        <v>1</v>
      </c>
      <c r="J621" t="str">
        <f>CONCATENATE(Table2[[#This Row],[Work Experience]],"years")</f>
        <v>1years</v>
      </c>
      <c r="K621" t="str">
        <f>CONCATENATE(Table2[[#This Row],[Family Size2]],"members")</f>
        <v>3members</v>
      </c>
      <c r="L621" t="str">
        <f>CONCATENATE(Table2[[#This Row],[Family Size2]],"members")</f>
        <v>3members</v>
      </c>
      <c r="M621">
        <v>3</v>
      </c>
    </row>
    <row r="622" spans="1:13">
      <c r="A622">
        <v>621</v>
      </c>
      <c r="B622" t="s">
        <v>8</v>
      </c>
      <c r="C622">
        <v>58</v>
      </c>
      <c r="D622" t="str" cm="1">
        <f t="array" ref="D622">_xlfn.IFS(Table2[[#This Row],[Age]]&lt;=11,"Gen A",Table2[[#This Row],[Age]]&lt;=27,"Gen Z",Table2[[#This Row],[Age]]&lt;=43,"Millenials",Table2[[#This Row],[Age]]&lt;=59,"Gen X",Table2[[#This Row],[Age]]&lt;=78,"Baby Boomers",Table2[[#This Row],[Age]]&lt;=96,"Silent",Table2[[#This Row],[Age]]&gt;=97,"Greatest")</f>
        <v>Gen X</v>
      </c>
      <c r="E622" s="1">
        <v>123083</v>
      </c>
      <c r="F622">
        <v>44</v>
      </c>
      <c r="G622" t="str" cm="1">
        <f t="array" ref="G622">_xlfn.IFS(Table2[[#This Row],[Spending Score (1-100)]]&lt;=25,"Low",Table2[[#This Row],[Spending Score (1-100)]]&lt;=50,"Medium",Table2[[#This Row],[Spending Score (1-100)]]&lt;=75,"High",Table2[[#This Row],[Spending Score (1-100)]]&lt;=100,"Very High")</f>
        <v>Medium</v>
      </c>
      <c r="H622" t="s">
        <v>13</v>
      </c>
      <c r="I622">
        <v>6</v>
      </c>
      <c r="J622" t="str">
        <f>CONCATENATE(Table2[[#This Row],[Work Experience]],"years")</f>
        <v>6years</v>
      </c>
      <c r="K622" t="str">
        <f>CONCATENATE(Table2[[#This Row],[Family Size2]],"members")</f>
        <v>5members</v>
      </c>
      <c r="L622" t="str">
        <f>CONCATENATE(Table2[[#This Row],[Family Size2]],"members")</f>
        <v>5members</v>
      </c>
      <c r="M622">
        <v>5</v>
      </c>
    </row>
    <row r="623" spans="1:13">
      <c r="A623">
        <v>622</v>
      </c>
      <c r="B623" t="s">
        <v>8</v>
      </c>
      <c r="C623">
        <v>77</v>
      </c>
      <c r="D623" t="str" cm="1">
        <f t="array" ref="D623">_xlfn.IFS(Table2[[#This Row],[Age]]&lt;=11,"Gen A",Table2[[#This Row],[Age]]&lt;=27,"Gen Z",Table2[[#This Row],[Age]]&lt;=43,"Millenials",Table2[[#This Row],[Age]]&lt;=59,"Gen X",Table2[[#This Row],[Age]]&lt;=78,"Baby Boomers",Table2[[#This Row],[Age]]&lt;=96,"Silent",Table2[[#This Row],[Age]]&gt;=97,"Greatest")</f>
        <v>Baby Boomers</v>
      </c>
      <c r="E623" s="1">
        <v>73884</v>
      </c>
      <c r="F623">
        <v>30</v>
      </c>
      <c r="G623" t="str" cm="1">
        <f t="array" ref="G623">_xlfn.IFS(Table2[[#This Row],[Spending Score (1-100)]]&lt;=25,"Low",Table2[[#This Row],[Spending Score (1-100)]]&lt;=50,"Medium",Table2[[#This Row],[Spending Score (1-100)]]&lt;=75,"High",Table2[[#This Row],[Spending Score (1-100)]]&lt;=100,"Very High")</f>
        <v>Medium</v>
      </c>
      <c r="H623" t="s">
        <v>9</v>
      </c>
      <c r="I623">
        <v>1</v>
      </c>
      <c r="J623" t="str">
        <f>CONCATENATE(Table2[[#This Row],[Work Experience]],"years")</f>
        <v>1years</v>
      </c>
      <c r="K623" t="str">
        <f>CONCATENATE(Table2[[#This Row],[Family Size2]],"members")</f>
        <v>2members</v>
      </c>
      <c r="L623" t="str">
        <f>CONCATENATE(Table2[[#This Row],[Family Size2]],"members")</f>
        <v>2members</v>
      </c>
      <c r="M623">
        <v>2</v>
      </c>
    </row>
    <row r="624" spans="1:13">
      <c r="A624">
        <v>623</v>
      </c>
      <c r="B624" t="s">
        <v>11</v>
      </c>
      <c r="C624">
        <v>56</v>
      </c>
      <c r="D624" t="str" cm="1">
        <f t="array" ref="D624">_xlfn.IFS(Table2[[#This Row],[Age]]&lt;=11,"Gen A",Table2[[#This Row],[Age]]&lt;=27,"Gen Z",Table2[[#This Row],[Age]]&lt;=43,"Millenials",Table2[[#This Row],[Age]]&lt;=59,"Gen X",Table2[[#This Row],[Age]]&lt;=78,"Baby Boomers",Table2[[#This Row],[Age]]&lt;=96,"Silent",Table2[[#This Row],[Age]]&gt;=97,"Greatest")</f>
        <v>Gen X</v>
      </c>
      <c r="E624" s="1">
        <v>91180</v>
      </c>
      <c r="F624">
        <v>61</v>
      </c>
      <c r="G624" t="str" cm="1">
        <f t="array" ref="G624">_xlfn.IFS(Table2[[#This Row],[Spending Score (1-100)]]&lt;=25,"Low",Table2[[#This Row],[Spending Score (1-100)]]&lt;=50,"Medium",Table2[[#This Row],[Spending Score (1-100)]]&lt;=75,"High",Table2[[#This Row],[Spending Score (1-100)]]&lt;=100,"Very High")</f>
        <v>High</v>
      </c>
      <c r="H624" t="s">
        <v>13</v>
      </c>
      <c r="I624">
        <v>1</v>
      </c>
      <c r="J624" t="str">
        <f>CONCATENATE(Table2[[#This Row],[Work Experience]],"years")</f>
        <v>1years</v>
      </c>
      <c r="K624" t="str">
        <f>CONCATENATE(Table2[[#This Row],[Family Size2]],"members")</f>
        <v>7members</v>
      </c>
      <c r="L624" t="str">
        <f>CONCATENATE(Table2[[#This Row],[Family Size2]],"members")</f>
        <v>7members</v>
      </c>
      <c r="M624">
        <v>7</v>
      </c>
    </row>
    <row r="625" spans="1:13">
      <c r="A625">
        <v>624</v>
      </c>
      <c r="B625" t="s">
        <v>8</v>
      </c>
      <c r="C625">
        <v>79</v>
      </c>
      <c r="D625" t="str" cm="1">
        <f t="array" ref="D625">_xlfn.IFS(Table2[[#This Row],[Age]]&lt;=11,"Gen A",Table2[[#This Row],[Age]]&lt;=27,"Gen Z",Table2[[#This Row],[Age]]&lt;=43,"Millenials",Table2[[#This Row],[Age]]&lt;=59,"Gen X",Table2[[#This Row],[Age]]&lt;=78,"Baby Boomers",Table2[[#This Row],[Age]]&lt;=96,"Silent",Table2[[#This Row],[Age]]&gt;=97,"Greatest")</f>
        <v>Silent</v>
      </c>
      <c r="E625" s="1">
        <v>86235</v>
      </c>
      <c r="F625">
        <v>52</v>
      </c>
      <c r="G625" t="str" cm="1">
        <f t="array" ref="G625">_xlfn.IFS(Table2[[#This Row],[Spending Score (1-100)]]&lt;=25,"Low",Table2[[#This Row],[Spending Score (1-100)]]&lt;=50,"Medium",Table2[[#This Row],[Spending Score (1-100)]]&lt;=75,"High",Table2[[#This Row],[Spending Score (1-100)]]&lt;=100,"Very High")</f>
        <v>High</v>
      </c>
      <c r="H625" t="s">
        <v>14</v>
      </c>
      <c r="I625">
        <v>0</v>
      </c>
      <c r="J625" t="str">
        <f>CONCATENATE(Table2[[#This Row],[Work Experience]],"years")</f>
        <v>0years</v>
      </c>
      <c r="K625" t="str">
        <f>CONCATENATE(Table2[[#This Row],[Family Size2]],"members")</f>
        <v>2members</v>
      </c>
      <c r="L625" t="str">
        <f>CONCATENATE(Table2[[#This Row],[Family Size2]],"members")</f>
        <v>2members</v>
      </c>
      <c r="M625">
        <v>2</v>
      </c>
    </row>
    <row r="626" spans="1:13">
      <c r="A626">
        <v>625</v>
      </c>
      <c r="B626" t="s">
        <v>11</v>
      </c>
      <c r="C626">
        <v>97</v>
      </c>
      <c r="D626" t="str" cm="1">
        <f t="array" ref="D626">_xlfn.IFS(Table2[[#This Row],[Age]]&lt;=11,"Gen A",Table2[[#This Row],[Age]]&lt;=27,"Gen Z",Table2[[#This Row],[Age]]&lt;=43,"Millenials",Table2[[#This Row],[Age]]&lt;=59,"Gen X",Table2[[#This Row],[Age]]&lt;=78,"Baby Boomers",Table2[[#This Row],[Age]]&lt;=96,"Silent",Table2[[#This Row],[Age]]&gt;=97,"Greatest")</f>
        <v>Greatest</v>
      </c>
      <c r="E626" s="1">
        <v>96400</v>
      </c>
      <c r="F626">
        <v>4</v>
      </c>
      <c r="G626" t="str" cm="1">
        <f t="array" ref="G626">_xlfn.IFS(Table2[[#This Row],[Spending Score (1-100)]]&lt;=25,"Low",Table2[[#This Row],[Spending Score (1-100)]]&lt;=50,"Medium",Table2[[#This Row],[Spending Score (1-100)]]&lt;=75,"High",Table2[[#This Row],[Spending Score (1-100)]]&lt;=100,"Very High")</f>
        <v>Low</v>
      </c>
      <c r="H626" t="s">
        <v>16</v>
      </c>
      <c r="I626">
        <v>1</v>
      </c>
      <c r="J626" t="str">
        <f>CONCATENATE(Table2[[#This Row],[Work Experience]],"years")</f>
        <v>1years</v>
      </c>
      <c r="K626" t="str">
        <f>CONCATENATE(Table2[[#This Row],[Family Size2]],"members")</f>
        <v>7members</v>
      </c>
      <c r="L626" t="str">
        <f>CONCATENATE(Table2[[#This Row],[Family Size2]],"members")</f>
        <v>7members</v>
      </c>
      <c r="M626">
        <v>7</v>
      </c>
    </row>
    <row r="627" spans="1:13">
      <c r="A627">
        <v>626</v>
      </c>
      <c r="B627" t="s">
        <v>8</v>
      </c>
      <c r="C627">
        <v>78</v>
      </c>
      <c r="D627" t="str" cm="1">
        <f t="array" ref="D627">_xlfn.IFS(Table2[[#This Row],[Age]]&lt;=11,"Gen A",Table2[[#This Row],[Age]]&lt;=27,"Gen Z",Table2[[#This Row],[Age]]&lt;=43,"Millenials",Table2[[#This Row],[Age]]&lt;=59,"Gen X",Table2[[#This Row],[Age]]&lt;=78,"Baby Boomers",Table2[[#This Row],[Age]]&lt;=96,"Silent",Table2[[#This Row],[Age]]&gt;=97,"Greatest")</f>
        <v>Baby Boomers</v>
      </c>
      <c r="E627" s="1">
        <v>83599</v>
      </c>
      <c r="F627">
        <v>12</v>
      </c>
      <c r="G627" t="str" cm="1">
        <f t="array" ref="G627">_xlfn.IFS(Table2[[#This Row],[Spending Score (1-100)]]&lt;=25,"Low",Table2[[#This Row],[Spending Score (1-100)]]&lt;=50,"Medium",Table2[[#This Row],[Spending Score (1-100)]]&lt;=75,"High",Table2[[#This Row],[Spending Score (1-100)]]&lt;=100,"Very High")</f>
        <v>Low</v>
      </c>
      <c r="H627" t="s">
        <v>9</v>
      </c>
      <c r="I627">
        <v>1</v>
      </c>
      <c r="J627" t="str">
        <f>CONCATENATE(Table2[[#This Row],[Work Experience]],"years")</f>
        <v>1years</v>
      </c>
      <c r="K627" t="str">
        <f>CONCATENATE(Table2[[#This Row],[Family Size2]],"members")</f>
        <v>6members</v>
      </c>
      <c r="L627" t="str">
        <f>CONCATENATE(Table2[[#This Row],[Family Size2]],"members")</f>
        <v>6members</v>
      </c>
      <c r="M627">
        <v>6</v>
      </c>
    </row>
    <row r="628" spans="1:13">
      <c r="A628">
        <v>627</v>
      </c>
      <c r="B628" t="s">
        <v>11</v>
      </c>
      <c r="C628">
        <v>91</v>
      </c>
      <c r="D628" t="str" cm="1">
        <f t="array" ref="D628">_xlfn.IFS(Table2[[#This Row],[Age]]&lt;=11,"Gen A",Table2[[#This Row],[Age]]&lt;=27,"Gen Z",Table2[[#This Row],[Age]]&lt;=43,"Millenials",Table2[[#This Row],[Age]]&lt;=59,"Gen X",Table2[[#This Row],[Age]]&lt;=78,"Baby Boomers",Table2[[#This Row],[Age]]&lt;=96,"Silent",Table2[[#This Row],[Age]]&gt;=97,"Greatest")</f>
        <v>Silent</v>
      </c>
      <c r="E628" s="1">
        <v>82535</v>
      </c>
      <c r="F628">
        <v>50</v>
      </c>
      <c r="G628" t="str" cm="1">
        <f t="array" ref="G628">_xlfn.IFS(Table2[[#This Row],[Spending Score (1-100)]]&lt;=25,"Low",Table2[[#This Row],[Spending Score (1-100)]]&lt;=50,"Medium",Table2[[#This Row],[Spending Score (1-100)]]&lt;=75,"High",Table2[[#This Row],[Spending Score (1-100)]]&lt;=100,"Very High")</f>
        <v>Medium</v>
      </c>
      <c r="H628" t="s">
        <v>9</v>
      </c>
      <c r="I628">
        <v>0</v>
      </c>
      <c r="J628" t="str">
        <f>CONCATENATE(Table2[[#This Row],[Work Experience]],"years")</f>
        <v>0years</v>
      </c>
      <c r="K628" t="str">
        <f>CONCATENATE(Table2[[#This Row],[Family Size2]],"members")</f>
        <v>1members</v>
      </c>
      <c r="L628" t="str">
        <f>CONCATENATE(Table2[[#This Row],[Family Size2]],"members")</f>
        <v>1members</v>
      </c>
      <c r="M628">
        <v>1</v>
      </c>
    </row>
    <row r="629" spans="1:13">
      <c r="A629">
        <v>628</v>
      </c>
      <c r="B629" t="s">
        <v>8</v>
      </c>
      <c r="C629">
        <v>35</v>
      </c>
      <c r="D629" t="str" cm="1">
        <f t="array" ref="D629">_xlfn.IFS(Table2[[#This Row],[Age]]&lt;=11,"Gen A",Table2[[#This Row],[Age]]&lt;=27,"Gen Z",Table2[[#This Row],[Age]]&lt;=43,"Millenials",Table2[[#This Row],[Age]]&lt;=59,"Gen X",Table2[[#This Row],[Age]]&lt;=78,"Baby Boomers",Table2[[#This Row],[Age]]&lt;=96,"Silent",Table2[[#This Row],[Age]]&gt;=97,"Greatest")</f>
        <v>Millenials</v>
      </c>
      <c r="E629" s="1">
        <v>92227</v>
      </c>
      <c r="F629">
        <v>8</v>
      </c>
      <c r="G629" t="str" cm="1">
        <f t="array" ref="G629">_xlfn.IFS(Table2[[#This Row],[Spending Score (1-100)]]&lt;=25,"Low",Table2[[#This Row],[Spending Score (1-100)]]&lt;=50,"Medium",Table2[[#This Row],[Spending Score (1-100)]]&lt;=75,"High",Table2[[#This Row],[Spending Score (1-100)]]&lt;=100,"Very High")</f>
        <v>Low</v>
      </c>
      <c r="H629" t="s">
        <v>12</v>
      </c>
      <c r="I629">
        <v>0</v>
      </c>
      <c r="J629" t="str">
        <f>CONCATENATE(Table2[[#This Row],[Work Experience]],"years")</f>
        <v>0years</v>
      </c>
      <c r="K629" t="str">
        <f>CONCATENATE(Table2[[#This Row],[Family Size2]],"members")</f>
        <v>5members</v>
      </c>
      <c r="L629" t="str">
        <f>CONCATENATE(Table2[[#This Row],[Family Size2]],"members")</f>
        <v>5members</v>
      </c>
      <c r="M629">
        <v>5</v>
      </c>
    </row>
    <row r="630" spans="1:13">
      <c r="A630">
        <v>629</v>
      </c>
      <c r="B630" t="s">
        <v>11</v>
      </c>
      <c r="C630">
        <v>43</v>
      </c>
      <c r="D630" t="str" cm="1">
        <f t="array" ref="D630">_xlfn.IFS(Table2[[#This Row],[Age]]&lt;=11,"Gen A",Table2[[#This Row],[Age]]&lt;=27,"Gen Z",Table2[[#This Row],[Age]]&lt;=43,"Millenials",Table2[[#This Row],[Age]]&lt;=59,"Gen X",Table2[[#This Row],[Age]]&lt;=78,"Baby Boomers",Table2[[#This Row],[Age]]&lt;=96,"Silent",Table2[[#This Row],[Age]]&gt;=97,"Greatest")</f>
        <v>Millenials</v>
      </c>
      <c r="E630" s="1">
        <v>150444</v>
      </c>
      <c r="F630">
        <v>27</v>
      </c>
      <c r="G630" t="str" cm="1">
        <f t="array" ref="G630">_xlfn.IFS(Table2[[#This Row],[Spending Score (1-100)]]&lt;=25,"Low",Table2[[#This Row],[Spending Score (1-100)]]&lt;=50,"Medium",Table2[[#This Row],[Spending Score (1-100)]]&lt;=75,"High",Table2[[#This Row],[Spending Score (1-100)]]&lt;=100,"Very High")</f>
        <v>Medium</v>
      </c>
      <c r="H630" t="s">
        <v>14</v>
      </c>
      <c r="I630">
        <v>13</v>
      </c>
      <c r="J630" t="str">
        <f>CONCATENATE(Table2[[#This Row],[Work Experience]],"years")</f>
        <v>13years</v>
      </c>
      <c r="K630" t="str">
        <f>CONCATENATE(Table2[[#This Row],[Family Size2]],"members")</f>
        <v>4members</v>
      </c>
      <c r="L630" t="str">
        <f>CONCATENATE(Table2[[#This Row],[Family Size2]],"members")</f>
        <v>4members</v>
      </c>
      <c r="M630">
        <v>4</v>
      </c>
    </row>
    <row r="631" spans="1:13">
      <c r="A631">
        <v>630</v>
      </c>
      <c r="B631" t="s">
        <v>11</v>
      </c>
      <c r="C631">
        <v>37</v>
      </c>
      <c r="D631" t="str" cm="1">
        <f t="array" ref="D631">_xlfn.IFS(Table2[[#This Row],[Age]]&lt;=11,"Gen A",Table2[[#This Row],[Age]]&lt;=27,"Gen Z",Table2[[#This Row],[Age]]&lt;=43,"Millenials",Table2[[#This Row],[Age]]&lt;=59,"Gen X",Table2[[#This Row],[Age]]&lt;=78,"Baby Boomers",Table2[[#This Row],[Age]]&lt;=96,"Silent",Table2[[#This Row],[Age]]&gt;=97,"Greatest")</f>
        <v>Millenials</v>
      </c>
      <c r="E631" s="1">
        <v>149095</v>
      </c>
      <c r="F631">
        <v>83</v>
      </c>
      <c r="G631" t="str" cm="1">
        <f t="array" ref="G631">_xlfn.IFS(Table2[[#This Row],[Spending Score (1-100)]]&lt;=25,"Low",Table2[[#This Row],[Spending Score (1-100)]]&lt;=50,"Medium",Table2[[#This Row],[Spending Score (1-100)]]&lt;=75,"High",Table2[[#This Row],[Spending Score (1-100)]]&lt;=100,"Very High")</f>
        <v>Very High</v>
      </c>
      <c r="H631" t="s">
        <v>12</v>
      </c>
      <c r="I631">
        <v>1</v>
      </c>
      <c r="J631" t="str">
        <f>CONCATENATE(Table2[[#This Row],[Work Experience]],"years")</f>
        <v>1years</v>
      </c>
      <c r="K631" t="str">
        <f>CONCATENATE(Table2[[#This Row],[Family Size2]],"members")</f>
        <v>2members</v>
      </c>
      <c r="L631" t="str">
        <f>CONCATENATE(Table2[[#This Row],[Family Size2]],"members")</f>
        <v>2members</v>
      </c>
      <c r="M631">
        <v>2</v>
      </c>
    </row>
    <row r="632" spans="1:13">
      <c r="A632">
        <v>631</v>
      </c>
      <c r="B632" t="s">
        <v>8</v>
      </c>
      <c r="C632">
        <v>63</v>
      </c>
      <c r="D632" t="str" cm="1">
        <f t="array" ref="D632">_xlfn.IFS(Table2[[#This Row],[Age]]&lt;=11,"Gen A",Table2[[#This Row],[Age]]&lt;=27,"Gen Z",Table2[[#This Row],[Age]]&lt;=43,"Millenials",Table2[[#This Row],[Age]]&lt;=59,"Gen X",Table2[[#This Row],[Age]]&lt;=78,"Baby Boomers",Table2[[#This Row],[Age]]&lt;=96,"Silent",Table2[[#This Row],[Age]]&gt;=97,"Greatest")</f>
        <v>Baby Boomers</v>
      </c>
      <c r="E632" s="1">
        <v>113605</v>
      </c>
      <c r="F632">
        <v>42</v>
      </c>
      <c r="G632" t="str" cm="1">
        <f t="array" ref="G632">_xlfn.IFS(Table2[[#This Row],[Spending Score (1-100)]]&lt;=25,"Low",Table2[[#This Row],[Spending Score (1-100)]]&lt;=50,"Medium",Table2[[#This Row],[Spending Score (1-100)]]&lt;=75,"High",Table2[[#This Row],[Spending Score (1-100)]]&lt;=100,"Very High")</f>
        <v>Medium</v>
      </c>
      <c r="H632" t="s">
        <v>14</v>
      </c>
      <c r="I632">
        <v>3</v>
      </c>
      <c r="J632" t="str">
        <f>CONCATENATE(Table2[[#This Row],[Work Experience]],"years")</f>
        <v>3years</v>
      </c>
      <c r="K632" t="str">
        <f>CONCATENATE(Table2[[#This Row],[Family Size2]],"members")</f>
        <v>3members</v>
      </c>
      <c r="L632" t="str">
        <f>CONCATENATE(Table2[[#This Row],[Family Size2]],"members")</f>
        <v>3members</v>
      </c>
      <c r="M632">
        <v>3</v>
      </c>
    </row>
    <row r="633" spans="1:13">
      <c r="A633">
        <v>632</v>
      </c>
      <c r="B633" t="s">
        <v>11</v>
      </c>
      <c r="C633">
        <v>16</v>
      </c>
      <c r="D633" t="str" cm="1">
        <f t="array" ref="D633">_xlfn.IFS(Table2[[#This Row],[Age]]&lt;=11,"Gen A",Table2[[#This Row],[Age]]&lt;=27,"Gen Z",Table2[[#This Row],[Age]]&lt;=43,"Millenials",Table2[[#This Row],[Age]]&lt;=59,"Gen X",Table2[[#This Row],[Age]]&lt;=78,"Baby Boomers",Table2[[#This Row],[Age]]&lt;=96,"Silent",Table2[[#This Row],[Age]]&gt;=97,"Greatest")</f>
        <v>Gen Z</v>
      </c>
      <c r="E633" s="1">
        <v>93854</v>
      </c>
      <c r="F633">
        <v>82</v>
      </c>
      <c r="G633" t="str" cm="1">
        <f t="array" ref="G633">_xlfn.IFS(Table2[[#This Row],[Spending Score (1-100)]]&lt;=25,"Low",Table2[[#This Row],[Spending Score (1-100)]]&lt;=50,"Medium",Table2[[#This Row],[Spending Score (1-100)]]&lt;=75,"High",Table2[[#This Row],[Spending Score (1-100)]]&lt;=100,"Very High")</f>
        <v>Very High</v>
      </c>
      <c r="H633" t="s">
        <v>9</v>
      </c>
      <c r="I633">
        <v>0</v>
      </c>
      <c r="J633" t="str">
        <f>CONCATENATE(Table2[[#This Row],[Work Experience]],"years")</f>
        <v>0years</v>
      </c>
      <c r="K633" t="str">
        <f>CONCATENATE(Table2[[#This Row],[Family Size2]],"members")</f>
        <v>7members</v>
      </c>
      <c r="L633" t="str">
        <f>CONCATENATE(Table2[[#This Row],[Family Size2]],"members")</f>
        <v>7members</v>
      </c>
      <c r="M633">
        <v>7</v>
      </c>
    </row>
    <row r="634" spans="1:13">
      <c r="A634">
        <v>633</v>
      </c>
      <c r="B634" t="s">
        <v>8</v>
      </c>
      <c r="C634">
        <v>32</v>
      </c>
      <c r="D634" t="str" cm="1">
        <f t="array" ref="D634">_xlfn.IFS(Table2[[#This Row],[Age]]&lt;=11,"Gen A",Table2[[#This Row],[Age]]&lt;=27,"Gen Z",Table2[[#This Row],[Age]]&lt;=43,"Millenials",Table2[[#This Row],[Age]]&lt;=59,"Gen X",Table2[[#This Row],[Age]]&lt;=78,"Baby Boomers",Table2[[#This Row],[Age]]&lt;=96,"Silent",Table2[[#This Row],[Age]]&gt;=97,"Greatest")</f>
        <v>Millenials</v>
      </c>
      <c r="E634" s="1">
        <v>118280</v>
      </c>
      <c r="F634">
        <v>92</v>
      </c>
      <c r="G634" t="str" cm="1">
        <f t="array" ref="G634">_xlfn.IFS(Table2[[#This Row],[Spending Score (1-100)]]&lt;=25,"Low",Table2[[#This Row],[Spending Score (1-100)]]&lt;=50,"Medium",Table2[[#This Row],[Spending Score (1-100)]]&lt;=75,"High",Table2[[#This Row],[Spending Score (1-100)]]&lt;=100,"Very High")</f>
        <v>Very High</v>
      </c>
      <c r="H634" t="s">
        <v>14</v>
      </c>
      <c r="I634">
        <v>0</v>
      </c>
      <c r="J634" t="str">
        <f>CONCATENATE(Table2[[#This Row],[Work Experience]],"years")</f>
        <v>0years</v>
      </c>
      <c r="K634" t="str">
        <f>CONCATENATE(Table2[[#This Row],[Family Size2]],"members")</f>
        <v>5members</v>
      </c>
      <c r="L634" t="str">
        <f>CONCATENATE(Table2[[#This Row],[Family Size2]],"members")</f>
        <v>5members</v>
      </c>
      <c r="M634">
        <v>5</v>
      </c>
    </row>
    <row r="635" spans="1:13">
      <c r="A635">
        <v>634</v>
      </c>
      <c r="B635" t="s">
        <v>8</v>
      </c>
      <c r="C635">
        <v>91</v>
      </c>
      <c r="D635" t="str" cm="1">
        <f t="array" ref="D635">_xlfn.IFS(Table2[[#This Row],[Age]]&lt;=11,"Gen A",Table2[[#This Row],[Age]]&lt;=27,"Gen Z",Table2[[#This Row],[Age]]&lt;=43,"Millenials",Table2[[#This Row],[Age]]&lt;=59,"Gen X",Table2[[#This Row],[Age]]&lt;=78,"Baby Boomers",Table2[[#This Row],[Age]]&lt;=96,"Silent",Table2[[#This Row],[Age]]&gt;=97,"Greatest")</f>
        <v>Silent</v>
      </c>
      <c r="E635" s="1">
        <v>94576</v>
      </c>
      <c r="F635">
        <v>90</v>
      </c>
      <c r="G635" t="str" cm="1">
        <f t="array" ref="G635">_xlfn.IFS(Table2[[#This Row],[Spending Score (1-100)]]&lt;=25,"Low",Table2[[#This Row],[Spending Score (1-100)]]&lt;=50,"Medium",Table2[[#This Row],[Spending Score (1-100)]]&lt;=75,"High",Table2[[#This Row],[Spending Score (1-100)]]&lt;=100,"Very High")</f>
        <v>Very High</v>
      </c>
      <c r="H635" t="s">
        <v>14</v>
      </c>
      <c r="I635">
        <v>0</v>
      </c>
      <c r="J635" t="str">
        <f>CONCATENATE(Table2[[#This Row],[Work Experience]],"years")</f>
        <v>0years</v>
      </c>
      <c r="K635" t="str">
        <f>CONCATENATE(Table2[[#This Row],[Family Size2]],"members")</f>
        <v>1members</v>
      </c>
      <c r="L635" t="str">
        <f>CONCATENATE(Table2[[#This Row],[Family Size2]],"members")</f>
        <v>1members</v>
      </c>
      <c r="M635">
        <v>1</v>
      </c>
    </row>
    <row r="636" spans="1:13">
      <c r="A636">
        <v>635</v>
      </c>
      <c r="B636" t="s">
        <v>11</v>
      </c>
      <c r="C636">
        <v>33</v>
      </c>
      <c r="D636" t="str" cm="1">
        <f t="array" ref="D636">_xlfn.IFS(Table2[[#This Row],[Age]]&lt;=11,"Gen A",Table2[[#This Row],[Age]]&lt;=27,"Gen Z",Table2[[#This Row],[Age]]&lt;=43,"Millenials",Table2[[#This Row],[Age]]&lt;=59,"Gen X",Table2[[#This Row],[Age]]&lt;=78,"Baby Boomers",Table2[[#This Row],[Age]]&lt;=96,"Silent",Table2[[#This Row],[Age]]&gt;=97,"Greatest")</f>
        <v>Millenials</v>
      </c>
      <c r="E636" s="1">
        <v>129257</v>
      </c>
      <c r="F636">
        <v>70</v>
      </c>
      <c r="G636" t="str" cm="1">
        <f t="array" ref="G636">_xlfn.IFS(Table2[[#This Row],[Spending Score (1-100)]]&lt;=25,"Low",Table2[[#This Row],[Spending Score (1-100)]]&lt;=50,"Medium",Table2[[#This Row],[Spending Score (1-100)]]&lt;=75,"High",Table2[[#This Row],[Spending Score (1-100)]]&lt;=100,"Very High")</f>
        <v>High</v>
      </c>
      <c r="H636" t="s">
        <v>15</v>
      </c>
      <c r="I636">
        <v>6</v>
      </c>
      <c r="J636" t="str">
        <f>CONCATENATE(Table2[[#This Row],[Work Experience]],"years")</f>
        <v>6years</v>
      </c>
      <c r="K636" t="str">
        <f>CONCATENATE(Table2[[#This Row],[Family Size2]],"members")</f>
        <v>3members</v>
      </c>
      <c r="L636" t="str">
        <f>CONCATENATE(Table2[[#This Row],[Family Size2]],"members")</f>
        <v>3members</v>
      </c>
      <c r="M636">
        <v>3</v>
      </c>
    </row>
    <row r="637" spans="1:13">
      <c r="A637">
        <v>636</v>
      </c>
      <c r="B637" t="s">
        <v>11</v>
      </c>
      <c r="C637">
        <v>57</v>
      </c>
      <c r="D637" t="str" cm="1">
        <f t="array" ref="D637">_xlfn.IFS(Table2[[#This Row],[Age]]&lt;=11,"Gen A",Table2[[#This Row],[Age]]&lt;=27,"Gen Z",Table2[[#This Row],[Age]]&lt;=43,"Millenials",Table2[[#This Row],[Age]]&lt;=59,"Gen X",Table2[[#This Row],[Age]]&lt;=78,"Baby Boomers",Table2[[#This Row],[Age]]&lt;=96,"Silent",Table2[[#This Row],[Age]]&gt;=97,"Greatest")</f>
        <v>Gen X</v>
      </c>
      <c r="E637" s="1">
        <v>70373</v>
      </c>
      <c r="F637">
        <v>10</v>
      </c>
      <c r="G637" t="str" cm="1">
        <f t="array" ref="G637">_xlfn.IFS(Table2[[#This Row],[Spending Score (1-100)]]&lt;=25,"Low",Table2[[#This Row],[Spending Score (1-100)]]&lt;=50,"Medium",Table2[[#This Row],[Spending Score (1-100)]]&lt;=75,"High",Table2[[#This Row],[Spending Score (1-100)]]&lt;=100,"Very High")</f>
        <v>Low</v>
      </c>
      <c r="H637" t="s">
        <v>9</v>
      </c>
      <c r="I637">
        <v>2</v>
      </c>
      <c r="J637" t="str">
        <f>CONCATENATE(Table2[[#This Row],[Work Experience]],"years")</f>
        <v>2years</v>
      </c>
      <c r="K637" t="str">
        <f>CONCATENATE(Table2[[#This Row],[Family Size2]],"members")</f>
        <v>6members</v>
      </c>
      <c r="L637" t="str">
        <f>CONCATENATE(Table2[[#This Row],[Family Size2]],"members")</f>
        <v>6members</v>
      </c>
      <c r="M637">
        <v>6</v>
      </c>
    </row>
    <row r="638" spans="1:13">
      <c r="A638">
        <v>637</v>
      </c>
      <c r="B638" t="s">
        <v>11</v>
      </c>
      <c r="C638">
        <v>43</v>
      </c>
      <c r="D638" t="str" cm="1">
        <f t="array" ref="D638">_xlfn.IFS(Table2[[#This Row],[Age]]&lt;=11,"Gen A",Table2[[#This Row],[Age]]&lt;=27,"Gen Z",Table2[[#This Row],[Age]]&lt;=43,"Millenials",Table2[[#This Row],[Age]]&lt;=59,"Gen X",Table2[[#This Row],[Age]]&lt;=78,"Baby Boomers",Table2[[#This Row],[Age]]&lt;=96,"Silent",Table2[[#This Row],[Age]]&gt;=97,"Greatest")</f>
        <v>Millenials</v>
      </c>
      <c r="E638" s="1">
        <v>77600</v>
      </c>
      <c r="F638">
        <v>66</v>
      </c>
      <c r="G638" t="str" cm="1">
        <f t="array" ref="G638">_xlfn.IFS(Table2[[#This Row],[Spending Score (1-100)]]&lt;=25,"Low",Table2[[#This Row],[Spending Score (1-100)]]&lt;=50,"Medium",Table2[[#This Row],[Spending Score (1-100)]]&lt;=75,"High",Table2[[#This Row],[Spending Score (1-100)]]&lt;=100,"Very High")</f>
        <v>High</v>
      </c>
      <c r="H638" t="s">
        <v>9</v>
      </c>
      <c r="I638">
        <v>0</v>
      </c>
      <c r="J638" t="str">
        <f>CONCATENATE(Table2[[#This Row],[Work Experience]],"years")</f>
        <v>0years</v>
      </c>
      <c r="K638" t="str">
        <f>CONCATENATE(Table2[[#This Row],[Family Size2]],"members")</f>
        <v>1members</v>
      </c>
      <c r="L638" t="str">
        <f>CONCATENATE(Table2[[#This Row],[Family Size2]],"members")</f>
        <v>1members</v>
      </c>
      <c r="M638">
        <v>1</v>
      </c>
    </row>
    <row r="639" spans="1:13">
      <c r="A639">
        <v>638</v>
      </c>
      <c r="B639" t="s">
        <v>11</v>
      </c>
      <c r="C639">
        <v>26</v>
      </c>
      <c r="D639" t="str" cm="1">
        <f t="array" ref="D639">_xlfn.IFS(Table2[[#This Row],[Age]]&lt;=11,"Gen A",Table2[[#This Row],[Age]]&lt;=27,"Gen Z",Table2[[#This Row],[Age]]&lt;=43,"Millenials",Table2[[#This Row],[Age]]&lt;=59,"Gen X",Table2[[#This Row],[Age]]&lt;=78,"Baby Boomers",Table2[[#This Row],[Age]]&lt;=96,"Silent",Table2[[#This Row],[Age]]&gt;=97,"Greatest")</f>
        <v>Gen Z</v>
      </c>
      <c r="E639" s="1">
        <v>113707</v>
      </c>
      <c r="F639">
        <v>97</v>
      </c>
      <c r="G639" t="str" cm="1">
        <f t="array" ref="G639">_xlfn.IFS(Table2[[#This Row],[Spending Score (1-100)]]&lt;=25,"Low",Table2[[#This Row],[Spending Score (1-100)]]&lt;=50,"Medium",Table2[[#This Row],[Spending Score (1-100)]]&lt;=75,"High",Table2[[#This Row],[Spending Score (1-100)]]&lt;=100,"Very High")</f>
        <v>Very High</v>
      </c>
      <c r="H639" t="s">
        <v>13</v>
      </c>
      <c r="I639">
        <v>0</v>
      </c>
      <c r="J639" t="str">
        <f>CONCATENATE(Table2[[#This Row],[Work Experience]],"years")</f>
        <v>0years</v>
      </c>
      <c r="K639" t="str">
        <f>CONCATENATE(Table2[[#This Row],[Family Size2]],"members")</f>
        <v>5members</v>
      </c>
      <c r="L639" t="str">
        <f>CONCATENATE(Table2[[#This Row],[Family Size2]],"members")</f>
        <v>5members</v>
      </c>
      <c r="M639">
        <v>5</v>
      </c>
    </row>
    <row r="640" spans="1:13">
      <c r="A640">
        <v>639</v>
      </c>
      <c r="B640" t="s">
        <v>11</v>
      </c>
      <c r="C640">
        <v>59</v>
      </c>
      <c r="D640" t="str" cm="1">
        <f t="array" ref="D640">_xlfn.IFS(Table2[[#This Row],[Age]]&lt;=11,"Gen A",Table2[[#This Row],[Age]]&lt;=27,"Gen Z",Table2[[#This Row],[Age]]&lt;=43,"Millenials",Table2[[#This Row],[Age]]&lt;=59,"Gen X",Table2[[#This Row],[Age]]&lt;=78,"Baby Boomers",Table2[[#This Row],[Age]]&lt;=96,"Silent",Table2[[#This Row],[Age]]&gt;=97,"Greatest")</f>
        <v>Gen X</v>
      </c>
      <c r="E640" s="1">
        <v>189672</v>
      </c>
      <c r="F640">
        <v>8</v>
      </c>
      <c r="G640" t="str" cm="1">
        <f t="array" ref="G640">_xlfn.IFS(Table2[[#This Row],[Spending Score (1-100)]]&lt;=25,"Low",Table2[[#This Row],[Spending Score (1-100)]]&lt;=50,"Medium",Table2[[#This Row],[Spending Score (1-100)]]&lt;=75,"High",Table2[[#This Row],[Spending Score (1-100)]]&lt;=100,"Very High")</f>
        <v>Low</v>
      </c>
      <c r="H640" t="s">
        <v>16</v>
      </c>
      <c r="I640">
        <v>0</v>
      </c>
      <c r="J640" t="str">
        <f>CONCATENATE(Table2[[#This Row],[Work Experience]],"years")</f>
        <v>0years</v>
      </c>
      <c r="K640" t="str">
        <f>CONCATENATE(Table2[[#This Row],[Family Size2]],"members")</f>
        <v>7members</v>
      </c>
      <c r="L640" t="str">
        <f>CONCATENATE(Table2[[#This Row],[Family Size2]],"members")</f>
        <v>7members</v>
      </c>
      <c r="M640">
        <v>7</v>
      </c>
    </row>
    <row r="641" spans="1:13">
      <c r="A641">
        <v>640</v>
      </c>
      <c r="B641" t="s">
        <v>11</v>
      </c>
      <c r="C641">
        <v>61</v>
      </c>
      <c r="D641" t="str" cm="1">
        <f t="array" ref="D641">_xlfn.IFS(Table2[[#This Row],[Age]]&lt;=11,"Gen A",Table2[[#This Row],[Age]]&lt;=27,"Gen Z",Table2[[#This Row],[Age]]&lt;=43,"Millenials",Table2[[#This Row],[Age]]&lt;=59,"Gen X",Table2[[#This Row],[Age]]&lt;=78,"Baby Boomers",Table2[[#This Row],[Age]]&lt;=96,"Silent",Table2[[#This Row],[Age]]&gt;=97,"Greatest")</f>
        <v>Baby Boomers</v>
      </c>
      <c r="E641" s="1">
        <v>143180</v>
      </c>
      <c r="F641">
        <v>58</v>
      </c>
      <c r="G641" t="str" cm="1">
        <f t="array" ref="G641">_xlfn.IFS(Table2[[#This Row],[Spending Score (1-100)]]&lt;=25,"Low",Table2[[#This Row],[Spending Score (1-100)]]&lt;=50,"Medium",Table2[[#This Row],[Spending Score (1-100)]]&lt;=75,"High",Table2[[#This Row],[Spending Score (1-100)]]&lt;=100,"Very High")</f>
        <v>High</v>
      </c>
      <c r="H641" t="s">
        <v>14</v>
      </c>
      <c r="I641">
        <v>0</v>
      </c>
      <c r="J641" t="str">
        <f>CONCATENATE(Table2[[#This Row],[Work Experience]],"years")</f>
        <v>0years</v>
      </c>
      <c r="K641" t="str">
        <f>CONCATENATE(Table2[[#This Row],[Family Size2]],"members")</f>
        <v>5members</v>
      </c>
      <c r="L641" t="str">
        <f>CONCATENATE(Table2[[#This Row],[Family Size2]],"members")</f>
        <v>5members</v>
      </c>
      <c r="M641">
        <v>5</v>
      </c>
    </row>
    <row r="642" spans="1:13">
      <c r="A642">
        <v>641</v>
      </c>
      <c r="B642" t="s">
        <v>11</v>
      </c>
      <c r="C642">
        <v>59</v>
      </c>
      <c r="D642" t="str" cm="1">
        <f t="array" ref="D642">_xlfn.IFS(Table2[[#This Row],[Age]]&lt;=11,"Gen A",Table2[[#This Row],[Age]]&lt;=27,"Gen Z",Table2[[#This Row],[Age]]&lt;=43,"Millenials",Table2[[#This Row],[Age]]&lt;=59,"Gen X",Table2[[#This Row],[Age]]&lt;=78,"Baby Boomers",Table2[[#This Row],[Age]]&lt;=96,"Silent",Table2[[#This Row],[Age]]&gt;=97,"Greatest")</f>
        <v>Gen X</v>
      </c>
      <c r="E642" s="1">
        <v>174890</v>
      </c>
      <c r="F642">
        <v>14</v>
      </c>
      <c r="G642" t="str" cm="1">
        <f t="array" ref="G642">_xlfn.IFS(Table2[[#This Row],[Spending Score (1-100)]]&lt;=25,"Low",Table2[[#This Row],[Spending Score (1-100)]]&lt;=50,"Medium",Table2[[#This Row],[Spending Score (1-100)]]&lt;=75,"High",Table2[[#This Row],[Spending Score (1-100)]]&lt;=100,"Very High")</f>
        <v>Low</v>
      </c>
      <c r="H642" t="s">
        <v>18</v>
      </c>
      <c r="I642">
        <v>3</v>
      </c>
      <c r="J642" t="str">
        <f>CONCATENATE(Table2[[#This Row],[Work Experience]],"years")</f>
        <v>3years</v>
      </c>
      <c r="K642" t="str">
        <f>CONCATENATE(Table2[[#This Row],[Family Size2]],"members")</f>
        <v>4members</v>
      </c>
      <c r="L642" t="str">
        <f>CONCATENATE(Table2[[#This Row],[Family Size2]],"members")</f>
        <v>4members</v>
      </c>
      <c r="M642">
        <v>4</v>
      </c>
    </row>
    <row r="643" spans="1:13">
      <c r="A643">
        <v>642</v>
      </c>
      <c r="B643" t="s">
        <v>8</v>
      </c>
      <c r="C643">
        <v>66</v>
      </c>
      <c r="D643" t="str" cm="1">
        <f t="array" ref="D643">_xlfn.IFS(Table2[[#This Row],[Age]]&lt;=11,"Gen A",Table2[[#This Row],[Age]]&lt;=27,"Gen Z",Table2[[#This Row],[Age]]&lt;=43,"Millenials",Table2[[#This Row],[Age]]&lt;=59,"Gen X",Table2[[#This Row],[Age]]&lt;=78,"Baby Boomers",Table2[[#This Row],[Age]]&lt;=96,"Silent",Table2[[#This Row],[Age]]&gt;=97,"Greatest")</f>
        <v>Baby Boomers</v>
      </c>
      <c r="E643" s="1">
        <v>121377</v>
      </c>
      <c r="F643">
        <v>19</v>
      </c>
      <c r="G643" t="str" cm="1">
        <f t="array" ref="G643">_xlfn.IFS(Table2[[#This Row],[Spending Score (1-100)]]&lt;=25,"Low",Table2[[#This Row],[Spending Score (1-100)]]&lt;=50,"Medium",Table2[[#This Row],[Spending Score (1-100)]]&lt;=75,"High",Table2[[#This Row],[Spending Score (1-100)]]&lt;=100,"Very High")</f>
        <v>Low</v>
      </c>
      <c r="H643" t="s">
        <v>19</v>
      </c>
      <c r="I643">
        <v>7</v>
      </c>
      <c r="J643" t="str">
        <f>CONCATENATE(Table2[[#This Row],[Work Experience]],"years")</f>
        <v>7years</v>
      </c>
      <c r="K643" t="str">
        <f>CONCATENATE(Table2[[#This Row],[Family Size2]],"members")</f>
        <v>7members</v>
      </c>
      <c r="L643" t="str">
        <f>CONCATENATE(Table2[[#This Row],[Family Size2]],"members")</f>
        <v>7members</v>
      </c>
      <c r="M643">
        <v>7</v>
      </c>
    </row>
    <row r="644" spans="1:13">
      <c r="A644">
        <v>643</v>
      </c>
      <c r="B644" t="s">
        <v>8</v>
      </c>
      <c r="C644">
        <v>26</v>
      </c>
      <c r="D644" t="str" cm="1">
        <f t="array" ref="D644">_xlfn.IFS(Table2[[#This Row],[Age]]&lt;=11,"Gen A",Table2[[#This Row],[Age]]&lt;=27,"Gen Z",Table2[[#This Row],[Age]]&lt;=43,"Millenials",Table2[[#This Row],[Age]]&lt;=59,"Gen X",Table2[[#This Row],[Age]]&lt;=78,"Baby Boomers",Table2[[#This Row],[Age]]&lt;=96,"Silent",Table2[[#This Row],[Age]]&gt;=97,"Greatest")</f>
        <v>Gen Z</v>
      </c>
      <c r="E644" s="1">
        <v>154857</v>
      </c>
      <c r="F644">
        <v>13</v>
      </c>
      <c r="G644" t="str" cm="1">
        <f t="array" ref="G644">_xlfn.IFS(Table2[[#This Row],[Spending Score (1-100)]]&lt;=25,"Low",Table2[[#This Row],[Spending Score (1-100)]]&lt;=50,"Medium",Table2[[#This Row],[Spending Score (1-100)]]&lt;=75,"High",Table2[[#This Row],[Spending Score (1-100)]]&lt;=100,"Very High")</f>
        <v>Low</v>
      </c>
      <c r="H644" t="s">
        <v>9</v>
      </c>
      <c r="I644">
        <v>0</v>
      </c>
      <c r="J644" t="str">
        <f>CONCATENATE(Table2[[#This Row],[Work Experience]],"years")</f>
        <v>0years</v>
      </c>
      <c r="K644" t="str">
        <f>CONCATENATE(Table2[[#This Row],[Family Size2]],"members")</f>
        <v>7members</v>
      </c>
      <c r="L644" t="str">
        <f>CONCATENATE(Table2[[#This Row],[Family Size2]],"members")</f>
        <v>7members</v>
      </c>
      <c r="M644">
        <v>7</v>
      </c>
    </row>
    <row r="645" spans="1:13">
      <c r="A645">
        <v>644</v>
      </c>
      <c r="B645" t="s">
        <v>11</v>
      </c>
      <c r="C645">
        <v>67</v>
      </c>
      <c r="D645" t="str" cm="1">
        <f t="array" ref="D645">_xlfn.IFS(Table2[[#This Row],[Age]]&lt;=11,"Gen A",Table2[[#This Row],[Age]]&lt;=27,"Gen Z",Table2[[#This Row],[Age]]&lt;=43,"Millenials",Table2[[#This Row],[Age]]&lt;=59,"Gen X",Table2[[#This Row],[Age]]&lt;=78,"Baby Boomers",Table2[[#This Row],[Age]]&lt;=96,"Silent",Table2[[#This Row],[Age]]&gt;=97,"Greatest")</f>
        <v>Baby Boomers</v>
      </c>
      <c r="E645" s="1">
        <v>160945</v>
      </c>
      <c r="F645">
        <v>51</v>
      </c>
      <c r="G645" t="str" cm="1">
        <f t="array" ref="G645">_xlfn.IFS(Table2[[#This Row],[Spending Score (1-100)]]&lt;=25,"Low",Table2[[#This Row],[Spending Score (1-100)]]&lt;=50,"Medium",Table2[[#This Row],[Spending Score (1-100)]]&lt;=75,"High",Table2[[#This Row],[Spending Score (1-100)]]&lt;=100,"Very High")</f>
        <v>High</v>
      </c>
      <c r="H645" t="s">
        <v>9</v>
      </c>
      <c r="I645">
        <v>0</v>
      </c>
      <c r="J645" t="str">
        <f>CONCATENATE(Table2[[#This Row],[Work Experience]],"years")</f>
        <v>0years</v>
      </c>
      <c r="K645" t="str">
        <f>CONCATENATE(Table2[[#This Row],[Family Size2]],"members")</f>
        <v>5members</v>
      </c>
      <c r="L645" t="str">
        <f>CONCATENATE(Table2[[#This Row],[Family Size2]],"members")</f>
        <v>5members</v>
      </c>
      <c r="M645">
        <v>5</v>
      </c>
    </row>
    <row r="646" spans="1:13">
      <c r="A646">
        <v>645</v>
      </c>
      <c r="B646" t="s">
        <v>11</v>
      </c>
      <c r="C646">
        <v>85</v>
      </c>
      <c r="D646" t="str" cm="1">
        <f t="array" ref="D646">_xlfn.IFS(Table2[[#This Row],[Age]]&lt;=11,"Gen A",Table2[[#This Row],[Age]]&lt;=27,"Gen Z",Table2[[#This Row],[Age]]&lt;=43,"Millenials",Table2[[#This Row],[Age]]&lt;=59,"Gen X",Table2[[#This Row],[Age]]&lt;=78,"Baby Boomers",Table2[[#This Row],[Age]]&lt;=96,"Silent",Table2[[#This Row],[Age]]&gt;=97,"Greatest")</f>
        <v>Silent</v>
      </c>
      <c r="E646" s="1">
        <v>119557</v>
      </c>
      <c r="F646">
        <v>35</v>
      </c>
      <c r="G646" t="str" cm="1">
        <f t="array" ref="G646">_xlfn.IFS(Table2[[#This Row],[Spending Score (1-100)]]&lt;=25,"Low",Table2[[#This Row],[Spending Score (1-100)]]&lt;=50,"Medium",Table2[[#This Row],[Spending Score (1-100)]]&lt;=75,"High",Table2[[#This Row],[Spending Score (1-100)]]&lt;=100,"Very High")</f>
        <v>Medium</v>
      </c>
      <c r="H646" t="s">
        <v>14</v>
      </c>
      <c r="I646">
        <v>0</v>
      </c>
      <c r="J646" t="str">
        <f>CONCATENATE(Table2[[#This Row],[Work Experience]],"years")</f>
        <v>0years</v>
      </c>
      <c r="K646" t="str">
        <f>CONCATENATE(Table2[[#This Row],[Family Size2]],"members")</f>
        <v>2members</v>
      </c>
      <c r="L646" t="str">
        <f>CONCATENATE(Table2[[#This Row],[Family Size2]],"members")</f>
        <v>2members</v>
      </c>
      <c r="M646">
        <v>2</v>
      </c>
    </row>
    <row r="647" spans="1:13">
      <c r="A647">
        <v>646</v>
      </c>
      <c r="B647" t="s">
        <v>11</v>
      </c>
      <c r="C647">
        <v>76</v>
      </c>
      <c r="D647" t="str" cm="1">
        <f t="array" ref="D647">_xlfn.IFS(Table2[[#This Row],[Age]]&lt;=11,"Gen A",Table2[[#This Row],[Age]]&lt;=27,"Gen Z",Table2[[#This Row],[Age]]&lt;=43,"Millenials",Table2[[#This Row],[Age]]&lt;=59,"Gen X",Table2[[#This Row],[Age]]&lt;=78,"Baby Boomers",Table2[[#This Row],[Age]]&lt;=96,"Silent",Table2[[#This Row],[Age]]&gt;=97,"Greatest")</f>
        <v>Baby Boomers</v>
      </c>
      <c r="E647" s="1">
        <v>187141</v>
      </c>
      <c r="F647">
        <v>33</v>
      </c>
      <c r="G647" t="str" cm="1">
        <f t="array" ref="G647">_xlfn.IFS(Table2[[#This Row],[Spending Score (1-100)]]&lt;=25,"Low",Table2[[#This Row],[Spending Score (1-100)]]&lt;=50,"Medium",Table2[[#This Row],[Spending Score (1-100)]]&lt;=75,"High",Table2[[#This Row],[Spending Score (1-100)]]&lt;=100,"Very High")</f>
        <v>Medium</v>
      </c>
      <c r="H647" t="s">
        <v>16</v>
      </c>
      <c r="I647">
        <v>0</v>
      </c>
      <c r="J647" t="str">
        <f>CONCATENATE(Table2[[#This Row],[Work Experience]],"years")</f>
        <v>0years</v>
      </c>
      <c r="K647" t="str">
        <f>CONCATENATE(Table2[[#This Row],[Family Size2]],"members")</f>
        <v>7members</v>
      </c>
      <c r="L647" t="str">
        <f>CONCATENATE(Table2[[#This Row],[Family Size2]],"members")</f>
        <v>7members</v>
      </c>
      <c r="M647">
        <v>7</v>
      </c>
    </row>
    <row r="648" spans="1:13">
      <c r="A648">
        <v>647</v>
      </c>
      <c r="B648" t="s">
        <v>11</v>
      </c>
      <c r="C648">
        <v>57</v>
      </c>
      <c r="D648" t="str" cm="1">
        <f t="array" ref="D648">_xlfn.IFS(Table2[[#This Row],[Age]]&lt;=11,"Gen A",Table2[[#This Row],[Age]]&lt;=27,"Gen Z",Table2[[#This Row],[Age]]&lt;=43,"Millenials",Table2[[#This Row],[Age]]&lt;=59,"Gen X",Table2[[#This Row],[Age]]&lt;=78,"Baby Boomers",Table2[[#This Row],[Age]]&lt;=96,"Silent",Table2[[#This Row],[Age]]&gt;=97,"Greatest")</f>
        <v>Gen X</v>
      </c>
      <c r="E648" s="1">
        <v>97468</v>
      </c>
      <c r="F648">
        <v>22</v>
      </c>
      <c r="G648" t="str" cm="1">
        <f t="array" ref="G648">_xlfn.IFS(Table2[[#This Row],[Spending Score (1-100)]]&lt;=25,"Low",Table2[[#This Row],[Spending Score (1-100)]]&lt;=50,"Medium",Table2[[#This Row],[Spending Score (1-100)]]&lt;=75,"High",Table2[[#This Row],[Spending Score (1-100)]]&lt;=100,"Very High")</f>
        <v>Low</v>
      </c>
      <c r="H648" t="s">
        <v>14</v>
      </c>
      <c r="I648">
        <v>0</v>
      </c>
      <c r="J648" t="str">
        <f>CONCATENATE(Table2[[#This Row],[Work Experience]],"years")</f>
        <v>0years</v>
      </c>
      <c r="K648" t="str">
        <f>CONCATENATE(Table2[[#This Row],[Family Size2]],"members")</f>
        <v>1members</v>
      </c>
      <c r="L648" t="str">
        <f>CONCATENATE(Table2[[#This Row],[Family Size2]],"members")</f>
        <v>1members</v>
      </c>
      <c r="M648">
        <v>1</v>
      </c>
    </row>
    <row r="649" spans="1:13">
      <c r="A649">
        <v>648</v>
      </c>
      <c r="B649" t="s">
        <v>11</v>
      </c>
      <c r="C649">
        <v>77</v>
      </c>
      <c r="D649" t="str" cm="1">
        <f t="array" ref="D649">_xlfn.IFS(Table2[[#This Row],[Age]]&lt;=11,"Gen A",Table2[[#This Row],[Age]]&lt;=27,"Gen Z",Table2[[#This Row],[Age]]&lt;=43,"Millenials",Table2[[#This Row],[Age]]&lt;=59,"Gen X",Table2[[#This Row],[Age]]&lt;=78,"Baby Boomers",Table2[[#This Row],[Age]]&lt;=96,"Silent",Table2[[#This Row],[Age]]&gt;=97,"Greatest")</f>
        <v>Baby Boomers</v>
      </c>
      <c r="E649" s="1">
        <v>160351</v>
      </c>
      <c r="F649">
        <v>77</v>
      </c>
      <c r="G649" t="str" cm="1">
        <f t="array" ref="G649">_xlfn.IFS(Table2[[#This Row],[Spending Score (1-100)]]&lt;=25,"Low",Table2[[#This Row],[Spending Score (1-100)]]&lt;=50,"Medium",Table2[[#This Row],[Spending Score (1-100)]]&lt;=75,"High",Table2[[#This Row],[Spending Score (1-100)]]&lt;=100,"Very High")</f>
        <v>Very High</v>
      </c>
      <c r="H649" t="s">
        <v>12</v>
      </c>
      <c r="I649">
        <v>8</v>
      </c>
      <c r="J649" t="str">
        <f>CONCATENATE(Table2[[#This Row],[Work Experience]],"years")</f>
        <v>8years</v>
      </c>
      <c r="K649" t="str">
        <f>CONCATENATE(Table2[[#This Row],[Family Size2]],"members")</f>
        <v>5members</v>
      </c>
      <c r="L649" t="str">
        <f>CONCATENATE(Table2[[#This Row],[Family Size2]],"members")</f>
        <v>5members</v>
      </c>
      <c r="M649">
        <v>5</v>
      </c>
    </row>
    <row r="650" spans="1:13">
      <c r="A650">
        <v>649</v>
      </c>
      <c r="B650" t="s">
        <v>11</v>
      </c>
      <c r="C650">
        <v>66</v>
      </c>
      <c r="D650" t="str" cm="1">
        <f t="array" ref="D650">_xlfn.IFS(Table2[[#This Row],[Age]]&lt;=11,"Gen A",Table2[[#This Row],[Age]]&lt;=27,"Gen Z",Table2[[#This Row],[Age]]&lt;=43,"Millenials",Table2[[#This Row],[Age]]&lt;=59,"Gen X",Table2[[#This Row],[Age]]&lt;=78,"Baby Boomers",Table2[[#This Row],[Age]]&lt;=96,"Silent",Table2[[#This Row],[Age]]&gt;=97,"Greatest")</f>
        <v>Baby Boomers</v>
      </c>
      <c r="E650" s="1">
        <v>178627</v>
      </c>
      <c r="F650">
        <v>94</v>
      </c>
      <c r="G650" t="str" cm="1">
        <f t="array" ref="G650">_xlfn.IFS(Table2[[#This Row],[Spending Score (1-100)]]&lt;=25,"Low",Table2[[#This Row],[Spending Score (1-100)]]&lt;=50,"Medium",Table2[[#This Row],[Spending Score (1-100)]]&lt;=75,"High",Table2[[#This Row],[Spending Score (1-100)]]&lt;=100,"Very High")</f>
        <v>Very High</v>
      </c>
      <c r="H650" t="s">
        <v>9</v>
      </c>
      <c r="I650">
        <v>1</v>
      </c>
      <c r="J650" t="str">
        <f>CONCATENATE(Table2[[#This Row],[Work Experience]],"years")</f>
        <v>1years</v>
      </c>
      <c r="K650" t="str">
        <f>CONCATENATE(Table2[[#This Row],[Family Size2]],"members")</f>
        <v>2members</v>
      </c>
      <c r="L650" t="str">
        <f>CONCATENATE(Table2[[#This Row],[Family Size2]],"members")</f>
        <v>2members</v>
      </c>
      <c r="M650">
        <v>2</v>
      </c>
    </row>
    <row r="651" spans="1:13">
      <c r="A651">
        <v>650</v>
      </c>
      <c r="B651" t="s">
        <v>11</v>
      </c>
      <c r="C651">
        <v>49</v>
      </c>
      <c r="D651" t="str" cm="1">
        <f t="array" ref="D651">_xlfn.IFS(Table2[[#This Row],[Age]]&lt;=11,"Gen A",Table2[[#This Row],[Age]]&lt;=27,"Gen Z",Table2[[#This Row],[Age]]&lt;=43,"Millenials",Table2[[#This Row],[Age]]&lt;=59,"Gen X",Table2[[#This Row],[Age]]&lt;=78,"Baby Boomers",Table2[[#This Row],[Age]]&lt;=96,"Silent",Table2[[#This Row],[Age]]&gt;=97,"Greatest")</f>
        <v>Gen X</v>
      </c>
      <c r="E651" s="1">
        <v>170188</v>
      </c>
      <c r="F651">
        <v>80</v>
      </c>
      <c r="G651" t="str" cm="1">
        <f t="array" ref="G651">_xlfn.IFS(Table2[[#This Row],[Spending Score (1-100)]]&lt;=25,"Low",Table2[[#This Row],[Spending Score (1-100)]]&lt;=50,"Medium",Table2[[#This Row],[Spending Score (1-100)]]&lt;=75,"High",Table2[[#This Row],[Spending Score (1-100)]]&lt;=100,"Very High")</f>
        <v>Very High</v>
      </c>
      <c r="H651" t="s">
        <v>12</v>
      </c>
      <c r="I651">
        <v>1</v>
      </c>
      <c r="J651" t="str">
        <f>CONCATENATE(Table2[[#This Row],[Work Experience]],"years")</f>
        <v>1years</v>
      </c>
      <c r="K651" t="str">
        <f>CONCATENATE(Table2[[#This Row],[Family Size2]],"members")</f>
        <v>6members</v>
      </c>
      <c r="L651" t="str">
        <f>CONCATENATE(Table2[[#This Row],[Family Size2]],"members")</f>
        <v>6members</v>
      </c>
      <c r="M651">
        <v>6</v>
      </c>
    </row>
    <row r="652" spans="1:13">
      <c r="A652">
        <v>651</v>
      </c>
      <c r="B652" t="s">
        <v>11</v>
      </c>
      <c r="C652">
        <v>36</v>
      </c>
      <c r="D652" t="str" cm="1">
        <f t="array" ref="D652">_xlfn.IFS(Table2[[#This Row],[Age]]&lt;=11,"Gen A",Table2[[#This Row],[Age]]&lt;=27,"Gen Z",Table2[[#This Row],[Age]]&lt;=43,"Millenials",Table2[[#This Row],[Age]]&lt;=59,"Gen X",Table2[[#This Row],[Age]]&lt;=78,"Baby Boomers",Table2[[#This Row],[Age]]&lt;=96,"Silent",Table2[[#This Row],[Age]]&gt;=97,"Greatest")</f>
        <v>Millenials</v>
      </c>
      <c r="E652" s="1">
        <v>166007</v>
      </c>
      <c r="F652">
        <v>40</v>
      </c>
      <c r="G652" t="str" cm="1">
        <f t="array" ref="G652">_xlfn.IFS(Table2[[#This Row],[Spending Score (1-100)]]&lt;=25,"Low",Table2[[#This Row],[Spending Score (1-100)]]&lt;=50,"Medium",Table2[[#This Row],[Spending Score (1-100)]]&lt;=75,"High",Table2[[#This Row],[Spending Score (1-100)]]&lt;=100,"Very High")</f>
        <v>Medium</v>
      </c>
      <c r="H652" t="s">
        <v>16</v>
      </c>
      <c r="I652">
        <v>1</v>
      </c>
      <c r="J652" t="str">
        <f>CONCATENATE(Table2[[#This Row],[Work Experience]],"years")</f>
        <v>1years</v>
      </c>
      <c r="K652" t="str">
        <f>CONCATENATE(Table2[[#This Row],[Family Size2]],"members")</f>
        <v>4members</v>
      </c>
      <c r="L652" t="str">
        <f>CONCATENATE(Table2[[#This Row],[Family Size2]],"members")</f>
        <v>4members</v>
      </c>
      <c r="M652">
        <v>4</v>
      </c>
    </row>
    <row r="653" spans="1:13">
      <c r="A653">
        <v>652</v>
      </c>
      <c r="B653" t="s">
        <v>8</v>
      </c>
      <c r="C653">
        <v>74</v>
      </c>
      <c r="D653" t="str" cm="1">
        <f t="array" ref="D653">_xlfn.IFS(Table2[[#This Row],[Age]]&lt;=11,"Gen A",Table2[[#This Row],[Age]]&lt;=27,"Gen Z",Table2[[#This Row],[Age]]&lt;=43,"Millenials",Table2[[#This Row],[Age]]&lt;=59,"Gen X",Table2[[#This Row],[Age]]&lt;=78,"Baby Boomers",Table2[[#This Row],[Age]]&lt;=96,"Silent",Table2[[#This Row],[Age]]&gt;=97,"Greatest")</f>
        <v>Baby Boomers</v>
      </c>
      <c r="E653" s="1">
        <v>91794</v>
      </c>
      <c r="F653">
        <v>83</v>
      </c>
      <c r="G653" t="str" cm="1">
        <f t="array" ref="G653">_xlfn.IFS(Table2[[#This Row],[Spending Score (1-100)]]&lt;=25,"Low",Table2[[#This Row],[Spending Score (1-100)]]&lt;=50,"Medium",Table2[[#This Row],[Spending Score (1-100)]]&lt;=75,"High",Table2[[#This Row],[Spending Score (1-100)]]&lt;=100,"Very High")</f>
        <v>Very High</v>
      </c>
      <c r="H653" t="s">
        <v>13</v>
      </c>
      <c r="I653">
        <v>0</v>
      </c>
      <c r="J653" t="str">
        <f>CONCATENATE(Table2[[#This Row],[Work Experience]],"years")</f>
        <v>0years</v>
      </c>
      <c r="K653" t="str">
        <f>CONCATENATE(Table2[[#This Row],[Family Size2]],"members")</f>
        <v>7members</v>
      </c>
      <c r="L653" t="str">
        <f>CONCATENATE(Table2[[#This Row],[Family Size2]],"members")</f>
        <v>7members</v>
      </c>
      <c r="M653">
        <v>7</v>
      </c>
    </row>
    <row r="654" spans="1:13">
      <c r="A654">
        <v>653</v>
      </c>
      <c r="B654" t="s">
        <v>11</v>
      </c>
      <c r="C654">
        <v>16</v>
      </c>
      <c r="D654" t="str" cm="1">
        <f t="array" ref="D654">_xlfn.IFS(Table2[[#This Row],[Age]]&lt;=11,"Gen A",Table2[[#This Row],[Age]]&lt;=27,"Gen Z",Table2[[#This Row],[Age]]&lt;=43,"Millenials",Table2[[#This Row],[Age]]&lt;=59,"Gen X",Table2[[#This Row],[Age]]&lt;=78,"Baby Boomers",Table2[[#This Row],[Age]]&lt;=96,"Silent",Table2[[#This Row],[Age]]&gt;=97,"Greatest")</f>
        <v>Gen Z</v>
      </c>
      <c r="E654" s="1">
        <v>189072</v>
      </c>
      <c r="F654">
        <v>86</v>
      </c>
      <c r="G654" t="str" cm="1">
        <f t="array" ref="G654">_xlfn.IFS(Table2[[#This Row],[Spending Score (1-100)]]&lt;=25,"Low",Table2[[#This Row],[Spending Score (1-100)]]&lt;=50,"Medium",Table2[[#This Row],[Spending Score (1-100)]]&lt;=75,"High",Table2[[#This Row],[Spending Score (1-100)]]&lt;=100,"Very High")</f>
        <v>Very High</v>
      </c>
      <c r="H654" t="s">
        <v>14</v>
      </c>
      <c r="I654">
        <v>6</v>
      </c>
      <c r="J654" t="str">
        <f>CONCATENATE(Table2[[#This Row],[Work Experience]],"years")</f>
        <v>6years</v>
      </c>
      <c r="K654" t="str">
        <f>CONCATENATE(Table2[[#This Row],[Family Size2]],"members")</f>
        <v>3members</v>
      </c>
      <c r="L654" t="str">
        <f>CONCATENATE(Table2[[#This Row],[Family Size2]],"members")</f>
        <v>3members</v>
      </c>
      <c r="M654">
        <v>3</v>
      </c>
    </row>
    <row r="655" spans="1:13">
      <c r="A655">
        <v>654</v>
      </c>
      <c r="B655" t="s">
        <v>8</v>
      </c>
      <c r="C655">
        <v>27</v>
      </c>
      <c r="D655" t="str" cm="1">
        <f t="array" ref="D655">_xlfn.IFS(Table2[[#This Row],[Age]]&lt;=11,"Gen A",Table2[[#This Row],[Age]]&lt;=27,"Gen Z",Table2[[#This Row],[Age]]&lt;=43,"Millenials",Table2[[#This Row],[Age]]&lt;=59,"Gen X",Table2[[#This Row],[Age]]&lt;=78,"Baby Boomers",Table2[[#This Row],[Age]]&lt;=96,"Silent",Table2[[#This Row],[Age]]&gt;=97,"Greatest")</f>
        <v>Gen Z</v>
      </c>
      <c r="E655" s="1">
        <v>152717</v>
      </c>
      <c r="F655">
        <v>15</v>
      </c>
      <c r="G655" t="str" cm="1">
        <f t="array" ref="G655">_xlfn.IFS(Table2[[#This Row],[Spending Score (1-100)]]&lt;=25,"Low",Table2[[#This Row],[Spending Score (1-100)]]&lt;=50,"Medium",Table2[[#This Row],[Spending Score (1-100)]]&lt;=75,"High",Table2[[#This Row],[Spending Score (1-100)]]&lt;=100,"Very High")</f>
        <v>Low</v>
      </c>
      <c r="H655" t="s">
        <v>15</v>
      </c>
      <c r="I655">
        <v>1</v>
      </c>
      <c r="J655" t="str">
        <f>CONCATENATE(Table2[[#This Row],[Work Experience]],"years")</f>
        <v>1years</v>
      </c>
      <c r="K655" t="str">
        <f>CONCATENATE(Table2[[#This Row],[Family Size2]],"members")</f>
        <v>6members</v>
      </c>
      <c r="L655" t="str">
        <f>CONCATENATE(Table2[[#This Row],[Family Size2]],"members")</f>
        <v>6members</v>
      </c>
      <c r="M655">
        <v>6</v>
      </c>
    </row>
    <row r="656" spans="1:13">
      <c r="A656">
        <v>655</v>
      </c>
      <c r="B656" t="s">
        <v>11</v>
      </c>
      <c r="C656">
        <v>3</v>
      </c>
      <c r="D656" t="str" cm="1">
        <f t="array" ref="D656">_xlfn.IFS(Table2[[#This Row],[Age]]&lt;=11,"Gen A",Table2[[#This Row],[Age]]&lt;=27,"Gen Z",Table2[[#This Row],[Age]]&lt;=43,"Millenials",Table2[[#This Row],[Age]]&lt;=59,"Gen X",Table2[[#This Row],[Age]]&lt;=78,"Baby Boomers",Table2[[#This Row],[Age]]&lt;=96,"Silent",Table2[[#This Row],[Age]]&gt;=97,"Greatest")</f>
        <v>Gen A</v>
      </c>
      <c r="E656" s="1">
        <v>158549</v>
      </c>
      <c r="F656">
        <v>98</v>
      </c>
      <c r="G656" t="str" cm="1">
        <f t="array" ref="G656">_xlfn.IFS(Table2[[#This Row],[Spending Score (1-100)]]&lt;=25,"Low",Table2[[#This Row],[Spending Score (1-100)]]&lt;=50,"Medium",Table2[[#This Row],[Spending Score (1-100)]]&lt;=75,"High",Table2[[#This Row],[Spending Score (1-100)]]&lt;=100,"Very High")</f>
        <v>Very High</v>
      </c>
      <c r="H656" t="s">
        <v>15</v>
      </c>
      <c r="I656">
        <v>0</v>
      </c>
      <c r="J656" t="str">
        <f>CONCATENATE(Table2[[#This Row],[Work Experience]],"years")</f>
        <v>0years</v>
      </c>
      <c r="K656" t="str">
        <f>CONCATENATE(Table2[[#This Row],[Family Size2]],"members")</f>
        <v>3members</v>
      </c>
      <c r="L656" t="str">
        <f>CONCATENATE(Table2[[#This Row],[Family Size2]],"members")</f>
        <v>3members</v>
      </c>
      <c r="M656">
        <v>3</v>
      </c>
    </row>
    <row r="657" spans="1:13">
      <c r="A657">
        <v>656</v>
      </c>
      <c r="B657" t="s">
        <v>8</v>
      </c>
      <c r="C657">
        <v>31</v>
      </c>
      <c r="D657" t="str" cm="1">
        <f t="array" ref="D657">_xlfn.IFS(Table2[[#This Row],[Age]]&lt;=11,"Gen A",Table2[[#This Row],[Age]]&lt;=27,"Gen Z",Table2[[#This Row],[Age]]&lt;=43,"Millenials",Table2[[#This Row],[Age]]&lt;=59,"Gen X",Table2[[#This Row],[Age]]&lt;=78,"Baby Boomers",Table2[[#This Row],[Age]]&lt;=96,"Silent",Table2[[#This Row],[Age]]&gt;=97,"Greatest")</f>
        <v>Millenials</v>
      </c>
      <c r="E657" s="1">
        <v>134263</v>
      </c>
      <c r="F657">
        <v>94</v>
      </c>
      <c r="G657" t="str" cm="1">
        <f t="array" ref="G657">_xlfn.IFS(Table2[[#This Row],[Spending Score (1-100)]]&lt;=25,"Low",Table2[[#This Row],[Spending Score (1-100)]]&lt;=50,"Medium",Table2[[#This Row],[Spending Score (1-100)]]&lt;=75,"High",Table2[[#This Row],[Spending Score (1-100)]]&lt;=100,"Very High")</f>
        <v>Very High</v>
      </c>
      <c r="H657" t="s">
        <v>18</v>
      </c>
      <c r="I657">
        <v>1</v>
      </c>
      <c r="J657" t="str">
        <f>CONCATENATE(Table2[[#This Row],[Work Experience]],"years")</f>
        <v>1years</v>
      </c>
      <c r="K657" t="str">
        <f>CONCATENATE(Table2[[#This Row],[Family Size2]],"members")</f>
        <v>3members</v>
      </c>
      <c r="L657" t="str">
        <f>CONCATENATE(Table2[[#This Row],[Family Size2]],"members")</f>
        <v>3members</v>
      </c>
      <c r="M657">
        <v>3</v>
      </c>
    </row>
    <row r="658" spans="1:13">
      <c r="A658">
        <v>657</v>
      </c>
      <c r="B658" t="s">
        <v>11</v>
      </c>
      <c r="C658">
        <v>30</v>
      </c>
      <c r="D658" t="str" cm="1">
        <f t="array" ref="D658">_xlfn.IFS(Table2[[#This Row],[Age]]&lt;=11,"Gen A",Table2[[#This Row],[Age]]&lt;=27,"Gen Z",Table2[[#This Row],[Age]]&lt;=43,"Millenials",Table2[[#This Row],[Age]]&lt;=59,"Gen X",Table2[[#This Row],[Age]]&lt;=78,"Baby Boomers",Table2[[#This Row],[Age]]&lt;=96,"Silent",Table2[[#This Row],[Age]]&gt;=97,"Greatest")</f>
        <v>Millenials</v>
      </c>
      <c r="E658" s="1">
        <v>148236</v>
      </c>
      <c r="F658">
        <v>28</v>
      </c>
      <c r="G658" t="str" cm="1">
        <f t="array" ref="G658">_xlfn.IFS(Table2[[#This Row],[Spending Score (1-100)]]&lt;=25,"Low",Table2[[#This Row],[Spending Score (1-100)]]&lt;=50,"Medium",Table2[[#This Row],[Spending Score (1-100)]]&lt;=75,"High",Table2[[#This Row],[Spending Score (1-100)]]&lt;=100,"Very High")</f>
        <v>Medium</v>
      </c>
      <c r="H658" t="s">
        <v>15</v>
      </c>
      <c r="I658">
        <v>1</v>
      </c>
      <c r="J658" t="str">
        <f>CONCATENATE(Table2[[#This Row],[Work Experience]],"years")</f>
        <v>1years</v>
      </c>
      <c r="K658" t="str">
        <f>CONCATENATE(Table2[[#This Row],[Family Size2]],"members")</f>
        <v>1members</v>
      </c>
      <c r="L658" t="str">
        <f>CONCATENATE(Table2[[#This Row],[Family Size2]],"members")</f>
        <v>1members</v>
      </c>
      <c r="M658">
        <v>1</v>
      </c>
    </row>
    <row r="659" spans="1:13">
      <c r="A659">
        <v>658</v>
      </c>
      <c r="B659" t="s">
        <v>8</v>
      </c>
      <c r="C659">
        <v>94</v>
      </c>
      <c r="D659" t="str" cm="1">
        <f t="array" ref="D659">_xlfn.IFS(Table2[[#This Row],[Age]]&lt;=11,"Gen A",Table2[[#This Row],[Age]]&lt;=27,"Gen Z",Table2[[#This Row],[Age]]&lt;=43,"Millenials",Table2[[#This Row],[Age]]&lt;=59,"Gen X",Table2[[#This Row],[Age]]&lt;=78,"Baby Boomers",Table2[[#This Row],[Age]]&lt;=96,"Silent",Table2[[#This Row],[Age]]&gt;=97,"Greatest")</f>
        <v>Silent</v>
      </c>
      <c r="E659" s="1">
        <v>171677</v>
      </c>
      <c r="F659">
        <v>81</v>
      </c>
      <c r="G659" t="str" cm="1">
        <f t="array" ref="G659">_xlfn.IFS(Table2[[#This Row],[Spending Score (1-100)]]&lt;=25,"Low",Table2[[#This Row],[Spending Score (1-100)]]&lt;=50,"Medium",Table2[[#This Row],[Spending Score (1-100)]]&lt;=75,"High",Table2[[#This Row],[Spending Score (1-100)]]&lt;=100,"Very High")</f>
        <v>Very High</v>
      </c>
      <c r="H659" t="s">
        <v>14</v>
      </c>
      <c r="I659">
        <v>0</v>
      </c>
      <c r="J659" t="str">
        <f>CONCATENATE(Table2[[#This Row],[Work Experience]],"years")</f>
        <v>0years</v>
      </c>
      <c r="K659" t="str">
        <f>CONCATENATE(Table2[[#This Row],[Family Size2]],"members")</f>
        <v>6members</v>
      </c>
      <c r="L659" t="str">
        <f>CONCATENATE(Table2[[#This Row],[Family Size2]],"members")</f>
        <v>6members</v>
      </c>
      <c r="M659">
        <v>6</v>
      </c>
    </row>
    <row r="660" spans="1:13">
      <c r="A660">
        <v>659</v>
      </c>
      <c r="B660" t="s">
        <v>11</v>
      </c>
      <c r="C660">
        <v>31</v>
      </c>
      <c r="D660" t="str" cm="1">
        <f t="array" ref="D660">_xlfn.IFS(Table2[[#This Row],[Age]]&lt;=11,"Gen A",Table2[[#This Row],[Age]]&lt;=27,"Gen Z",Table2[[#This Row],[Age]]&lt;=43,"Millenials",Table2[[#This Row],[Age]]&lt;=59,"Gen X",Table2[[#This Row],[Age]]&lt;=78,"Baby Boomers",Table2[[#This Row],[Age]]&lt;=96,"Silent",Table2[[#This Row],[Age]]&gt;=97,"Greatest")</f>
        <v>Millenials</v>
      </c>
      <c r="E660" s="1">
        <v>189446</v>
      </c>
      <c r="F660">
        <v>38</v>
      </c>
      <c r="G660" t="str" cm="1">
        <f t="array" ref="G660">_xlfn.IFS(Table2[[#This Row],[Spending Score (1-100)]]&lt;=25,"Low",Table2[[#This Row],[Spending Score (1-100)]]&lt;=50,"Medium",Table2[[#This Row],[Spending Score (1-100)]]&lt;=75,"High",Table2[[#This Row],[Spending Score (1-100)]]&lt;=100,"Very High")</f>
        <v>Medium</v>
      </c>
      <c r="H660" t="s">
        <v>14</v>
      </c>
      <c r="I660">
        <v>1</v>
      </c>
      <c r="J660" t="str">
        <f>CONCATENATE(Table2[[#This Row],[Work Experience]],"years")</f>
        <v>1years</v>
      </c>
      <c r="K660" t="str">
        <f>CONCATENATE(Table2[[#This Row],[Family Size2]],"members")</f>
        <v>6members</v>
      </c>
      <c r="L660" t="str">
        <f>CONCATENATE(Table2[[#This Row],[Family Size2]],"members")</f>
        <v>6members</v>
      </c>
      <c r="M660">
        <v>6</v>
      </c>
    </row>
    <row r="661" spans="1:13">
      <c r="A661">
        <v>660</v>
      </c>
      <c r="B661" t="s">
        <v>8</v>
      </c>
      <c r="C661">
        <v>49</v>
      </c>
      <c r="D661" t="str" cm="1">
        <f t="array" ref="D661">_xlfn.IFS(Table2[[#This Row],[Age]]&lt;=11,"Gen A",Table2[[#This Row],[Age]]&lt;=27,"Gen Z",Table2[[#This Row],[Age]]&lt;=43,"Millenials",Table2[[#This Row],[Age]]&lt;=59,"Gen X",Table2[[#This Row],[Age]]&lt;=78,"Baby Boomers",Table2[[#This Row],[Age]]&lt;=96,"Silent",Table2[[#This Row],[Age]]&gt;=97,"Greatest")</f>
        <v>Gen X</v>
      </c>
      <c r="E661" s="1">
        <v>106633</v>
      </c>
      <c r="F661">
        <v>53</v>
      </c>
      <c r="G661" t="str" cm="1">
        <f t="array" ref="G661">_xlfn.IFS(Table2[[#This Row],[Spending Score (1-100)]]&lt;=25,"Low",Table2[[#This Row],[Spending Score (1-100)]]&lt;=50,"Medium",Table2[[#This Row],[Spending Score (1-100)]]&lt;=75,"High",Table2[[#This Row],[Spending Score (1-100)]]&lt;=100,"Very High")</f>
        <v>High</v>
      </c>
      <c r="H661" t="s">
        <v>14</v>
      </c>
      <c r="I661">
        <v>0</v>
      </c>
      <c r="J661" t="str">
        <f>CONCATENATE(Table2[[#This Row],[Work Experience]],"years")</f>
        <v>0years</v>
      </c>
      <c r="K661" t="str">
        <f>CONCATENATE(Table2[[#This Row],[Family Size2]],"members")</f>
        <v>3members</v>
      </c>
      <c r="L661" t="str">
        <f>CONCATENATE(Table2[[#This Row],[Family Size2]],"members")</f>
        <v>3members</v>
      </c>
      <c r="M661">
        <v>3</v>
      </c>
    </row>
    <row r="662" spans="1:13">
      <c r="A662">
        <v>661</v>
      </c>
      <c r="B662" t="s">
        <v>8</v>
      </c>
      <c r="C662">
        <v>49</v>
      </c>
      <c r="D662" t="str" cm="1">
        <f t="array" ref="D662">_xlfn.IFS(Table2[[#This Row],[Age]]&lt;=11,"Gen A",Table2[[#This Row],[Age]]&lt;=27,"Gen Z",Table2[[#This Row],[Age]]&lt;=43,"Millenials",Table2[[#This Row],[Age]]&lt;=59,"Gen X",Table2[[#This Row],[Age]]&lt;=78,"Baby Boomers",Table2[[#This Row],[Age]]&lt;=96,"Silent",Table2[[#This Row],[Age]]&gt;=97,"Greatest")</f>
        <v>Gen X</v>
      </c>
      <c r="E662" s="1">
        <v>81084</v>
      </c>
      <c r="F662">
        <v>48</v>
      </c>
      <c r="G662" t="str" cm="1">
        <f t="array" ref="G662">_xlfn.IFS(Table2[[#This Row],[Spending Score (1-100)]]&lt;=25,"Low",Table2[[#This Row],[Spending Score (1-100)]]&lt;=50,"Medium",Table2[[#This Row],[Spending Score (1-100)]]&lt;=75,"High",Table2[[#This Row],[Spending Score (1-100)]]&lt;=100,"Very High")</f>
        <v>Medium</v>
      </c>
      <c r="H662" t="s">
        <v>15</v>
      </c>
      <c r="I662">
        <v>6</v>
      </c>
      <c r="J662" t="str">
        <f>CONCATENATE(Table2[[#This Row],[Work Experience]],"years")</f>
        <v>6years</v>
      </c>
      <c r="K662" t="str">
        <f>CONCATENATE(Table2[[#This Row],[Family Size2]],"members")</f>
        <v>5members</v>
      </c>
      <c r="L662" t="str">
        <f>CONCATENATE(Table2[[#This Row],[Family Size2]],"members")</f>
        <v>5members</v>
      </c>
      <c r="M662">
        <v>5</v>
      </c>
    </row>
    <row r="663" spans="1:13">
      <c r="A663">
        <v>662</v>
      </c>
      <c r="B663" t="s">
        <v>8</v>
      </c>
      <c r="C663">
        <v>53</v>
      </c>
      <c r="D663" t="str" cm="1">
        <f t="array" ref="D663">_xlfn.IFS(Table2[[#This Row],[Age]]&lt;=11,"Gen A",Table2[[#This Row],[Age]]&lt;=27,"Gen Z",Table2[[#This Row],[Age]]&lt;=43,"Millenials",Table2[[#This Row],[Age]]&lt;=59,"Gen X",Table2[[#This Row],[Age]]&lt;=78,"Baby Boomers",Table2[[#This Row],[Age]]&lt;=96,"Silent",Table2[[#This Row],[Age]]&gt;=97,"Greatest")</f>
        <v>Gen X</v>
      </c>
      <c r="E663" s="1">
        <v>148759</v>
      </c>
      <c r="F663">
        <v>52</v>
      </c>
      <c r="G663" t="str" cm="1">
        <f t="array" ref="G663">_xlfn.IFS(Table2[[#This Row],[Spending Score (1-100)]]&lt;=25,"Low",Table2[[#This Row],[Spending Score (1-100)]]&lt;=50,"Medium",Table2[[#This Row],[Spending Score (1-100)]]&lt;=75,"High",Table2[[#This Row],[Spending Score (1-100)]]&lt;=100,"Very High")</f>
        <v>High</v>
      </c>
      <c r="H663" t="s">
        <v>16</v>
      </c>
      <c r="I663">
        <v>7</v>
      </c>
      <c r="J663" t="str">
        <f>CONCATENATE(Table2[[#This Row],[Work Experience]],"years")</f>
        <v>7years</v>
      </c>
      <c r="K663" t="str">
        <f>CONCATENATE(Table2[[#This Row],[Family Size2]],"members")</f>
        <v>7members</v>
      </c>
      <c r="L663" t="str">
        <f>CONCATENATE(Table2[[#This Row],[Family Size2]],"members")</f>
        <v>7members</v>
      </c>
      <c r="M663">
        <v>7</v>
      </c>
    </row>
    <row r="664" spans="1:13">
      <c r="A664">
        <v>663</v>
      </c>
      <c r="B664" t="s">
        <v>11</v>
      </c>
      <c r="C664">
        <v>3</v>
      </c>
      <c r="D664" t="str" cm="1">
        <f t="array" ref="D664">_xlfn.IFS(Table2[[#This Row],[Age]]&lt;=11,"Gen A",Table2[[#This Row],[Age]]&lt;=27,"Gen Z",Table2[[#This Row],[Age]]&lt;=43,"Millenials",Table2[[#This Row],[Age]]&lt;=59,"Gen X",Table2[[#This Row],[Age]]&lt;=78,"Baby Boomers",Table2[[#This Row],[Age]]&lt;=96,"Silent",Table2[[#This Row],[Age]]&gt;=97,"Greatest")</f>
        <v>Gen A</v>
      </c>
      <c r="E664" s="1">
        <v>117638</v>
      </c>
      <c r="F664">
        <v>95</v>
      </c>
      <c r="G664" t="str" cm="1">
        <f t="array" ref="G664">_xlfn.IFS(Table2[[#This Row],[Spending Score (1-100)]]&lt;=25,"Low",Table2[[#This Row],[Spending Score (1-100)]]&lt;=50,"Medium",Table2[[#This Row],[Spending Score (1-100)]]&lt;=75,"High",Table2[[#This Row],[Spending Score (1-100)]]&lt;=100,"Very High")</f>
        <v>Very High</v>
      </c>
      <c r="H664" t="s">
        <v>9</v>
      </c>
      <c r="I664">
        <v>2</v>
      </c>
      <c r="J664" t="str">
        <f>CONCATENATE(Table2[[#This Row],[Work Experience]],"years")</f>
        <v>2years</v>
      </c>
      <c r="K664" t="str">
        <f>CONCATENATE(Table2[[#This Row],[Family Size2]],"members")</f>
        <v>7members</v>
      </c>
      <c r="L664" t="str">
        <f>CONCATENATE(Table2[[#This Row],[Family Size2]],"members")</f>
        <v>7members</v>
      </c>
      <c r="M664">
        <v>7</v>
      </c>
    </row>
    <row r="665" spans="1:13">
      <c r="A665">
        <v>664</v>
      </c>
      <c r="B665" t="s">
        <v>11</v>
      </c>
      <c r="C665">
        <v>91</v>
      </c>
      <c r="D665" t="str" cm="1">
        <f t="array" ref="D665">_xlfn.IFS(Table2[[#This Row],[Age]]&lt;=11,"Gen A",Table2[[#This Row],[Age]]&lt;=27,"Gen Z",Table2[[#This Row],[Age]]&lt;=43,"Millenials",Table2[[#This Row],[Age]]&lt;=59,"Gen X",Table2[[#This Row],[Age]]&lt;=78,"Baby Boomers",Table2[[#This Row],[Age]]&lt;=96,"Silent",Table2[[#This Row],[Age]]&gt;=97,"Greatest")</f>
        <v>Silent</v>
      </c>
      <c r="E665" s="1">
        <v>159537</v>
      </c>
      <c r="F665">
        <v>37</v>
      </c>
      <c r="G665" t="str" cm="1">
        <f t="array" ref="G665">_xlfn.IFS(Table2[[#This Row],[Spending Score (1-100)]]&lt;=25,"Low",Table2[[#This Row],[Spending Score (1-100)]]&lt;=50,"Medium",Table2[[#This Row],[Spending Score (1-100)]]&lt;=75,"High",Table2[[#This Row],[Spending Score (1-100)]]&lt;=100,"Very High")</f>
        <v>Medium</v>
      </c>
      <c r="H665" t="s">
        <v>16</v>
      </c>
      <c r="I665">
        <v>4</v>
      </c>
      <c r="J665" t="str">
        <f>CONCATENATE(Table2[[#This Row],[Work Experience]],"years")</f>
        <v>4years</v>
      </c>
      <c r="K665" t="str">
        <f>CONCATENATE(Table2[[#This Row],[Family Size2]],"members")</f>
        <v>1members</v>
      </c>
      <c r="L665" t="str">
        <f>CONCATENATE(Table2[[#This Row],[Family Size2]],"members")</f>
        <v>1members</v>
      </c>
      <c r="M665">
        <v>1</v>
      </c>
    </row>
    <row r="666" spans="1:13">
      <c r="A666">
        <v>665</v>
      </c>
      <c r="B666" t="s">
        <v>8</v>
      </c>
      <c r="C666">
        <v>26</v>
      </c>
      <c r="D666" t="str" cm="1">
        <f t="array" ref="D666">_xlfn.IFS(Table2[[#This Row],[Age]]&lt;=11,"Gen A",Table2[[#This Row],[Age]]&lt;=27,"Gen Z",Table2[[#This Row],[Age]]&lt;=43,"Millenials",Table2[[#This Row],[Age]]&lt;=59,"Gen X",Table2[[#This Row],[Age]]&lt;=78,"Baby Boomers",Table2[[#This Row],[Age]]&lt;=96,"Silent",Table2[[#This Row],[Age]]&gt;=97,"Greatest")</f>
        <v>Gen Z</v>
      </c>
      <c r="E666" s="1">
        <v>79526</v>
      </c>
      <c r="F666">
        <v>6</v>
      </c>
      <c r="G666" t="str" cm="1">
        <f t="array" ref="G666">_xlfn.IFS(Table2[[#This Row],[Spending Score (1-100)]]&lt;=25,"Low",Table2[[#This Row],[Spending Score (1-100)]]&lt;=50,"Medium",Table2[[#This Row],[Spending Score (1-100)]]&lt;=75,"High",Table2[[#This Row],[Spending Score (1-100)]]&lt;=100,"Very High")</f>
        <v>Low</v>
      </c>
      <c r="H666" t="s">
        <v>18</v>
      </c>
      <c r="I666">
        <v>9</v>
      </c>
      <c r="J666" t="str">
        <f>CONCATENATE(Table2[[#This Row],[Work Experience]],"years")</f>
        <v>9years</v>
      </c>
      <c r="K666" t="str">
        <f>CONCATENATE(Table2[[#This Row],[Family Size2]],"members")</f>
        <v>7members</v>
      </c>
      <c r="L666" t="str">
        <f>CONCATENATE(Table2[[#This Row],[Family Size2]],"members")</f>
        <v>7members</v>
      </c>
      <c r="M666">
        <v>7</v>
      </c>
    </row>
    <row r="667" spans="1:13">
      <c r="A667">
        <v>666</v>
      </c>
      <c r="B667" t="s">
        <v>8</v>
      </c>
      <c r="C667">
        <v>28</v>
      </c>
      <c r="D667" t="str" cm="1">
        <f t="array" ref="D667">_xlfn.IFS(Table2[[#This Row],[Age]]&lt;=11,"Gen A",Table2[[#This Row],[Age]]&lt;=27,"Gen Z",Table2[[#This Row],[Age]]&lt;=43,"Millenials",Table2[[#This Row],[Age]]&lt;=59,"Gen X",Table2[[#This Row],[Age]]&lt;=78,"Baby Boomers",Table2[[#This Row],[Age]]&lt;=96,"Silent",Table2[[#This Row],[Age]]&gt;=97,"Greatest")</f>
        <v>Millenials</v>
      </c>
      <c r="E667" s="1">
        <v>101414</v>
      </c>
      <c r="F667">
        <v>64</v>
      </c>
      <c r="G667" t="str" cm="1">
        <f t="array" ref="G667">_xlfn.IFS(Table2[[#This Row],[Spending Score (1-100)]]&lt;=25,"Low",Table2[[#This Row],[Spending Score (1-100)]]&lt;=50,"Medium",Table2[[#This Row],[Spending Score (1-100)]]&lt;=75,"High",Table2[[#This Row],[Spending Score (1-100)]]&lt;=100,"Very High")</f>
        <v>High</v>
      </c>
      <c r="H667" t="s">
        <v>19</v>
      </c>
      <c r="I667">
        <v>8</v>
      </c>
      <c r="J667" t="str">
        <f>CONCATENATE(Table2[[#This Row],[Work Experience]],"years")</f>
        <v>8years</v>
      </c>
      <c r="K667" t="str">
        <f>CONCATENATE(Table2[[#This Row],[Family Size2]],"members")</f>
        <v>1members</v>
      </c>
      <c r="L667" t="str">
        <f>CONCATENATE(Table2[[#This Row],[Family Size2]],"members")</f>
        <v>1members</v>
      </c>
      <c r="M667">
        <v>1</v>
      </c>
    </row>
    <row r="668" spans="1:13">
      <c r="A668">
        <v>667</v>
      </c>
      <c r="B668" t="s">
        <v>11</v>
      </c>
      <c r="C668">
        <v>92</v>
      </c>
      <c r="D668" t="str" cm="1">
        <f t="array" ref="D668">_xlfn.IFS(Table2[[#This Row],[Age]]&lt;=11,"Gen A",Table2[[#This Row],[Age]]&lt;=27,"Gen Z",Table2[[#This Row],[Age]]&lt;=43,"Millenials",Table2[[#This Row],[Age]]&lt;=59,"Gen X",Table2[[#This Row],[Age]]&lt;=78,"Baby Boomers",Table2[[#This Row],[Age]]&lt;=96,"Silent",Table2[[#This Row],[Age]]&gt;=97,"Greatest")</f>
        <v>Silent</v>
      </c>
      <c r="E668" s="1">
        <v>109519</v>
      </c>
      <c r="F668">
        <v>72</v>
      </c>
      <c r="G668" t="str" cm="1">
        <f t="array" ref="G668">_xlfn.IFS(Table2[[#This Row],[Spending Score (1-100)]]&lt;=25,"Low",Table2[[#This Row],[Spending Score (1-100)]]&lt;=50,"Medium",Table2[[#This Row],[Spending Score (1-100)]]&lt;=75,"High",Table2[[#This Row],[Spending Score (1-100)]]&lt;=100,"Very High")</f>
        <v>High</v>
      </c>
      <c r="H668" t="s">
        <v>13</v>
      </c>
      <c r="I668">
        <v>1</v>
      </c>
      <c r="J668" t="str">
        <f>CONCATENATE(Table2[[#This Row],[Work Experience]],"years")</f>
        <v>1years</v>
      </c>
      <c r="K668" t="str">
        <f>CONCATENATE(Table2[[#This Row],[Family Size2]],"members")</f>
        <v>4members</v>
      </c>
      <c r="L668" t="str">
        <f>CONCATENATE(Table2[[#This Row],[Family Size2]],"members")</f>
        <v>4members</v>
      </c>
      <c r="M668">
        <v>4</v>
      </c>
    </row>
    <row r="669" spans="1:13">
      <c r="A669">
        <v>668</v>
      </c>
      <c r="B669" t="s">
        <v>11</v>
      </c>
      <c r="C669">
        <v>59</v>
      </c>
      <c r="D669" t="str" cm="1">
        <f t="array" ref="D669">_xlfn.IFS(Table2[[#This Row],[Age]]&lt;=11,"Gen A",Table2[[#This Row],[Age]]&lt;=27,"Gen Z",Table2[[#This Row],[Age]]&lt;=43,"Millenials",Table2[[#This Row],[Age]]&lt;=59,"Gen X",Table2[[#This Row],[Age]]&lt;=78,"Baby Boomers",Table2[[#This Row],[Age]]&lt;=96,"Silent",Table2[[#This Row],[Age]]&gt;=97,"Greatest")</f>
        <v>Gen X</v>
      </c>
      <c r="E669" s="1">
        <v>156880</v>
      </c>
      <c r="F669">
        <v>70</v>
      </c>
      <c r="G669" t="str" cm="1">
        <f t="array" ref="G669">_xlfn.IFS(Table2[[#This Row],[Spending Score (1-100)]]&lt;=25,"Low",Table2[[#This Row],[Spending Score (1-100)]]&lt;=50,"Medium",Table2[[#This Row],[Spending Score (1-100)]]&lt;=75,"High",Table2[[#This Row],[Spending Score (1-100)]]&lt;=100,"Very High")</f>
        <v>High</v>
      </c>
      <c r="H669" t="s">
        <v>14</v>
      </c>
      <c r="I669">
        <v>0</v>
      </c>
      <c r="J669" t="str">
        <f>CONCATENATE(Table2[[#This Row],[Work Experience]],"years")</f>
        <v>0years</v>
      </c>
      <c r="K669" t="str">
        <f>CONCATENATE(Table2[[#This Row],[Family Size2]],"members")</f>
        <v>7members</v>
      </c>
      <c r="L669" t="str">
        <f>CONCATENATE(Table2[[#This Row],[Family Size2]],"members")</f>
        <v>7members</v>
      </c>
      <c r="M669">
        <v>7</v>
      </c>
    </row>
    <row r="670" spans="1:13">
      <c r="A670">
        <v>669</v>
      </c>
      <c r="B670" t="s">
        <v>8</v>
      </c>
      <c r="C670">
        <v>15</v>
      </c>
      <c r="D670" t="str" cm="1">
        <f t="array" ref="D670">_xlfn.IFS(Table2[[#This Row],[Age]]&lt;=11,"Gen A",Table2[[#This Row],[Age]]&lt;=27,"Gen Z",Table2[[#This Row],[Age]]&lt;=43,"Millenials",Table2[[#This Row],[Age]]&lt;=59,"Gen X",Table2[[#This Row],[Age]]&lt;=78,"Baby Boomers",Table2[[#This Row],[Age]]&lt;=96,"Silent",Table2[[#This Row],[Age]]&gt;=97,"Greatest")</f>
        <v>Gen Z</v>
      </c>
      <c r="E670" s="1">
        <v>157278</v>
      </c>
      <c r="F670">
        <v>58</v>
      </c>
      <c r="G670" t="str" cm="1">
        <f t="array" ref="G670">_xlfn.IFS(Table2[[#This Row],[Spending Score (1-100)]]&lt;=25,"Low",Table2[[#This Row],[Spending Score (1-100)]]&lt;=50,"Medium",Table2[[#This Row],[Spending Score (1-100)]]&lt;=75,"High",Table2[[#This Row],[Spending Score (1-100)]]&lt;=100,"Very High")</f>
        <v>High</v>
      </c>
      <c r="H670" t="s">
        <v>14</v>
      </c>
      <c r="I670">
        <v>0</v>
      </c>
      <c r="J670" t="str">
        <f>CONCATENATE(Table2[[#This Row],[Work Experience]],"years")</f>
        <v>0years</v>
      </c>
      <c r="K670" t="str">
        <f>CONCATENATE(Table2[[#This Row],[Family Size2]],"members")</f>
        <v>6members</v>
      </c>
      <c r="L670" t="str">
        <f>CONCATENATE(Table2[[#This Row],[Family Size2]],"members")</f>
        <v>6members</v>
      </c>
      <c r="M670">
        <v>6</v>
      </c>
    </row>
    <row r="671" spans="1:13">
      <c r="A671">
        <v>670</v>
      </c>
      <c r="B671" t="s">
        <v>11</v>
      </c>
      <c r="C671">
        <v>23</v>
      </c>
      <c r="D671" t="str" cm="1">
        <f t="array" ref="D671">_xlfn.IFS(Table2[[#This Row],[Age]]&lt;=11,"Gen A",Table2[[#This Row],[Age]]&lt;=27,"Gen Z",Table2[[#This Row],[Age]]&lt;=43,"Millenials",Table2[[#This Row],[Age]]&lt;=59,"Gen X",Table2[[#This Row],[Age]]&lt;=78,"Baby Boomers",Table2[[#This Row],[Age]]&lt;=96,"Silent",Table2[[#This Row],[Age]]&gt;=97,"Greatest")</f>
        <v>Gen Z</v>
      </c>
      <c r="E671" s="1">
        <v>144916</v>
      </c>
      <c r="F671">
        <v>84</v>
      </c>
      <c r="G671" t="str" cm="1">
        <f t="array" ref="G671">_xlfn.IFS(Table2[[#This Row],[Spending Score (1-100)]]&lt;=25,"Low",Table2[[#This Row],[Spending Score (1-100)]]&lt;=50,"Medium",Table2[[#This Row],[Spending Score (1-100)]]&lt;=75,"High",Table2[[#This Row],[Spending Score (1-100)]]&lt;=100,"Very High")</f>
        <v>Very High</v>
      </c>
      <c r="H671" t="s">
        <v>10</v>
      </c>
      <c r="I671">
        <v>1</v>
      </c>
      <c r="J671" t="str">
        <f>CONCATENATE(Table2[[#This Row],[Work Experience]],"years")</f>
        <v>1years</v>
      </c>
      <c r="K671" t="str">
        <f>CONCATENATE(Table2[[#This Row],[Family Size2]],"members")</f>
        <v>7members</v>
      </c>
      <c r="L671" t="str">
        <f>CONCATENATE(Table2[[#This Row],[Family Size2]],"members")</f>
        <v>7members</v>
      </c>
      <c r="M671">
        <v>7</v>
      </c>
    </row>
    <row r="672" spans="1:13">
      <c r="A672">
        <v>671</v>
      </c>
      <c r="B672" t="s">
        <v>8</v>
      </c>
      <c r="C672">
        <v>54</v>
      </c>
      <c r="D672" t="str" cm="1">
        <f t="array" ref="D672">_xlfn.IFS(Table2[[#This Row],[Age]]&lt;=11,"Gen A",Table2[[#This Row],[Age]]&lt;=27,"Gen Z",Table2[[#This Row],[Age]]&lt;=43,"Millenials",Table2[[#This Row],[Age]]&lt;=59,"Gen X",Table2[[#This Row],[Age]]&lt;=78,"Baby Boomers",Table2[[#This Row],[Age]]&lt;=96,"Silent",Table2[[#This Row],[Age]]&gt;=97,"Greatest")</f>
        <v>Gen X</v>
      </c>
      <c r="E672" s="1">
        <v>59163</v>
      </c>
      <c r="F672">
        <v>100</v>
      </c>
      <c r="G672" t="str" cm="1">
        <f t="array" ref="G672">_xlfn.IFS(Table2[[#This Row],[Spending Score (1-100)]]&lt;=25,"Low",Table2[[#This Row],[Spending Score (1-100)]]&lt;=50,"Medium",Table2[[#This Row],[Spending Score (1-100)]]&lt;=75,"High",Table2[[#This Row],[Spending Score (1-100)]]&lt;=100,"Very High")</f>
        <v>Very High</v>
      </c>
      <c r="H672" t="s">
        <v>18</v>
      </c>
      <c r="I672">
        <v>3</v>
      </c>
      <c r="J672" t="str">
        <f>CONCATENATE(Table2[[#This Row],[Work Experience]],"years")</f>
        <v>3years</v>
      </c>
      <c r="K672" t="str">
        <f>CONCATENATE(Table2[[#This Row],[Family Size2]],"members")</f>
        <v>3members</v>
      </c>
      <c r="L672" t="str">
        <f>CONCATENATE(Table2[[#This Row],[Family Size2]],"members")</f>
        <v>3members</v>
      </c>
      <c r="M672">
        <v>3</v>
      </c>
    </row>
    <row r="673" spans="1:13">
      <c r="A673">
        <v>672</v>
      </c>
      <c r="B673" t="s">
        <v>11</v>
      </c>
      <c r="C673">
        <v>93</v>
      </c>
      <c r="D673" t="str" cm="1">
        <f t="array" ref="D673">_xlfn.IFS(Table2[[#This Row],[Age]]&lt;=11,"Gen A",Table2[[#This Row],[Age]]&lt;=27,"Gen Z",Table2[[#This Row],[Age]]&lt;=43,"Millenials",Table2[[#This Row],[Age]]&lt;=59,"Gen X",Table2[[#This Row],[Age]]&lt;=78,"Baby Boomers",Table2[[#This Row],[Age]]&lt;=96,"Silent",Table2[[#This Row],[Age]]&gt;=97,"Greatest")</f>
        <v>Silent</v>
      </c>
      <c r="E673" s="1">
        <v>93991</v>
      </c>
      <c r="F673">
        <v>49</v>
      </c>
      <c r="G673" t="str" cm="1">
        <f t="array" ref="G673">_xlfn.IFS(Table2[[#This Row],[Spending Score (1-100)]]&lt;=25,"Low",Table2[[#This Row],[Spending Score (1-100)]]&lt;=50,"Medium",Table2[[#This Row],[Spending Score (1-100)]]&lt;=75,"High",Table2[[#This Row],[Spending Score (1-100)]]&lt;=100,"Very High")</f>
        <v>Medium</v>
      </c>
      <c r="H673" t="s">
        <v>14</v>
      </c>
      <c r="I673">
        <v>1</v>
      </c>
      <c r="J673" t="str">
        <f>CONCATENATE(Table2[[#This Row],[Work Experience]],"years")</f>
        <v>1years</v>
      </c>
      <c r="K673" t="str">
        <f>CONCATENATE(Table2[[#This Row],[Family Size2]],"members")</f>
        <v>3members</v>
      </c>
      <c r="L673" t="str">
        <f>CONCATENATE(Table2[[#This Row],[Family Size2]],"members")</f>
        <v>3members</v>
      </c>
      <c r="M673">
        <v>3</v>
      </c>
    </row>
    <row r="674" spans="1:13">
      <c r="A674">
        <v>673</v>
      </c>
      <c r="B674" t="s">
        <v>11</v>
      </c>
      <c r="C674">
        <v>65</v>
      </c>
      <c r="D674" t="str" cm="1">
        <f t="array" ref="D674">_xlfn.IFS(Table2[[#This Row],[Age]]&lt;=11,"Gen A",Table2[[#This Row],[Age]]&lt;=27,"Gen Z",Table2[[#This Row],[Age]]&lt;=43,"Millenials",Table2[[#This Row],[Age]]&lt;=59,"Gen X",Table2[[#This Row],[Age]]&lt;=78,"Baby Boomers",Table2[[#This Row],[Age]]&lt;=96,"Silent",Table2[[#This Row],[Age]]&gt;=97,"Greatest")</f>
        <v>Baby Boomers</v>
      </c>
      <c r="E674" s="1">
        <v>58318</v>
      </c>
      <c r="F674">
        <v>45</v>
      </c>
      <c r="G674" t="str" cm="1">
        <f t="array" ref="G674">_xlfn.IFS(Table2[[#This Row],[Spending Score (1-100)]]&lt;=25,"Low",Table2[[#This Row],[Spending Score (1-100)]]&lt;=50,"Medium",Table2[[#This Row],[Spending Score (1-100)]]&lt;=75,"High",Table2[[#This Row],[Spending Score (1-100)]]&lt;=100,"Very High")</f>
        <v>Medium</v>
      </c>
      <c r="H674" t="s">
        <v>16</v>
      </c>
      <c r="I674">
        <v>1</v>
      </c>
      <c r="J674" t="str">
        <f>CONCATENATE(Table2[[#This Row],[Work Experience]],"years")</f>
        <v>1years</v>
      </c>
      <c r="K674" t="str">
        <f>CONCATENATE(Table2[[#This Row],[Family Size2]],"members")</f>
        <v>1members</v>
      </c>
      <c r="L674" t="str">
        <f>CONCATENATE(Table2[[#This Row],[Family Size2]],"members")</f>
        <v>1members</v>
      </c>
      <c r="M674">
        <v>1</v>
      </c>
    </row>
    <row r="675" spans="1:13">
      <c r="A675">
        <v>674</v>
      </c>
      <c r="B675" t="s">
        <v>11</v>
      </c>
      <c r="C675">
        <v>13</v>
      </c>
      <c r="D675" t="str" cm="1">
        <f t="array" ref="D675">_xlfn.IFS(Table2[[#This Row],[Age]]&lt;=11,"Gen A",Table2[[#This Row],[Age]]&lt;=27,"Gen Z",Table2[[#This Row],[Age]]&lt;=43,"Millenials",Table2[[#This Row],[Age]]&lt;=59,"Gen X",Table2[[#This Row],[Age]]&lt;=78,"Baby Boomers",Table2[[#This Row],[Age]]&lt;=96,"Silent",Table2[[#This Row],[Age]]&gt;=97,"Greatest")</f>
        <v>Gen Z</v>
      </c>
      <c r="E675" s="1">
        <v>180786</v>
      </c>
      <c r="F675">
        <v>88</v>
      </c>
      <c r="G675" t="str" cm="1">
        <f t="array" ref="G675">_xlfn.IFS(Table2[[#This Row],[Spending Score (1-100)]]&lt;=25,"Low",Table2[[#This Row],[Spending Score (1-100)]]&lt;=50,"Medium",Table2[[#This Row],[Spending Score (1-100)]]&lt;=75,"High",Table2[[#This Row],[Spending Score (1-100)]]&lt;=100,"Very High")</f>
        <v>Very High</v>
      </c>
      <c r="H675" t="s">
        <v>12</v>
      </c>
      <c r="I675">
        <v>1</v>
      </c>
      <c r="J675" t="str">
        <f>CONCATENATE(Table2[[#This Row],[Work Experience]],"years")</f>
        <v>1years</v>
      </c>
      <c r="K675" t="str">
        <f>CONCATENATE(Table2[[#This Row],[Family Size2]],"members")</f>
        <v>5members</v>
      </c>
      <c r="L675" t="str">
        <f>CONCATENATE(Table2[[#This Row],[Family Size2]],"members")</f>
        <v>5members</v>
      </c>
      <c r="M675">
        <v>5</v>
      </c>
    </row>
    <row r="676" spans="1:13">
      <c r="A676">
        <v>675</v>
      </c>
      <c r="B676" t="s">
        <v>8</v>
      </c>
      <c r="C676">
        <v>71</v>
      </c>
      <c r="D676" t="str" cm="1">
        <f t="array" ref="D676">_xlfn.IFS(Table2[[#This Row],[Age]]&lt;=11,"Gen A",Table2[[#This Row],[Age]]&lt;=27,"Gen Z",Table2[[#This Row],[Age]]&lt;=43,"Millenials",Table2[[#This Row],[Age]]&lt;=59,"Gen X",Table2[[#This Row],[Age]]&lt;=78,"Baby Boomers",Table2[[#This Row],[Age]]&lt;=96,"Silent",Table2[[#This Row],[Age]]&gt;=97,"Greatest")</f>
        <v>Baby Boomers</v>
      </c>
      <c r="E676" s="1">
        <v>84622</v>
      </c>
      <c r="F676">
        <v>45</v>
      </c>
      <c r="G676" t="str" cm="1">
        <f t="array" ref="G676">_xlfn.IFS(Table2[[#This Row],[Spending Score (1-100)]]&lt;=25,"Low",Table2[[#This Row],[Spending Score (1-100)]]&lt;=50,"Medium",Table2[[#This Row],[Spending Score (1-100)]]&lt;=75,"High",Table2[[#This Row],[Spending Score (1-100)]]&lt;=100,"Very High")</f>
        <v>Medium</v>
      </c>
      <c r="H676" t="s">
        <v>16</v>
      </c>
      <c r="I676">
        <v>0</v>
      </c>
      <c r="J676" t="str">
        <f>CONCATENATE(Table2[[#This Row],[Work Experience]],"years")</f>
        <v>0years</v>
      </c>
      <c r="K676" t="str">
        <f>CONCATENATE(Table2[[#This Row],[Family Size2]],"members")</f>
        <v>6members</v>
      </c>
      <c r="L676" t="str">
        <f>CONCATENATE(Table2[[#This Row],[Family Size2]],"members")</f>
        <v>6members</v>
      </c>
      <c r="M676">
        <v>6</v>
      </c>
    </row>
    <row r="677" spans="1:13">
      <c r="A677">
        <v>676</v>
      </c>
      <c r="B677" t="s">
        <v>8</v>
      </c>
      <c r="C677">
        <v>1</v>
      </c>
      <c r="D677" t="str" cm="1">
        <f t="array" ref="D677">_xlfn.IFS(Table2[[#This Row],[Age]]&lt;=11,"Gen A",Table2[[#This Row],[Age]]&lt;=27,"Gen Z",Table2[[#This Row],[Age]]&lt;=43,"Millenials",Table2[[#This Row],[Age]]&lt;=59,"Gen X",Table2[[#This Row],[Age]]&lt;=78,"Baby Boomers",Table2[[#This Row],[Age]]&lt;=96,"Silent",Table2[[#This Row],[Age]]&gt;=97,"Greatest")</f>
        <v>Gen A</v>
      </c>
      <c r="E677" s="1">
        <v>92674</v>
      </c>
      <c r="F677">
        <v>59</v>
      </c>
      <c r="G677" t="str" cm="1">
        <f t="array" ref="G677">_xlfn.IFS(Table2[[#This Row],[Spending Score (1-100)]]&lt;=25,"Low",Table2[[#This Row],[Spending Score (1-100)]]&lt;=50,"Medium",Table2[[#This Row],[Spending Score (1-100)]]&lt;=75,"High",Table2[[#This Row],[Spending Score (1-100)]]&lt;=100,"Very High")</f>
        <v>High</v>
      </c>
      <c r="H677" t="s">
        <v>14</v>
      </c>
      <c r="I677">
        <v>8</v>
      </c>
      <c r="J677" t="str">
        <f>CONCATENATE(Table2[[#This Row],[Work Experience]],"years")</f>
        <v>8years</v>
      </c>
      <c r="K677" t="str">
        <f>CONCATENATE(Table2[[#This Row],[Family Size2]],"members")</f>
        <v>4members</v>
      </c>
      <c r="L677" t="str">
        <f>CONCATENATE(Table2[[#This Row],[Family Size2]],"members")</f>
        <v>4members</v>
      </c>
      <c r="M677">
        <v>4</v>
      </c>
    </row>
    <row r="678" spans="1:13">
      <c r="A678">
        <v>677</v>
      </c>
      <c r="B678" t="s">
        <v>11</v>
      </c>
      <c r="C678">
        <v>57</v>
      </c>
      <c r="D678" t="str" cm="1">
        <f t="array" ref="D678">_xlfn.IFS(Table2[[#This Row],[Age]]&lt;=11,"Gen A",Table2[[#This Row],[Age]]&lt;=27,"Gen Z",Table2[[#This Row],[Age]]&lt;=43,"Millenials",Table2[[#This Row],[Age]]&lt;=59,"Gen X",Table2[[#This Row],[Age]]&lt;=78,"Baby Boomers",Table2[[#This Row],[Age]]&lt;=96,"Silent",Table2[[#This Row],[Age]]&gt;=97,"Greatest")</f>
        <v>Gen X</v>
      </c>
      <c r="E678" s="1">
        <v>87553</v>
      </c>
      <c r="F678">
        <v>94</v>
      </c>
      <c r="G678" t="str" cm="1">
        <f t="array" ref="G678">_xlfn.IFS(Table2[[#This Row],[Spending Score (1-100)]]&lt;=25,"Low",Table2[[#This Row],[Spending Score (1-100)]]&lt;=50,"Medium",Table2[[#This Row],[Spending Score (1-100)]]&lt;=75,"High",Table2[[#This Row],[Spending Score (1-100)]]&lt;=100,"Very High")</f>
        <v>Very High</v>
      </c>
      <c r="H678" t="s">
        <v>14</v>
      </c>
      <c r="I678">
        <v>1</v>
      </c>
      <c r="J678" t="str">
        <f>CONCATENATE(Table2[[#This Row],[Work Experience]],"years")</f>
        <v>1years</v>
      </c>
      <c r="K678" t="str">
        <f>CONCATENATE(Table2[[#This Row],[Family Size2]],"members")</f>
        <v>1members</v>
      </c>
      <c r="L678" t="str">
        <f>CONCATENATE(Table2[[#This Row],[Family Size2]],"members")</f>
        <v>1members</v>
      </c>
      <c r="M678">
        <v>1</v>
      </c>
    </row>
    <row r="679" spans="1:13">
      <c r="A679">
        <v>678</v>
      </c>
      <c r="B679" t="s">
        <v>8</v>
      </c>
      <c r="C679">
        <v>14</v>
      </c>
      <c r="D679" t="str" cm="1">
        <f t="array" ref="D679">_xlfn.IFS(Table2[[#This Row],[Age]]&lt;=11,"Gen A",Table2[[#This Row],[Age]]&lt;=27,"Gen Z",Table2[[#This Row],[Age]]&lt;=43,"Millenials",Table2[[#This Row],[Age]]&lt;=59,"Gen X",Table2[[#This Row],[Age]]&lt;=78,"Baby Boomers",Table2[[#This Row],[Age]]&lt;=96,"Silent",Table2[[#This Row],[Age]]&gt;=97,"Greatest")</f>
        <v>Gen Z</v>
      </c>
      <c r="E679" s="1">
        <v>74174</v>
      </c>
      <c r="F679">
        <v>79</v>
      </c>
      <c r="G679" t="str" cm="1">
        <f t="array" ref="G679">_xlfn.IFS(Table2[[#This Row],[Spending Score (1-100)]]&lt;=25,"Low",Table2[[#This Row],[Spending Score (1-100)]]&lt;=50,"Medium",Table2[[#This Row],[Spending Score (1-100)]]&lt;=75,"High",Table2[[#This Row],[Spending Score (1-100)]]&lt;=100,"Very High")</f>
        <v>Very High</v>
      </c>
      <c r="H679" t="s">
        <v>13</v>
      </c>
      <c r="I679">
        <v>1</v>
      </c>
      <c r="J679" t="str">
        <f>CONCATENATE(Table2[[#This Row],[Work Experience]],"years")</f>
        <v>1years</v>
      </c>
      <c r="K679" t="str">
        <f>CONCATENATE(Table2[[#This Row],[Family Size2]],"members")</f>
        <v>2members</v>
      </c>
      <c r="L679" t="str">
        <f>CONCATENATE(Table2[[#This Row],[Family Size2]],"members")</f>
        <v>2members</v>
      </c>
      <c r="M679">
        <v>2</v>
      </c>
    </row>
    <row r="680" spans="1:13">
      <c r="A680">
        <v>679</v>
      </c>
      <c r="B680" t="s">
        <v>11</v>
      </c>
      <c r="C680">
        <v>77</v>
      </c>
      <c r="D680" t="str" cm="1">
        <f t="array" ref="D680">_xlfn.IFS(Table2[[#This Row],[Age]]&lt;=11,"Gen A",Table2[[#This Row],[Age]]&lt;=27,"Gen Z",Table2[[#This Row],[Age]]&lt;=43,"Millenials",Table2[[#This Row],[Age]]&lt;=59,"Gen X",Table2[[#This Row],[Age]]&lt;=78,"Baby Boomers",Table2[[#This Row],[Age]]&lt;=96,"Silent",Table2[[#This Row],[Age]]&gt;=97,"Greatest")</f>
        <v>Baby Boomers</v>
      </c>
      <c r="E680" s="1">
        <v>180831</v>
      </c>
      <c r="F680">
        <v>33</v>
      </c>
      <c r="G680" t="str" cm="1">
        <f t="array" ref="G680">_xlfn.IFS(Table2[[#This Row],[Spending Score (1-100)]]&lt;=25,"Low",Table2[[#This Row],[Spending Score (1-100)]]&lt;=50,"Medium",Table2[[#This Row],[Spending Score (1-100)]]&lt;=75,"High",Table2[[#This Row],[Spending Score (1-100)]]&lt;=100,"Very High")</f>
        <v>Medium</v>
      </c>
      <c r="H680" t="s">
        <v>9</v>
      </c>
      <c r="I680">
        <v>1</v>
      </c>
      <c r="J680" t="str">
        <f>CONCATENATE(Table2[[#This Row],[Work Experience]],"years")</f>
        <v>1years</v>
      </c>
      <c r="K680" t="str">
        <f>CONCATENATE(Table2[[#This Row],[Family Size2]],"members")</f>
        <v>2members</v>
      </c>
      <c r="L680" t="str">
        <f>CONCATENATE(Table2[[#This Row],[Family Size2]],"members")</f>
        <v>2members</v>
      </c>
      <c r="M680">
        <v>2</v>
      </c>
    </row>
    <row r="681" spans="1:13">
      <c r="A681">
        <v>680</v>
      </c>
      <c r="B681" t="s">
        <v>11</v>
      </c>
      <c r="C681">
        <v>89</v>
      </c>
      <c r="D681" t="str" cm="1">
        <f t="array" ref="D681">_xlfn.IFS(Table2[[#This Row],[Age]]&lt;=11,"Gen A",Table2[[#This Row],[Age]]&lt;=27,"Gen Z",Table2[[#This Row],[Age]]&lt;=43,"Millenials",Table2[[#This Row],[Age]]&lt;=59,"Gen X",Table2[[#This Row],[Age]]&lt;=78,"Baby Boomers",Table2[[#This Row],[Age]]&lt;=96,"Silent",Table2[[#This Row],[Age]]&gt;=97,"Greatest")</f>
        <v>Silent</v>
      </c>
      <c r="E681" s="1">
        <v>137397</v>
      </c>
      <c r="F681">
        <v>33</v>
      </c>
      <c r="G681" t="str" cm="1">
        <f t="array" ref="G681">_xlfn.IFS(Table2[[#This Row],[Spending Score (1-100)]]&lt;=25,"Low",Table2[[#This Row],[Spending Score (1-100)]]&lt;=50,"Medium",Table2[[#This Row],[Spending Score (1-100)]]&lt;=75,"High",Table2[[#This Row],[Spending Score (1-100)]]&lt;=100,"Very High")</f>
        <v>Medium</v>
      </c>
      <c r="H681" t="s">
        <v>16</v>
      </c>
      <c r="I681">
        <v>1</v>
      </c>
      <c r="J681" t="str">
        <f>CONCATENATE(Table2[[#This Row],[Work Experience]],"years")</f>
        <v>1years</v>
      </c>
      <c r="K681" t="str">
        <f>CONCATENATE(Table2[[#This Row],[Family Size2]],"members")</f>
        <v>7members</v>
      </c>
      <c r="L681" t="str">
        <f>CONCATENATE(Table2[[#This Row],[Family Size2]],"members")</f>
        <v>7members</v>
      </c>
      <c r="M681">
        <v>7</v>
      </c>
    </row>
    <row r="682" spans="1:13">
      <c r="A682">
        <v>681</v>
      </c>
      <c r="B682" t="s">
        <v>8</v>
      </c>
      <c r="C682">
        <v>17</v>
      </c>
      <c r="D682" t="str" cm="1">
        <f t="array" ref="D682">_xlfn.IFS(Table2[[#This Row],[Age]]&lt;=11,"Gen A",Table2[[#This Row],[Age]]&lt;=27,"Gen Z",Table2[[#This Row],[Age]]&lt;=43,"Millenials",Table2[[#This Row],[Age]]&lt;=59,"Gen X",Table2[[#This Row],[Age]]&lt;=78,"Baby Boomers",Table2[[#This Row],[Age]]&lt;=96,"Silent",Table2[[#This Row],[Age]]&gt;=97,"Greatest")</f>
        <v>Gen Z</v>
      </c>
      <c r="E682" s="1">
        <v>96154</v>
      </c>
      <c r="F682">
        <v>100</v>
      </c>
      <c r="G682" t="str" cm="1">
        <f t="array" ref="G682">_xlfn.IFS(Table2[[#This Row],[Spending Score (1-100)]]&lt;=25,"Low",Table2[[#This Row],[Spending Score (1-100)]]&lt;=50,"Medium",Table2[[#This Row],[Spending Score (1-100)]]&lt;=75,"High",Table2[[#This Row],[Spending Score (1-100)]]&lt;=100,"Very High")</f>
        <v>Very High</v>
      </c>
      <c r="H682" t="s">
        <v>14</v>
      </c>
      <c r="I682">
        <v>1</v>
      </c>
      <c r="J682" t="str">
        <f>CONCATENATE(Table2[[#This Row],[Work Experience]],"years")</f>
        <v>1years</v>
      </c>
      <c r="K682" t="str">
        <f>CONCATENATE(Table2[[#This Row],[Family Size2]],"members")</f>
        <v>4members</v>
      </c>
      <c r="L682" t="str">
        <f>CONCATENATE(Table2[[#This Row],[Family Size2]],"members")</f>
        <v>4members</v>
      </c>
      <c r="M682">
        <v>4</v>
      </c>
    </row>
    <row r="683" spans="1:13">
      <c r="A683">
        <v>682</v>
      </c>
      <c r="B683" t="s">
        <v>8</v>
      </c>
      <c r="C683">
        <v>86</v>
      </c>
      <c r="D683" t="str" cm="1">
        <f t="array" ref="D683">_xlfn.IFS(Table2[[#This Row],[Age]]&lt;=11,"Gen A",Table2[[#This Row],[Age]]&lt;=27,"Gen Z",Table2[[#This Row],[Age]]&lt;=43,"Millenials",Table2[[#This Row],[Age]]&lt;=59,"Gen X",Table2[[#This Row],[Age]]&lt;=78,"Baby Boomers",Table2[[#This Row],[Age]]&lt;=96,"Silent",Table2[[#This Row],[Age]]&gt;=97,"Greatest")</f>
        <v>Silent</v>
      </c>
      <c r="E683" s="1">
        <v>172477</v>
      </c>
      <c r="F683">
        <v>69</v>
      </c>
      <c r="G683" t="str" cm="1">
        <f t="array" ref="G683">_xlfn.IFS(Table2[[#This Row],[Spending Score (1-100)]]&lt;=25,"Low",Table2[[#This Row],[Spending Score (1-100)]]&lt;=50,"Medium",Table2[[#This Row],[Spending Score (1-100)]]&lt;=75,"High",Table2[[#This Row],[Spending Score (1-100)]]&lt;=100,"Very High")</f>
        <v>High</v>
      </c>
      <c r="H683" t="s">
        <v>13</v>
      </c>
      <c r="I683">
        <v>1</v>
      </c>
      <c r="J683" t="str">
        <f>CONCATENATE(Table2[[#This Row],[Work Experience]],"years")</f>
        <v>1years</v>
      </c>
      <c r="K683" t="str">
        <f>CONCATENATE(Table2[[#This Row],[Family Size2]],"members")</f>
        <v>3members</v>
      </c>
      <c r="L683" t="str">
        <f>CONCATENATE(Table2[[#This Row],[Family Size2]],"members")</f>
        <v>3members</v>
      </c>
      <c r="M683">
        <v>3</v>
      </c>
    </row>
    <row r="684" spans="1:13">
      <c r="A684">
        <v>683</v>
      </c>
      <c r="B684" t="s">
        <v>8</v>
      </c>
      <c r="C684">
        <v>42</v>
      </c>
      <c r="D684" t="str" cm="1">
        <f t="array" ref="D684">_xlfn.IFS(Table2[[#This Row],[Age]]&lt;=11,"Gen A",Table2[[#This Row],[Age]]&lt;=27,"Gen Z",Table2[[#This Row],[Age]]&lt;=43,"Millenials",Table2[[#This Row],[Age]]&lt;=59,"Gen X",Table2[[#This Row],[Age]]&lt;=78,"Baby Boomers",Table2[[#This Row],[Age]]&lt;=96,"Silent",Table2[[#This Row],[Age]]&gt;=97,"Greatest")</f>
        <v>Millenials</v>
      </c>
      <c r="E684" s="1">
        <v>59954</v>
      </c>
      <c r="F684">
        <v>37</v>
      </c>
      <c r="G684" t="str" cm="1">
        <f t="array" ref="G684">_xlfn.IFS(Table2[[#This Row],[Spending Score (1-100)]]&lt;=25,"Low",Table2[[#This Row],[Spending Score (1-100)]]&lt;=50,"Medium",Table2[[#This Row],[Spending Score (1-100)]]&lt;=75,"High",Table2[[#This Row],[Spending Score (1-100)]]&lt;=100,"Very High")</f>
        <v>Medium</v>
      </c>
      <c r="H684" t="s">
        <v>15</v>
      </c>
      <c r="I684">
        <v>4</v>
      </c>
      <c r="J684" t="str">
        <f>CONCATENATE(Table2[[#This Row],[Work Experience]],"years")</f>
        <v>4years</v>
      </c>
      <c r="K684" t="str">
        <f>CONCATENATE(Table2[[#This Row],[Family Size2]],"members")</f>
        <v>4members</v>
      </c>
      <c r="L684" t="str">
        <f>CONCATENATE(Table2[[#This Row],[Family Size2]],"members")</f>
        <v>4members</v>
      </c>
      <c r="M684">
        <v>4</v>
      </c>
    </row>
    <row r="685" spans="1:13">
      <c r="A685">
        <v>684</v>
      </c>
      <c r="B685" t="s">
        <v>11</v>
      </c>
      <c r="C685">
        <v>29</v>
      </c>
      <c r="D685" t="str" cm="1">
        <f t="array" ref="D685">_xlfn.IFS(Table2[[#This Row],[Age]]&lt;=11,"Gen A",Table2[[#This Row],[Age]]&lt;=27,"Gen Z",Table2[[#This Row],[Age]]&lt;=43,"Millenials",Table2[[#This Row],[Age]]&lt;=59,"Gen X",Table2[[#This Row],[Age]]&lt;=78,"Baby Boomers",Table2[[#This Row],[Age]]&lt;=96,"Silent",Table2[[#This Row],[Age]]&gt;=97,"Greatest")</f>
        <v>Millenials</v>
      </c>
      <c r="E685" s="1">
        <v>112240</v>
      </c>
      <c r="F685">
        <v>95</v>
      </c>
      <c r="G685" t="str" cm="1">
        <f t="array" ref="G685">_xlfn.IFS(Table2[[#This Row],[Spending Score (1-100)]]&lt;=25,"Low",Table2[[#This Row],[Spending Score (1-100)]]&lt;=50,"Medium",Table2[[#This Row],[Spending Score (1-100)]]&lt;=75,"High",Table2[[#This Row],[Spending Score (1-100)]]&lt;=100,"Very High")</f>
        <v>Very High</v>
      </c>
      <c r="H685" t="s">
        <v>13</v>
      </c>
      <c r="I685">
        <v>0</v>
      </c>
      <c r="J685" t="str">
        <f>CONCATENATE(Table2[[#This Row],[Work Experience]],"years")</f>
        <v>0years</v>
      </c>
      <c r="K685" t="str">
        <f>CONCATENATE(Table2[[#This Row],[Family Size2]],"members")</f>
        <v>4members</v>
      </c>
      <c r="L685" t="str">
        <f>CONCATENATE(Table2[[#This Row],[Family Size2]],"members")</f>
        <v>4members</v>
      </c>
      <c r="M685">
        <v>4</v>
      </c>
    </row>
    <row r="686" spans="1:13">
      <c r="A686">
        <v>685</v>
      </c>
      <c r="B686" t="s">
        <v>11</v>
      </c>
      <c r="C686">
        <v>54</v>
      </c>
      <c r="D686" t="str" cm="1">
        <f t="array" ref="D686">_xlfn.IFS(Table2[[#This Row],[Age]]&lt;=11,"Gen A",Table2[[#This Row],[Age]]&lt;=27,"Gen Z",Table2[[#This Row],[Age]]&lt;=43,"Millenials",Table2[[#This Row],[Age]]&lt;=59,"Gen X",Table2[[#This Row],[Age]]&lt;=78,"Baby Boomers",Table2[[#This Row],[Age]]&lt;=96,"Silent",Table2[[#This Row],[Age]]&gt;=97,"Greatest")</f>
        <v>Gen X</v>
      </c>
      <c r="E686" s="1">
        <v>145679</v>
      </c>
      <c r="F686">
        <v>35</v>
      </c>
      <c r="G686" t="str" cm="1">
        <f t="array" ref="G686">_xlfn.IFS(Table2[[#This Row],[Spending Score (1-100)]]&lt;=25,"Low",Table2[[#This Row],[Spending Score (1-100)]]&lt;=50,"Medium",Table2[[#This Row],[Spending Score (1-100)]]&lt;=75,"High",Table2[[#This Row],[Spending Score (1-100)]]&lt;=100,"Very High")</f>
        <v>Medium</v>
      </c>
      <c r="H686" t="s">
        <v>14</v>
      </c>
      <c r="I686">
        <v>0</v>
      </c>
      <c r="J686" t="str">
        <f>CONCATENATE(Table2[[#This Row],[Work Experience]],"years")</f>
        <v>0years</v>
      </c>
      <c r="K686" t="str">
        <f>CONCATENATE(Table2[[#This Row],[Family Size2]],"members")</f>
        <v>2members</v>
      </c>
      <c r="L686" t="str">
        <f>CONCATENATE(Table2[[#This Row],[Family Size2]],"members")</f>
        <v>2members</v>
      </c>
      <c r="M686">
        <v>2</v>
      </c>
    </row>
    <row r="687" spans="1:13">
      <c r="A687">
        <v>686</v>
      </c>
      <c r="B687" t="s">
        <v>8</v>
      </c>
      <c r="C687">
        <v>96</v>
      </c>
      <c r="D687" t="str" cm="1">
        <f t="array" ref="D687">_xlfn.IFS(Table2[[#This Row],[Age]]&lt;=11,"Gen A",Table2[[#This Row],[Age]]&lt;=27,"Gen Z",Table2[[#This Row],[Age]]&lt;=43,"Millenials",Table2[[#This Row],[Age]]&lt;=59,"Gen X",Table2[[#This Row],[Age]]&lt;=78,"Baby Boomers",Table2[[#This Row],[Age]]&lt;=96,"Silent",Table2[[#This Row],[Age]]&gt;=97,"Greatest")</f>
        <v>Silent</v>
      </c>
      <c r="E687" s="1">
        <v>136265</v>
      </c>
      <c r="F687">
        <v>49</v>
      </c>
      <c r="G687" t="str" cm="1">
        <f t="array" ref="G687">_xlfn.IFS(Table2[[#This Row],[Spending Score (1-100)]]&lt;=25,"Low",Table2[[#This Row],[Spending Score (1-100)]]&lt;=50,"Medium",Table2[[#This Row],[Spending Score (1-100)]]&lt;=75,"High",Table2[[#This Row],[Spending Score (1-100)]]&lt;=100,"Very High")</f>
        <v>Medium</v>
      </c>
      <c r="H687" t="s">
        <v>14</v>
      </c>
      <c r="I687">
        <v>12</v>
      </c>
      <c r="J687" t="str">
        <f>CONCATENATE(Table2[[#This Row],[Work Experience]],"years")</f>
        <v>12years</v>
      </c>
      <c r="K687" t="str">
        <f>CONCATENATE(Table2[[#This Row],[Family Size2]],"members")</f>
        <v>5members</v>
      </c>
      <c r="L687" t="str">
        <f>CONCATENATE(Table2[[#This Row],[Family Size2]],"members")</f>
        <v>5members</v>
      </c>
      <c r="M687">
        <v>5</v>
      </c>
    </row>
    <row r="688" spans="1:13">
      <c r="A688">
        <v>687</v>
      </c>
      <c r="B688" t="s">
        <v>11</v>
      </c>
      <c r="C688">
        <v>58</v>
      </c>
      <c r="D688" t="str" cm="1">
        <f t="array" ref="D688">_xlfn.IFS(Table2[[#This Row],[Age]]&lt;=11,"Gen A",Table2[[#This Row],[Age]]&lt;=27,"Gen Z",Table2[[#This Row],[Age]]&lt;=43,"Millenials",Table2[[#This Row],[Age]]&lt;=59,"Gen X",Table2[[#This Row],[Age]]&lt;=78,"Baby Boomers",Table2[[#This Row],[Age]]&lt;=96,"Silent",Table2[[#This Row],[Age]]&gt;=97,"Greatest")</f>
        <v>Gen X</v>
      </c>
      <c r="E688" s="1">
        <v>74869</v>
      </c>
      <c r="F688">
        <v>12</v>
      </c>
      <c r="G688" t="str" cm="1">
        <f t="array" ref="G688">_xlfn.IFS(Table2[[#This Row],[Spending Score (1-100)]]&lt;=25,"Low",Table2[[#This Row],[Spending Score (1-100)]]&lt;=50,"Medium",Table2[[#This Row],[Spending Score (1-100)]]&lt;=75,"High",Table2[[#This Row],[Spending Score (1-100)]]&lt;=100,"Very High")</f>
        <v>Low</v>
      </c>
      <c r="H688" t="s">
        <v>9</v>
      </c>
      <c r="I688">
        <v>0</v>
      </c>
      <c r="J688" t="str">
        <f>CONCATENATE(Table2[[#This Row],[Work Experience]],"years")</f>
        <v>0years</v>
      </c>
      <c r="K688" t="str">
        <f>CONCATENATE(Table2[[#This Row],[Family Size2]],"members")</f>
        <v>3members</v>
      </c>
      <c r="L688" t="str">
        <f>CONCATENATE(Table2[[#This Row],[Family Size2]],"members")</f>
        <v>3members</v>
      </c>
      <c r="M688">
        <v>3</v>
      </c>
    </row>
    <row r="689" spans="1:13">
      <c r="A689">
        <v>688</v>
      </c>
      <c r="B689" t="s">
        <v>11</v>
      </c>
      <c r="C689">
        <v>52</v>
      </c>
      <c r="D689" t="str" cm="1">
        <f t="array" ref="D689">_xlfn.IFS(Table2[[#This Row],[Age]]&lt;=11,"Gen A",Table2[[#This Row],[Age]]&lt;=27,"Gen Z",Table2[[#This Row],[Age]]&lt;=43,"Millenials",Table2[[#This Row],[Age]]&lt;=59,"Gen X",Table2[[#This Row],[Age]]&lt;=78,"Baby Boomers",Table2[[#This Row],[Age]]&lt;=96,"Silent",Table2[[#This Row],[Age]]&gt;=97,"Greatest")</f>
        <v>Gen X</v>
      </c>
      <c r="E689" s="1">
        <v>109425</v>
      </c>
      <c r="F689">
        <v>46</v>
      </c>
      <c r="G689" t="str" cm="1">
        <f t="array" ref="G689">_xlfn.IFS(Table2[[#This Row],[Spending Score (1-100)]]&lt;=25,"Low",Table2[[#This Row],[Spending Score (1-100)]]&lt;=50,"Medium",Table2[[#This Row],[Spending Score (1-100)]]&lt;=75,"High",Table2[[#This Row],[Spending Score (1-100)]]&lt;=100,"Very High")</f>
        <v>Medium</v>
      </c>
      <c r="H689" t="s">
        <v>10</v>
      </c>
      <c r="I689">
        <v>0</v>
      </c>
      <c r="J689" t="str">
        <f>CONCATENATE(Table2[[#This Row],[Work Experience]],"years")</f>
        <v>0years</v>
      </c>
      <c r="K689" t="str">
        <f>CONCATENATE(Table2[[#This Row],[Family Size2]],"members")</f>
        <v>1members</v>
      </c>
      <c r="L689" t="str">
        <f>CONCATENATE(Table2[[#This Row],[Family Size2]],"members")</f>
        <v>1members</v>
      </c>
      <c r="M689">
        <v>1</v>
      </c>
    </row>
    <row r="690" spans="1:13">
      <c r="A690">
        <v>689</v>
      </c>
      <c r="B690" t="s">
        <v>11</v>
      </c>
      <c r="C690">
        <v>3</v>
      </c>
      <c r="D690" t="str" cm="1">
        <f t="array" ref="D690">_xlfn.IFS(Table2[[#This Row],[Age]]&lt;=11,"Gen A",Table2[[#This Row],[Age]]&lt;=27,"Gen Z",Table2[[#This Row],[Age]]&lt;=43,"Millenials",Table2[[#This Row],[Age]]&lt;=59,"Gen X",Table2[[#This Row],[Age]]&lt;=78,"Baby Boomers",Table2[[#This Row],[Age]]&lt;=96,"Silent",Table2[[#This Row],[Age]]&gt;=97,"Greatest")</f>
        <v>Gen A</v>
      </c>
      <c r="E690" s="1">
        <v>126015</v>
      </c>
      <c r="F690">
        <v>57</v>
      </c>
      <c r="G690" t="str" cm="1">
        <f t="array" ref="G690">_xlfn.IFS(Table2[[#This Row],[Spending Score (1-100)]]&lt;=25,"Low",Table2[[#This Row],[Spending Score (1-100)]]&lt;=50,"Medium",Table2[[#This Row],[Spending Score (1-100)]]&lt;=75,"High",Table2[[#This Row],[Spending Score (1-100)]]&lt;=100,"Very High")</f>
        <v>High</v>
      </c>
      <c r="H690" t="s">
        <v>9</v>
      </c>
      <c r="I690">
        <v>0</v>
      </c>
      <c r="J690" t="str">
        <f>CONCATENATE(Table2[[#This Row],[Work Experience]],"years")</f>
        <v>0years</v>
      </c>
      <c r="K690" t="str">
        <f>CONCATENATE(Table2[[#This Row],[Family Size2]],"members")</f>
        <v>1members</v>
      </c>
      <c r="L690" t="str">
        <f>CONCATENATE(Table2[[#This Row],[Family Size2]],"members")</f>
        <v>1members</v>
      </c>
      <c r="M690">
        <v>1</v>
      </c>
    </row>
    <row r="691" spans="1:13">
      <c r="A691">
        <v>690</v>
      </c>
      <c r="B691" t="s">
        <v>11</v>
      </c>
      <c r="C691">
        <v>13</v>
      </c>
      <c r="D691" t="str" cm="1">
        <f t="array" ref="D691">_xlfn.IFS(Table2[[#This Row],[Age]]&lt;=11,"Gen A",Table2[[#This Row],[Age]]&lt;=27,"Gen Z",Table2[[#This Row],[Age]]&lt;=43,"Millenials",Table2[[#This Row],[Age]]&lt;=59,"Gen X",Table2[[#This Row],[Age]]&lt;=78,"Baby Boomers",Table2[[#This Row],[Age]]&lt;=96,"Silent",Table2[[#This Row],[Age]]&gt;=97,"Greatest")</f>
        <v>Gen Z</v>
      </c>
      <c r="E691" s="1">
        <v>156951</v>
      </c>
      <c r="F691">
        <v>66</v>
      </c>
      <c r="G691" t="str" cm="1">
        <f t="array" ref="G691">_xlfn.IFS(Table2[[#This Row],[Spending Score (1-100)]]&lt;=25,"Low",Table2[[#This Row],[Spending Score (1-100)]]&lt;=50,"Medium",Table2[[#This Row],[Spending Score (1-100)]]&lt;=75,"High",Table2[[#This Row],[Spending Score (1-100)]]&lt;=100,"Very High")</f>
        <v>High</v>
      </c>
      <c r="H691" t="s">
        <v>9</v>
      </c>
      <c r="I691">
        <v>4</v>
      </c>
      <c r="J691" t="str">
        <f>CONCATENATE(Table2[[#This Row],[Work Experience]],"years")</f>
        <v>4years</v>
      </c>
      <c r="K691" t="str">
        <f>CONCATENATE(Table2[[#This Row],[Family Size2]],"members")</f>
        <v>7members</v>
      </c>
      <c r="L691" t="str">
        <f>CONCATENATE(Table2[[#This Row],[Family Size2]],"members")</f>
        <v>7members</v>
      </c>
      <c r="M691">
        <v>7</v>
      </c>
    </row>
    <row r="692" spans="1:13">
      <c r="A692">
        <v>691</v>
      </c>
      <c r="B692" t="s">
        <v>11</v>
      </c>
      <c r="C692">
        <v>3</v>
      </c>
      <c r="D692" t="str" cm="1">
        <f t="array" ref="D692">_xlfn.IFS(Table2[[#This Row],[Age]]&lt;=11,"Gen A",Table2[[#This Row],[Age]]&lt;=27,"Gen Z",Table2[[#This Row],[Age]]&lt;=43,"Millenials",Table2[[#This Row],[Age]]&lt;=59,"Gen X",Table2[[#This Row],[Age]]&lt;=78,"Baby Boomers",Table2[[#This Row],[Age]]&lt;=96,"Silent",Table2[[#This Row],[Age]]&gt;=97,"Greatest")</f>
        <v>Gen A</v>
      </c>
      <c r="E692" s="1">
        <v>127172</v>
      </c>
      <c r="F692">
        <v>68</v>
      </c>
      <c r="G692" t="str" cm="1">
        <f t="array" ref="G692">_xlfn.IFS(Table2[[#This Row],[Spending Score (1-100)]]&lt;=25,"Low",Table2[[#This Row],[Spending Score (1-100)]]&lt;=50,"Medium",Table2[[#This Row],[Spending Score (1-100)]]&lt;=75,"High",Table2[[#This Row],[Spending Score (1-100)]]&lt;=100,"Very High")</f>
        <v>High</v>
      </c>
      <c r="H692" t="s">
        <v>9</v>
      </c>
      <c r="I692">
        <v>1</v>
      </c>
      <c r="J692" t="str">
        <f>CONCATENATE(Table2[[#This Row],[Work Experience]],"years")</f>
        <v>1years</v>
      </c>
      <c r="K692" t="str">
        <f>CONCATENATE(Table2[[#This Row],[Family Size2]],"members")</f>
        <v>2members</v>
      </c>
      <c r="L692" t="str">
        <f>CONCATENATE(Table2[[#This Row],[Family Size2]],"members")</f>
        <v>2members</v>
      </c>
      <c r="M692">
        <v>2</v>
      </c>
    </row>
    <row r="693" spans="1:13">
      <c r="A693">
        <v>692</v>
      </c>
      <c r="B693" t="s">
        <v>8</v>
      </c>
      <c r="C693">
        <v>89</v>
      </c>
      <c r="D693" t="str" cm="1">
        <f t="array" ref="D693">_xlfn.IFS(Table2[[#This Row],[Age]]&lt;=11,"Gen A",Table2[[#This Row],[Age]]&lt;=27,"Gen Z",Table2[[#This Row],[Age]]&lt;=43,"Millenials",Table2[[#This Row],[Age]]&lt;=59,"Gen X",Table2[[#This Row],[Age]]&lt;=78,"Baby Boomers",Table2[[#This Row],[Age]]&lt;=96,"Silent",Table2[[#This Row],[Age]]&gt;=97,"Greatest")</f>
        <v>Silent</v>
      </c>
      <c r="E693" s="1">
        <v>113834</v>
      </c>
      <c r="F693">
        <v>22</v>
      </c>
      <c r="G693" t="str" cm="1">
        <f t="array" ref="G693">_xlfn.IFS(Table2[[#This Row],[Spending Score (1-100)]]&lt;=25,"Low",Table2[[#This Row],[Spending Score (1-100)]]&lt;=50,"Medium",Table2[[#This Row],[Spending Score (1-100)]]&lt;=75,"High",Table2[[#This Row],[Spending Score (1-100)]]&lt;=100,"Very High")</f>
        <v>Low</v>
      </c>
      <c r="H693" t="s">
        <v>16</v>
      </c>
      <c r="I693">
        <v>0</v>
      </c>
      <c r="J693" t="str">
        <f>CONCATENATE(Table2[[#This Row],[Work Experience]],"years")</f>
        <v>0years</v>
      </c>
      <c r="K693" t="str">
        <f>CONCATENATE(Table2[[#This Row],[Family Size2]],"members")</f>
        <v>3members</v>
      </c>
      <c r="L693" t="str">
        <f>CONCATENATE(Table2[[#This Row],[Family Size2]],"members")</f>
        <v>3members</v>
      </c>
      <c r="M693">
        <v>3</v>
      </c>
    </row>
    <row r="694" spans="1:13">
      <c r="A694">
        <v>693</v>
      </c>
      <c r="B694" t="s">
        <v>8</v>
      </c>
      <c r="C694">
        <v>83</v>
      </c>
      <c r="D694" t="str" cm="1">
        <f t="array" ref="D694">_xlfn.IFS(Table2[[#This Row],[Age]]&lt;=11,"Gen A",Table2[[#This Row],[Age]]&lt;=27,"Gen Z",Table2[[#This Row],[Age]]&lt;=43,"Millenials",Table2[[#This Row],[Age]]&lt;=59,"Gen X",Table2[[#This Row],[Age]]&lt;=78,"Baby Boomers",Table2[[#This Row],[Age]]&lt;=96,"Silent",Table2[[#This Row],[Age]]&gt;=97,"Greatest")</f>
        <v>Silent</v>
      </c>
      <c r="E694" s="1">
        <v>132005</v>
      </c>
      <c r="F694">
        <v>2</v>
      </c>
      <c r="G694" t="str" cm="1">
        <f t="array" ref="G694">_xlfn.IFS(Table2[[#This Row],[Spending Score (1-100)]]&lt;=25,"Low",Table2[[#This Row],[Spending Score (1-100)]]&lt;=50,"Medium",Table2[[#This Row],[Spending Score (1-100)]]&lt;=75,"High",Table2[[#This Row],[Spending Score (1-100)]]&lt;=100,"Very High")</f>
        <v>Low</v>
      </c>
      <c r="H694" t="s">
        <v>13</v>
      </c>
      <c r="I694">
        <v>0</v>
      </c>
      <c r="J694" t="str">
        <f>CONCATENATE(Table2[[#This Row],[Work Experience]],"years")</f>
        <v>0years</v>
      </c>
      <c r="K694" t="str">
        <f>CONCATENATE(Table2[[#This Row],[Family Size2]],"members")</f>
        <v>5members</v>
      </c>
      <c r="L694" t="str">
        <f>CONCATENATE(Table2[[#This Row],[Family Size2]],"members")</f>
        <v>5members</v>
      </c>
      <c r="M694">
        <v>5</v>
      </c>
    </row>
    <row r="695" spans="1:13">
      <c r="A695">
        <v>694</v>
      </c>
      <c r="B695" t="s">
        <v>11</v>
      </c>
      <c r="C695">
        <v>80</v>
      </c>
      <c r="D695" t="str" cm="1">
        <f t="array" ref="D695">_xlfn.IFS(Table2[[#This Row],[Age]]&lt;=11,"Gen A",Table2[[#This Row],[Age]]&lt;=27,"Gen Z",Table2[[#This Row],[Age]]&lt;=43,"Millenials",Table2[[#This Row],[Age]]&lt;=59,"Gen X",Table2[[#This Row],[Age]]&lt;=78,"Baby Boomers",Table2[[#This Row],[Age]]&lt;=96,"Silent",Table2[[#This Row],[Age]]&gt;=97,"Greatest")</f>
        <v>Silent</v>
      </c>
      <c r="E695" s="1">
        <v>171323</v>
      </c>
      <c r="F695">
        <v>78</v>
      </c>
      <c r="G695" t="str" cm="1">
        <f t="array" ref="G695">_xlfn.IFS(Table2[[#This Row],[Spending Score (1-100)]]&lt;=25,"Low",Table2[[#This Row],[Spending Score (1-100)]]&lt;=50,"Medium",Table2[[#This Row],[Spending Score (1-100)]]&lt;=75,"High",Table2[[#This Row],[Spending Score (1-100)]]&lt;=100,"Very High")</f>
        <v>Very High</v>
      </c>
      <c r="H695" t="s">
        <v>12</v>
      </c>
      <c r="I695">
        <v>10</v>
      </c>
      <c r="J695" t="str">
        <f>CONCATENATE(Table2[[#This Row],[Work Experience]],"years")</f>
        <v>10years</v>
      </c>
      <c r="K695" t="str">
        <f>CONCATENATE(Table2[[#This Row],[Family Size2]],"members")</f>
        <v>4members</v>
      </c>
      <c r="L695" t="str">
        <f>CONCATENATE(Table2[[#This Row],[Family Size2]],"members")</f>
        <v>4members</v>
      </c>
      <c r="M695">
        <v>4</v>
      </c>
    </row>
    <row r="696" spans="1:13">
      <c r="A696">
        <v>695</v>
      </c>
      <c r="B696" t="s">
        <v>11</v>
      </c>
      <c r="C696">
        <v>74</v>
      </c>
      <c r="D696" t="str" cm="1">
        <f t="array" ref="D696">_xlfn.IFS(Table2[[#This Row],[Age]]&lt;=11,"Gen A",Table2[[#This Row],[Age]]&lt;=27,"Gen Z",Table2[[#This Row],[Age]]&lt;=43,"Millenials",Table2[[#This Row],[Age]]&lt;=59,"Gen X",Table2[[#This Row],[Age]]&lt;=78,"Baby Boomers",Table2[[#This Row],[Age]]&lt;=96,"Silent",Table2[[#This Row],[Age]]&gt;=97,"Greatest")</f>
        <v>Baby Boomers</v>
      </c>
      <c r="E696" s="1">
        <v>92355</v>
      </c>
      <c r="F696">
        <v>87</v>
      </c>
      <c r="G696" t="str" cm="1">
        <f t="array" ref="G696">_xlfn.IFS(Table2[[#This Row],[Spending Score (1-100)]]&lt;=25,"Low",Table2[[#This Row],[Spending Score (1-100)]]&lt;=50,"Medium",Table2[[#This Row],[Spending Score (1-100)]]&lt;=75,"High",Table2[[#This Row],[Spending Score (1-100)]]&lt;=100,"Very High")</f>
        <v>Very High</v>
      </c>
      <c r="H696" t="s">
        <v>13</v>
      </c>
      <c r="I696">
        <v>1</v>
      </c>
      <c r="J696" t="str">
        <f>CONCATENATE(Table2[[#This Row],[Work Experience]],"years")</f>
        <v>1years</v>
      </c>
      <c r="K696" t="str">
        <f>CONCATENATE(Table2[[#This Row],[Family Size2]],"members")</f>
        <v>4members</v>
      </c>
      <c r="L696" t="str">
        <f>CONCATENATE(Table2[[#This Row],[Family Size2]],"members")</f>
        <v>4members</v>
      </c>
      <c r="M696">
        <v>4</v>
      </c>
    </row>
    <row r="697" spans="1:13">
      <c r="A697">
        <v>696</v>
      </c>
      <c r="B697" t="s">
        <v>8</v>
      </c>
      <c r="C697">
        <v>42</v>
      </c>
      <c r="D697" t="str" cm="1">
        <f t="array" ref="D697">_xlfn.IFS(Table2[[#This Row],[Age]]&lt;=11,"Gen A",Table2[[#This Row],[Age]]&lt;=27,"Gen Z",Table2[[#This Row],[Age]]&lt;=43,"Millenials",Table2[[#This Row],[Age]]&lt;=59,"Gen X",Table2[[#This Row],[Age]]&lt;=78,"Baby Boomers",Table2[[#This Row],[Age]]&lt;=96,"Silent",Table2[[#This Row],[Age]]&gt;=97,"Greatest")</f>
        <v>Millenials</v>
      </c>
      <c r="E697" s="1">
        <v>60982</v>
      </c>
      <c r="F697">
        <v>3</v>
      </c>
      <c r="G697" t="str" cm="1">
        <f t="array" ref="G697">_xlfn.IFS(Table2[[#This Row],[Spending Score (1-100)]]&lt;=25,"Low",Table2[[#This Row],[Spending Score (1-100)]]&lt;=50,"Medium",Table2[[#This Row],[Spending Score (1-100)]]&lt;=75,"High",Table2[[#This Row],[Spending Score (1-100)]]&lt;=100,"Very High")</f>
        <v>Low</v>
      </c>
      <c r="H697" t="s">
        <v>9</v>
      </c>
      <c r="I697">
        <v>0</v>
      </c>
      <c r="J697" t="str">
        <f>CONCATENATE(Table2[[#This Row],[Work Experience]],"years")</f>
        <v>0years</v>
      </c>
      <c r="K697" t="str">
        <f>CONCATENATE(Table2[[#This Row],[Family Size2]],"members")</f>
        <v>5members</v>
      </c>
      <c r="L697" t="str">
        <f>CONCATENATE(Table2[[#This Row],[Family Size2]],"members")</f>
        <v>5members</v>
      </c>
      <c r="M697">
        <v>5</v>
      </c>
    </row>
    <row r="698" spans="1:13">
      <c r="A698">
        <v>697</v>
      </c>
      <c r="B698" t="s">
        <v>11</v>
      </c>
      <c r="C698">
        <v>91</v>
      </c>
      <c r="D698" t="str" cm="1">
        <f t="array" ref="D698">_xlfn.IFS(Table2[[#This Row],[Age]]&lt;=11,"Gen A",Table2[[#This Row],[Age]]&lt;=27,"Gen Z",Table2[[#This Row],[Age]]&lt;=43,"Millenials",Table2[[#This Row],[Age]]&lt;=59,"Gen X",Table2[[#This Row],[Age]]&lt;=78,"Baby Boomers",Table2[[#This Row],[Age]]&lt;=96,"Silent",Table2[[#This Row],[Age]]&gt;=97,"Greatest")</f>
        <v>Silent</v>
      </c>
      <c r="E698" s="1">
        <v>51742</v>
      </c>
      <c r="F698">
        <v>33</v>
      </c>
      <c r="G698" t="str" cm="1">
        <f t="array" ref="G698">_xlfn.IFS(Table2[[#This Row],[Spending Score (1-100)]]&lt;=25,"Low",Table2[[#This Row],[Spending Score (1-100)]]&lt;=50,"Medium",Table2[[#This Row],[Spending Score (1-100)]]&lt;=75,"High",Table2[[#This Row],[Spending Score (1-100)]]&lt;=100,"Very High")</f>
        <v>Medium</v>
      </c>
      <c r="H698" t="s">
        <v>14</v>
      </c>
      <c r="I698">
        <v>8</v>
      </c>
      <c r="J698" t="str">
        <f>CONCATENATE(Table2[[#This Row],[Work Experience]],"years")</f>
        <v>8years</v>
      </c>
      <c r="K698" t="str">
        <f>CONCATENATE(Table2[[#This Row],[Family Size2]],"members")</f>
        <v>3members</v>
      </c>
      <c r="L698" t="str">
        <f>CONCATENATE(Table2[[#This Row],[Family Size2]],"members")</f>
        <v>3members</v>
      </c>
      <c r="M698">
        <v>3</v>
      </c>
    </row>
    <row r="699" spans="1:13">
      <c r="A699">
        <v>698</v>
      </c>
      <c r="B699" t="s">
        <v>11</v>
      </c>
      <c r="C699">
        <v>31</v>
      </c>
      <c r="D699" t="str" cm="1">
        <f t="array" ref="D699">_xlfn.IFS(Table2[[#This Row],[Age]]&lt;=11,"Gen A",Table2[[#This Row],[Age]]&lt;=27,"Gen Z",Table2[[#This Row],[Age]]&lt;=43,"Millenials",Table2[[#This Row],[Age]]&lt;=59,"Gen X",Table2[[#This Row],[Age]]&lt;=78,"Baby Boomers",Table2[[#This Row],[Age]]&lt;=96,"Silent",Table2[[#This Row],[Age]]&gt;=97,"Greatest")</f>
        <v>Millenials</v>
      </c>
      <c r="E699" s="1">
        <v>138612</v>
      </c>
      <c r="F699">
        <v>71</v>
      </c>
      <c r="G699" t="str" cm="1">
        <f t="array" ref="G699">_xlfn.IFS(Table2[[#This Row],[Spending Score (1-100)]]&lt;=25,"Low",Table2[[#This Row],[Spending Score (1-100)]]&lt;=50,"Medium",Table2[[#This Row],[Spending Score (1-100)]]&lt;=75,"High",Table2[[#This Row],[Spending Score (1-100)]]&lt;=100,"Very High")</f>
        <v>High</v>
      </c>
      <c r="H699" t="s">
        <v>15</v>
      </c>
      <c r="I699">
        <v>9</v>
      </c>
      <c r="J699" t="str">
        <f>CONCATENATE(Table2[[#This Row],[Work Experience]],"years")</f>
        <v>9years</v>
      </c>
      <c r="K699" t="str">
        <f>CONCATENATE(Table2[[#This Row],[Family Size2]],"members")</f>
        <v>2members</v>
      </c>
      <c r="L699" t="str">
        <f>CONCATENATE(Table2[[#This Row],[Family Size2]],"members")</f>
        <v>2members</v>
      </c>
      <c r="M699">
        <v>2</v>
      </c>
    </row>
    <row r="700" spans="1:13">
      <c r="A700">
        <v>699</v>
      </c>
      <c r="B700" t="s">
        <v>8</v>
      </c>
      <c r="C700">
        <v>8</v>
      </c>
      <c r="D700" t="str" cm="1">
        <f t="array" ref="D700">_xlfn.IFS(Table2[[#This Row],[Age]]&lt;=11,"Gen A",Table2[[#This Row],[Age]]&lt;=27,"Gen Z",Table2[[#This Row],[Age]]&lt;=43,"Millenials",Table2[[#This Row],[Age]]&lt;=59,"Gen X",Table2[[#This Row],[Age]]&lt;=78,"Baby Boomers",Table2[[#This Row],[Age]]&lt;=96,"Silent",Table2[[#This Row],[Age]]&gt;=97,"Greatest")</f>
        <v>Gen A</v>
      </c>
      <c r="E700" s="1">
        <v>158123</v>
      </c>
      <c r="F700">
        <v>84</v>
      </c>
      <c r="G700" t="str" cm="1">
        <f t="array" ref="G700">_xlfn.IFS(Table2[[#This Row],[Spending Score (1-100)]]&lt;=25,"Low",Table2[[#This Row],[Spending Score (1-100)]]&lt;=50,"Medium",Table2[[#This Row],[Spending Score (1-100)]]&lt;=75,"High",Table2[[#This Row],[Spending Score (1-100)]]&lt;=100,"Very High")</f>
        <v>Very High</v>
      </c>
      <c r="H700" t="s">
        <v>14</v>
      </c>
      <c r="I700">
        <v>1</v>
      </c>
      <c r="J700" t="str">
        <f>CONCATENATE(Table2[[#This Row],[Work Experience]],"years")</f>
        <v>1years</v>
      </c>
      <c r="K700" t="str">
        <f>CONCATENATE(Table2[[#This Row],[Family Size2]],"members")</f>
        <v>1members</v>
      </c>
      <c r="L700" t="str">
        <f>CONCATENATE(Table2[[#This Row],[Family Size2]],"members")</f>
        <v>1members</v>
      </c>
      <c r="M700">
        <v>1</v>
      </c>
    </row>
    <row r="701" spans="1:13">
      <c r="A701">
        <v>700</v>
      </c>
      <c r="B701" t="s">
        <v>8</v>
      </c>
      <c r="C701">
        <v>64</v>
      </c>
      <c r="D701" t="str" cm="1">
        <f t="array" ref="D701">_xlfn.IFS(Table2[[#This Row],[Age]]&lt;=11,"Gen A",Table2[[#This Row],[Age]]&lt;=27,"Gen Z",Table2[[#This Row],[Age]]&lt;=43,"Millenials",Table2[[#This Row],[Age]]&lt;=59,"Gen X",Table2[[#This Row],[Age]]&lt;=78,"Baby Boomers",Table2[[#This Row],[Age]]&lt;=96,"Silent",Table2[[#This Row],[Age]]&gt;=97,"Greatest")</f>
        <v>Baby Boomers</v>
      </c>
      <c r="E701" s="1">
        <v>164675</v>
      </c>
      <c r="F701">
        <v>65</v>
      </c>
      <c r="G701" t="str" cm="1">
        <f t="array" ref="G701">_xlfn.IFS(Table2[[#This Row],[Spending Score (1-100)]]&lt;=25,"Low",Table2[[#This Row],[Spending Score (1-100)]]&lt;=50,"Medium",Table2[[#This Row],[Spending Score (1-100)]]&lt;=75,"High",Table2[[#This Row],[Spending Score (1-100)]]&lt;=100,"Very High")</f>
        <v>High</v>
      </c>
      <c r="H701" t="s">
        <v>15</v>
      </c>
      <c r="I701">
        <v>0</v>
      </c>
      <c r="J701" t="str">
        <f>CONCATENATE(Table2[[#This Row],[Work Experience]],"years")</f>
        <v>0years</v>
      </c>
      <c r="K701" t="str">
        <f>CONCATENATE(Table2[[#This Row],[Family Size2]],"members")</f>
        <v>5members</v>
      </c>
      <c r="L701" t="str">
        <f>CONCATENATE(Table2[[#This Row],[Family Size2]],"members")</f>
        <v>5members</v>
      </c>
      <c r="M701">
        <v>5</v>
      </c>
    </row>
    <row r="702" spans="1:13">
      <c r="A702">
        <v>701</v>
      </c>
      <c r="B702" t="s">
        <v>11</v>
      </c>
      <c r="C702">
        <v>41</v>
      </c>
      <c r="D702" t="str" cm="1">
        <f t="array" ref="D702">_xlfn.IFS(Table2[[#This Row],[Age]]&lt;=11,"Gen A",Table2[[#This Row],[Age]]&lt;=27,"Gen Z",Table2[[#This Row],[Age]]&lt;=43,"Millenials",Table2[[#This Row],[Age]]&lt;=59,"Gen X",Table2[[#This Row],[Age]]&lt;=78,"Baby Boomers",Table2[[#This Row],[Age]]&lt;=96,"Silent",Table2[[#This Row],[Age]]&gt;=97,"Greatest")</f>
        <v>Millenials</v>
      </c>
      <c r="E702" s="1">
        <v>172882</v>
      </c>
      <c r="F702">
        <v>27</v>
      </c>
      <c r="G702" t="str" cm="1">
        <f t="array" ref="G702">_xlfn.IFS(Table2[[#This Row],[Spending Score (1-100)]]&lt;=25,"Low",Table2[[#This Row],[Spending Score (1-100)]]&lt;=50,"Medium",Table2[[#This Row],[Spending Score (1-100)]]&lt;=75,"High",Table2[[#This Row],[Spending Score (1-100)]]&lt;=100,"Very High")</f>
        <v>Medium</v>
      </c>
      <c r="H702" t="s">
        <v>9</v>
      </c>
      <c r="I702">
        <v>8</v>
      </c>
      <c r="J702" t="str">
        <f>CONCATENATE(Table2[[#This Row],[Work Experience]],"years")</f>
        <v>8years</v>
      </c>
      <c r="K702" t="str">
        <f>CONCATENATE(Table2[[#This Row],[Family Size2]],"members")</f>
        <v>7members</v>
      </c>
      <c r="L702" t="str">
        <f>CONCATENATE(Table2[[#This Row],[Family Size2]],"members")</f>
        <v>7members</v>
      </c>
      <c r="M702">
        <v>7</v>
      </c>
    </row>
    <row r="703" spans="1:13">
      <c r="A703">
        <v>702</v>
      </c>
      <c r="B703" t="s">
        <v>11</v>
      </c>
      <c r="C703">
        <v>62</v>
      </c>
      <c r="D703" t="str" cm="1">
        <f t="array" ref="D703">_xlfn.IFS(Table2[[#This Row],[Age]]&lt;=11,"Gen A",Table2[[#This Row],[Age]]&lt;=27,"Gen Z",Table2[[#This Row],[Age]]&lt;=43,"Millenials",Table2[[#This Row],[Age]]&lt;=59,"Gen X",Table2[[#This Row],[Age]]&lt;=78,"Baby Boomers",Table2[[#This Row],[Age]]&lt;=96,"Silent",Table2[[#This Row],[Age]]&gt;=97,"Greatest")</f>
        <v>Baby Boomers</v>
      </c>
      <c r="E703" s="1">
        <v>70119</v>
      </c>
      <c r="F703">
        <v>93</v>
      </c>
      <c r="G703" t="str" cm="1">
        <f t="array" ref="G703">_xlfn.IFS(Table2[[#This Row],[Spending Score (1-100)]]&lt;=25,"Low",Table2[[#This Row],[Spending Score (1-100)]]&lt;=50,"Medium",Table2[[#This Row],[Spending Score (1-100)]]&lt;=75,"High",Table2[[#This Row],[Spending Score (1-100)]]&lt;=100,"Very High")</f>
        <v>Very High</v>
      </c>
      <c r="H703" t="s">
        <v>14</v>
      </c>
      <c r="I703">
        <v>0</v>
      </c>
      <c r="J703" t="str">
        <f>CONCATENATE(Table2[[#This Row],[Work Experience]],"years")</f>
        <v>0years</v>
      </c>
      <c r="K703" t="str">
        <f>CONCATENATE(Table2[[#This Row],[Family Size2]],"members")</f>
        <v>1members</v>
      </c>
      <c r="L703" t="str">
        <f>CONCATENATE(Table2[[#This Row],[Family Size2]],"members")</f>
        <v>1members</v>
      </c>
      <c r="M703">
        <v>1</v>
      </c>
    </row>
    <row r="704" spans="1:13">
      <c r="A704">
        <v>703</v>
      </c>
      <c r="B704" t="s">
        <v>8</v>
      </c>
      <c r="C704">
        <v>41</v>
      </c>
      <c r="D704" t="str" cm="1">
        <f t="array" ref="D704">_xlfn.IFS(Table2[[#This Row],[Age]]&lt;=11,"Gen A",Table2[[#This Row],[Age]]&lt;=27,"Gen Z",Table2[[#This Row],[Age]]&lt;=43,"Millenials",Table2[[#This Row],[Age]]&lt;=59,"Gen X",Table2[[#This Row],[Age]]&lt;=78,"Baby Boomers",Table2[[#This Row],[Age]]&lt;=96,"Silent",Table2[[#This Row],[Age]]&gt;=97,"Greatest")</f>
        <v>Millenials</v>
      </c>
      <c r="E704" s="1">
        <v>113998</v>
      </c>
      <c r="F704">
        <v>26</v>
      </c>
      <c r="G704" t="str" cm="1">
        <f t="array" ref="G704">_xlfn.IFS(Table2[[#This Row],[Spending Score (1-100)]]&lt;=25,"Low",Table2[[#This Row],[Spending Score (1-100)]]&lt;=50,"Medium",Table2[[#This Row],[Spending Score (1-100)]]&lt;=75,"High",Table2[[#This Row],[Spending Score (1-100)]]&lt;=100,"Very High")</f>
        <v>Medium</v>
      </c>
      <c r="H704" t="s">
        <v>9</v>
      </c>
      <c r="I704">
        <v>7</v>
      </c>
      <c r="J704" t="str">
        <f>CONCATENATE(Table2[[#This Row],[Work Experience]],"years")</f>
        <v>7years</v>
      </c>
      <c r="K704" t="str">
        <f>CONCATENATE(Table2[[#This Row],[Family Size2]],"members")</f>
        <v>7members</v>
      </c>
      <c r="L704" t="str">
        <f>CONCATENATE(Table2[[#This Row],[Family Size2]],"members")</f>
        <v>7members</v>
      </c>
      <c r="M704">
        <v>7</v>
      </c>
    </row>
    <row r="705" spans="1:13">
      <c r="A705">
        <v>704</v>
      </c>
      <c r="B705" t="s">
        <v>8</v>
      </c>
      <c r="C705">
        <v>22</v>
      </c>
      <c r="D705" t="str" cm="1">
        <f t="array" ref="D705">_xlfn.IFS(Table2[[#This Row],[Age]]&lt;=11,"Gen A",Table2[[#This Row],[Age]]&lt;=27,"Gen Z",Table2[[#This Row],[Age]]&lt;=43,"Millenials",Table2[[#This Row],[Age]]&lt;=59,"Gen X",Table2[[#This Row],[Age]]&lt;=78,"Baby Boomers",Table2[[#This Row],[Age]]&lt;=96,"Silent",Table2[[#This Row],[Age]]&gt;=97,"Greatest")</f>
        <v>Gen Z</v>
      </c>
      <c r="E705" s="1">
        <v>114011</v>
      </c>
      <c r="F705">
        <v>40</v>
      </c>
      <c r="G705" t="str" cm="1">
        <f t="array" ref="G705">_xlfn.IFS(Table2[[#This Row],[Spending Score (1-100)]]&lt;=25,"Low",Table2[[#This Row],[Spending Score (1-100)]]&lt;=50,"Medium",Table2[[#This Row],[Spending Score (1-100)]]&lt;=75,"High",Table2[[#This Row],[Spending Score (1-100)]]&lt;=100,"Very High")</f>
        <v>Medium</v>
      </c>
      <c r="H705" t="s">
        <v>19</v>
      </c>
      <c r="I705">
        <v>5</v>
      </c>
      <c r="J705" t="str">
        <f>CONCATENATE(Table2[[#This Row],[Work Experience]],"years")</f>
        <v>5years</v>
      </c>
      <c r="K705" t="str">
        <f>CONCATENATE(Table2[[#This Row],[Family Size2]],"members")</f>
        <v>7members</v>
      </c>
      <c r="L705" t="str">
        <f>CONCATENATE(Table2[[#This Row],[Family Size2]],"members")</f>
        <v>7members</v>
      </c>
      <c r="M705">
        <v>7</v>
      </c>
    </row>
    <row r="706" spans="1:13">
      <c r="A706">
        <v>705</v>
      </c>
      <c r="B706" t="s">
        <v>8</v>
      </c>
      <c r="C706">
        <v>5</v>
      </c>
      <c r="D706" t="str" cm="1">
        <f t="array" ref="D706">_xlfn.IFS(Table2[[#This Row],[Age]]&lt;=11,"Gen A",Table2[[#This Row],[Age]]&lt;=27,"Gen Z",Table2[[#This Row],[Age]]&lt;=43,"Millenials",Table2[[#This Row],[Age]]&lt;=59,"Gen X",Table2[[#This Row],[Age]]&lt;=78,"Baby Boomers",Table2[[#This Row],[Age]]&lt;=96,"Silent",Table2[[#This Row],[Age]]&gt;=97,"Greatest")</f>
        <v>Gen A</v>
      </c>
      <c r="E706" s="1">
        <v>57265</v>
      </c>
      <c r="F706">
        <v>89</v>
      </c>
      <c r="G706" t="str" cm="1">
        <f t="array" ref="G706">_xlfn.IFS(Table2[[#This Row],[Spending Score (1-100)]]&lt;=25,"Low",Table2[[#This Row],[Spending Score (1-100)]]&lt;=50,"Medium",Table2[[#This Row],[Spending Score (1-100)]]&lt;=75,"High",Table2[[#This Row],[Spending Score (1-100)]]&lt;=100,"Very High")</f>
        <v>Very High</v>
      </c>
      <c r="H706" t="s">
        <v>13</v>
      </c>
      <c r="I706">
        <v>7</v>
      </c>
      <c r="J706" t="str">
        <f>CONCATENATE(Table2[[#This Row],[Work Experience]],"years")</f>
        <v>7years</v>
      </c>
      <c r="K706" t="str">
        <f>CONCATENATE(Table2[[#This Row],[Family Size2]],"members")</f>
        <v>7members</v>
      </c>
      <c r="L706" t="str">
        <f>CONCATENATE(Table2[[#This Row],[Family Size2]],"members")</f>
        <v>7members</v>
      </c>
      <c r="M706">
        <v>7</v>
      </c>
    </row>
    <row r="707" spans="1:13">
      <c r="A707">
        <v>706</v>
      </c>
      <c r="B707" t="s">
        <v>11</v>
      </c>
      <c r="C707">
        <v>38</v>
      </c>
      <c r="D707" t="str" cm="1">
        <f t="array" ref="D707">_xlfn.IFS(Table2[[#This Row],[Age]]&lt;=11,"Gen A",Table2[[#This Row],[Age]]&lt;=27,"Gen Z",Table2[[#This Row],[Age]]&lt;=43,"Millenials",Table2[[#This Row],[Age]]&lt;=59,"Gen X",Table2[[#This Row],[Age]]&lt;=78,"Baby Boomers",Table2[[#This Row],[Age]]&lt;=96,"Silent",Table2[[#This Row],[Age]]&gt;=97,"Greatest")</f>
        <v>Millenials</v>
      </c>
      <c r="E707" s="1">
        <v>130597</v>
      </c>
      <c r="F707">
        <v>2</v>
      </c>
      <c r="G707" t="str" cm="1">
        <f t="array" ref="G707">_xlfn.IFS(Table2[[#This Row],[Spending Score (1-100)]]&lt;=25,"Low",Table2[[#This Row],[Spending Score (1-100)]]&lt;=50,"Medium",Table2[[#This Row],[Spending Score (1-100)]]&lt;=75,"High",Table2[[#This Row],[Spending Score (1-100)]]&lt;=100,"Very High")</f>
        <v>Low</v>
      </c>
      <c r="H707" t="s">
        <v>14</v>
      </c>
      <c r="I707">
        <v>6</v>
      </c>
      <c r="J707" t="str">
        <f>CONCATENATE(Table2[[#This Row],[Work Experience]],"years")</f>
        <v>6years</v>
      </c>
      <c r="K707" t="str">
        <f>CONCATENATE(Table2[[#This Row],[Family Size2]],"members")</f>
        <v>1members</v>
      </c>
      <c r="L707" t="str">
        <f>CONCATENATE(Table2[[#This Row],[Family Size2]],"members")</f>
        <v>1members</v>
      </c>
      <c r="M707">
        <v>1</v>
      </c>
    </row>
    <row r="708" spans="1:13">
      <c r="A708">
        <v>707</v>
      </c>
      <c r="B708" t="s">
        <v>11</v>
      </c>
      <c r="C708">
        <v>88</v>
      </c>
      <c r="D708" t="str" cm="1">
        <f t="array" ref="D708">_xlfn.IFS(Table2[[#This Row],[Age]]&lt;=11,"Gen A",Table2[[#This Row],[Age]]&lt;=27,"Gen Z",Table2[[#This Row],[Age]]&lt;=43,"Millenials",Table2[[#This Row],[Age]]&lt;=59,"Gen X",Table2[[#This Row],[Age]]&lt;=78,"Baby Boomers",Table2[[#This Row],[Age]]&lt;=96,"Silent",Table2[[#This Row],[Age]]&gt;=97,"Greatest")</f>
        <v>Silent</v>
      </c>
      <c r="E708" s="1">
        <v>121597</v>
      </c>
      <c r="F708">
        <v>7</v>
      </c>
      <c r="G708" t="str" cm="1">
        <f t="array" ref="G708">_xlfn.IFS(Table2[[#This Row],[Spending Score (1-100)]]&lt;=25,"Low",Table2[[#This Row],[Spending Score (1-100)]]&lt;=50,"Medium",Table2[[#This Row],[Spending Score (1-100)]]&lt;=75,"High",Table2[[#This Row],[Spending Score (1-100)]]&lt;=100,"Very High")</f>
        <v>Low</v>
      </c>
      <c r="H708" t="s">
        <v>10</v>
      </c>
      <c r="I708">
        <v>0</v>
      </c>
      <c r="J708" t="str">
        <f>CONCATENATE(Table2[[#This Row],[Work Experience]],"years")</f>
        <v>0years</v>
      </c>
      <c r="K708" t="str">
        <f>CONCATENATE(Table2[[#This Row],[Family Size2]],"members")</f>
        <v>5members</v>
      </c>
      <c r="L708" t="str">
        <f>CONCATENATE(Table2[[#This Row],[Family Size2]],"members")</f>
        <v>5members</v>
      </c>
      <c r="M708">
        <v>5</v>
      </c>
    </row>
    <row r="709" spans="1:13">
      <c r="A709">
        <v>708</v>
      </c>
      <c r="B709" t="s">
        <v>8</v>
      </c>
      <c r="C709">
        <v>56</v>
      </c>
      <c r="D709" t="str" cm="1">
        <f t="array" ref="D709">_xlfn.IFS(Table2[[#This Row],[Age]]&lt;=11,"Gen A",Table2[[#This Row],[Age]]&lt;=27,"Gen Z",Table2[[#This Row],[Age]]&lt;=43,"Millenials",Table2[[#This Row],[Age]]&lt;=59,"Gen X",Table2[[#This Row],[Age]]&lt;=78,"Baby Boomers",Table2[[#This Row],[Age]]&lt;=96,"Silent",Table2[[#This Row],[Age]]&gt;=97,"Greatest")</f>
        <v>Gen X</v>
      </c>
      <c r="E709" s="1">
        <v>103210</v>
      </c>
      <c r="F709">
        <v>100</v>
      </c>
      <c r="G709" t="str" cm="1">
        <f t="array" ref="G709">_xlfn.IFS(Table2[[#This Row],[Spending Score (1-100)]]&lt;=25,"Low",Table2[[#This Row],[Spending Score (1-100)]]&lt;=50,"Medium",Table2[[#This Row],[Spending Score (1-100)]]&lt;=75,"High",Table2[[#This Row],[Spending Score (1-100)]]&lt;=100,"Very High")</f>
        <v>Very High</v>
      </c>
      <c r="H709" t="s">
        <v>14</v>
      </c>
      <c r="I709">
        <v>6</v>
      </c>
      <c r="J709" t="str">
        <f>CONCATENATE(Table2[[#This Row],[Work Experience]],"years")</f>
        <v>6years</v>
      </c>
      <c r="K709" t="str">
        <f>CONCATENATE(Table2[[#This Row],[Family Size2]],"members")</f>
        <v>6members</v>
      </c>
      <c r="L709" t="str">
        <f>CONCATENATE(Table2[[#This Row],[Family Size2]],"members")</f>
        <v>6members</v>
      </c>
      <c r="M709">
        <v>6</v>
      </c>
    </row>
    <row r="710" spans="1:13">
      <c r="A710">
        <v>709</v>
      </c>
      <c r="B710" t="s">
        <v>8</v>
      </c>
      <c r="C710">
        <v>47</v>
      </c>
      <c r="D710" t="str" cm="1">
        <f t="array" ref="D710">_xlfn.IFS(Table2[[#This Row],[Age]]&lt;=11,"Gen A",Table2[[#This Row],[Age]]&lt;=27,"Gen Z",Table2[[#This Row],[Age]]&lt;=43,"Millenials",Table2[[#This Row],[Age]]&lt;=59,"Gen X",Table2[[#This Row],[Age]]&lt;=78,"Baby Boomers",Table2[[#This Row],[Age]]&lt;=96,"Silent",Table2[[#This Row],[Age]]&gt;=97,"Greatest")</f>
        <v>Gen X</v>
      </c>
      <c r="E710" s="1">
        <v>66308</v>
      </c>
      <c r="F710">
        <v>8</v>
      </c>
      <c r="G710" t="str" cm="1">
        <f t="array" ref="G710">_xlfn.IFS(Table2[[#This Row],[Spending Score (1-100)]]&lt;=25,"Low",Table2[[#This Row],[Spending Score (1-100)]]&lt;=50,"Medium",Table2[[#This Row],[Spending Score (1-100)]]&lt;=75,"High",Table2[[#This Row],[Spending Score (1-100)]]&lt;=100,"Very High")</f>
        <v>Low</v>
      </c>
      <c r="H710" t="s">
        <v>15</v>
      </c>
      <c r="I710">
        <v>0</v>
      </c>
      <c r="J710" t="str">
        <f>CONCATENATE(Table2[[#This Row],[Work Experience]],"years")</f>
        <v>0years</v>
      </c>
      <c r="K710" t="str">
        <f>CONCATENATE(Table2[[#This Row],[Family Size2]],"members")</f>
        <v>4members</v>
      </c>
      <c r="L710" t="str">
        <f>CONCATENATE(Table2[[#This Row],[Family Size2]],"members")</f>
        <v>4members</v>
      </c>
      <c r="M710">
        <v>4</v>
      </c>
    </row>
    <row r="711" spans="1:13">
      <c r="A711">
        <v>710</v>
      </c>
      <c r="B711" t="s">
        <v>8</v>
      </c>
      <c r="C711">
        <v>4</v>
      </c>
      <c r="D711" t="str" cm="1">
        <f t="array" ref="D711">_xlfn.IFS(Table2[[#This Row],[Age]]&lt;=11,"Gen A",Table2[[#This Row],[Age]]&lt;=27,"Gen Z",Table2[[#This Row],[Age]]&lt;=43,"Millenials",Table2[[#This Row],[Age]]&lt;=59,"Gen X",Table2[[#This Row],[Age]]&lt;=78,"Baby Boomers",Table2[[#This Row],[Age]]&lt;=96,"Silent",Table2[[#This Row],[Age]]&gt;=97,"Greatest")</f>
        <v>Gen A</v>
      </c>
      <c r="E711" s="1">
        <v>141336</v>
      </c>
      <c r="F711">
        <v>93</v>
      </c>
      <c r="G711" t="str" cm="1">
        <f t="array" ref="G711">_xlfn.IFS(Table2[[#This Row],[Spending Score (1-100)]]&lt;=25,"Low",Table2[[#This Row],[Spending Score (1-100)]]&lt;=50,"Medium",Table2[[#This Row],[Spending Score (1-100)]]&lt;=75,"High",Table2[[#This Row],[Spending Score (1-100)]]&lt;=100,"Very High")</f>
        <v>Very High</v>
      </c>
      <c r="H711" t="s">
        <v>17</v>
      </c>
      <c r="I711">
        <v>2</v>
      </c>
      <c r="J711" t="str">
        <f>CONCATENATE(Table2[[#This Row],[Work Experience]],"years")</f>
        <v>2years</v>
      </c>
      <c r="K711" t="str">
        <f>CONCATENATE(Table2[[#This Row],[Family Size2]],"members")</f>
        <v>1members</v>
      </c>
      <c r="L711" t="str">
        <f>CONCATENATE(Table2[[#This Row],[Family Size2]],"members")</f>
        <v>1members</v>
      </c>
      <c r="M711">
        <v>1</v>
      </c>
    </row>
    <row r="712" spans="1:13">
      <c r="A712">
        <v>711</v>
      </c>
      <c r="B712" t="s">
        <v>8</v>
      </c>
      <c r="C712">
        <v>82</v>
      </c>
      <c r="D712" t="str" cm="1">
        <f t="array" ref="D712">_xlfn.IFS(Table2[[#This Row],[Age]]&lt;=11,"Gen A",Table2[[#This Row],[Age]]&lt;=27,"Gen Z",Table2[[#This Row],[Age]]&lt;=43,"Millenials",Table2[[#This Row],[Age]]&lt;=59,"Gen X",Table2[[#This Row],[Age]]&lt;=78,"Baby Boomers",Table2[[#This Row],[Age]]&lt;=96,"Silent",Table2[[#This Row],[Age]]&gt;=97,"Greatest")</f>
        <v>Silent</v>
      </c>
      <c r="E712" s="1">
        <v>153632</v>
      </c>
      <c r="F712">
        <v>76</v>
      </c>
      <c r="G712" t="str" cm="1">
        <f t="array" ref="G712">_xlfn.IFS(Table2[[#This Row],[Spending Score (1-100)]]&lt;=25,"Low",Table2[[#This Row],[Spending Score (1-100)]]&lt;=50,"Medium",Table2[[#This Row],[Spending Score (1-100)]]&lt;=75,"High",Table2[[#This Row],[Spending Score (1-100)]]&lt;=100,"Very High")</f>
        <v>Very High</v>
      </c>
      <c r="H712" t="s">
        <v>13</v>
      </c>
      <c r="I712">
        <v>9</v>
      </c>
      <c r="J712" t="str">
        <f>CONCATENATE(Table2[[#This Row],[Work Experience]],"years")</f>
        <v>9years</v>
      </c>
      <c r="K712" t="str">
        <f>CONCATENATE(Table2[[#This Row],[Family Size2]],"members")</f>
        <v>7members</v>
      </c>
      <c r="L712" t="str">
        <f>CONCATENATE(Table2[[#This Row],[Family Size2]],"members")</f>
        <v>7members</v>
      </c>
      <c r="M712">
        <v>7</v>
      </c>
    </row>
    <row r="713" spans="1:13">
      <c r="A713">
        <v>712</v>
      </c>
      <c r="B713" t="s">
        <v>11</v>
      </c>
      <c r="C713">
        <v>31</v>
      </c>
      <c r="D713" t="str" cm="1">
        <f t="array" ref="D713">_xlfn.IFS(Table2[[#This Row],[Age]]&lt;=11,"Gen A",Table2[[#This Row],[Age]]&lt;=27,"Gen Z",Table2[[#This Row],[Age]]&lt;=43,"Millenials",Table2[[#This Row],[Age]]&lt;=59,"Gen X",Table2[[#This Row],[Age]]&lt;=78,"Baby Boomers",Table2[[#This Row],[Age]]&lt;=96,"Silent",Table2[[#This Row],[Age]]&gt;=97,"Greatest")</f>
        <v>Millenials</v>
      </c>
      <c r="E713" s="1">
        <v>65520</v>
      </c>
      <c r="F713">
        <v>71</v>
      </c>
      <c r="G713" t="str" cm="1">
        <f t="array" ref="G713">_xlfn.IFS(Table2[[#This Row],[Spending Score (1-100)]]&lt;=25,"Low",Table2[[#This Row],[Spending Score (1-100)]]&lt;=50,"Medium",Table2[[#This Row],[Spending Score (1-100)]]&lt;=75,"High",Table2[[#This Row],[Spending Score (1-100)]]&lt;=100,"Very High")</f>
        <v>High</v>
      </c>
      <c r="H713" t="s">
        <v>12</v>
      </c>
      <c r="I713">
        <v>1</v>
      </c>
      <c r="J713" t="str">
        <f>CONCATENATE(Table2[[#This Row],[Work Experience]],"years")</f>
        <v>1years</v>
      </c>
      <c r="K713" t="str">
        <f>CONCATENATE(Table2[[#This Row],[Family Size2]],"members")</f>
        <v>2members</v>
      </c>
      <c r="L713" t="str">
        <f>CONCATENATE(Table2[[#This Row],[Family Size2]],"members")</f>
        <v>2members</v>
      </c>
      <c r="M713">
        <v>2</v>
      </c>
    </row>
    <row r="714" spans="1:13">
      <c r="A714">
        <v>713</v>
      </c>
      <c r="B714" t="s">
        <v>11</v>
      </c>
      <c r="C714">
        <v>69</v>
      </c>
      <c r="D714" t="str" cm="1">
        <f t="array" ref="D714">_xlfn.IFS(Table2[[#This Row],[Age]]&lt;=11,"Gen A",Table2[[#This Row],[Age]]&lt;=27,"Gen Z",Table2[[#This Row],[Age]]&lt;=43,"Millenials",Table2[[#This Row],[Age]]&lt;=59,"Gen X",Table2[[#This Row],[Age]]&lt;=78,"Baby Boomers",Table2[[#This Row],[Age]]&lt;=96,"Silent",Table2[[#This Row],[Age]]&gt;=97,"Greatest")</f>
        <v>Baby Boomers</v>
      </c>
      <c r="E714" s="1">
        <v>153217</v>
      </c>
      <c r="F714">
        <v>83</v>
      </c>
      <c r="G714" t="str" cm="1">
        <f t="array" ref="G714">_xlfn.IFS(Table2[[#This Row],[Spending Score (1-100)]]&lt;=25,"Low",Table2[[#This Row],[Spending Score (1-100)]]&lt;=50,"Medium",Table2[[#This Row],[Spending Score (1-100)]]&lt;=75,"High",Table2[[#This Row],[Spending Score (1-100)]]&lt;=100,"Very High")</f>
        <v>Very High</v>
      </c>
      <c r="H714" t="s">
        <v>9</v>
      </c>
      <c r="I714">
        <v>1</v>
      </c>
      <c r="J714" t="str">
        <f>CONCATENATE(Table2[[#This Row],[Work Experience]],"years")</f>
        <v>1years</v>
      </c>
      <c r="K714" t="str">
        <f>CONCATENATE(Table2[[#This Row],[Family Size2]],"members")</f>
        <v>6members</v>
      </c>
      <c r="L714" t="str">
        <f>CONCATENATE(Table2[[#This Row],[Family Size2]],"members")</f>
        <v>6members</v>
      </c>
      <c r="M714">
        <v>6</v>
      </c>
    </row>
    <row r="715" spans="1:13">
      <c r="A715">
        <v>714</v>
      </c>
      <c r="B715" t="s">
        <v>8</v>
      </c>
      <c r="C715">
        <v>62</v>
      </c>
      <c r="D715" t="str" cm="1">
        <f t="array" ref="D715">_xlfn.IFS(Table2[[#This Row],[Age]]&lt;=11,"Gen A",Table2[[#This Row],[Age]]&lt;=27,"Gen Z",Table2[[#This Row],[Age]]&lt;=43,"Millenials",Table2[[#This Row],[Age]]&lt;=59,"Gen X",Table2[[#This Row],[Age]]&lt;=78,"Baby Boomers",Table2[[#This Row],[Age]]&lt;=96,"Silent",Table2[[#This Row],[Age]]&gt;=97,"Greatest")</f>
        <v>Baby Boomers</v>
      </c>
      <c r="E715" s="1">
        <v>92768</v>
      </c>
      <c r="F715">
        <v>75</v>
      </c>
      <c r="G715" t="str" cm="1">
        <f t="array" ref="G715">_xlfn.IFS(Table2[[#This Row],[Spending Score (1-100)]]&lt;=25,"Low",Table2[[#This Row],[Spending Score (1-100)]]&lt;=50,"Medium",Table2[[#This Row],[Spending Score (1-100)]]&lt;=75,"High",Table2[[#This Row],[Spending Score (1-100)]]&lt;=100,"Very High")</f>
        <v>High</v>
      </c>
      <c r="H715" t="s">
        <v>16</v>
      </c>
      <c r="I715">
        <v>1</v>
      </c>
      <c r="J715" t="str">
        <f>CONCATENATE(Table2[[#This Row],[Work Experience]],"years")</f>
        <v>1years</v>
      </c>
      <c r="K715" t="str">
        <f>CONCATENATE(Table2[[#This Row],[Family Size2]],"members")</f>
        <v>1members</v>
      </c>
      <c r="L715" t="str">
        <f>CONCATENATE(Table2[[#This Row],[Family Size2]],"members")</f>
        <v>1members</v>
      </c>
      <c r="M715">
        <v>1</v>
      </c>
    </row>
    <row r="716" spans="1:13">
      <c r="A716">
        <v>715</v>
      </c>
      <c r="B716" t="s">
        <v>11</v>
      </c>
      <c r="C716">
        <v>54</v>
      </c>
      <c r="D716" t="str" cm="1">
        <f t="array" ref="D716">_xlfn.IFS(Table2[[#This Row],[Age]]&lt;=11,"Gen A",Table2[[#This Row],[Age]]&lt;=27,"Gen Z",Table2[[#This Row],[Age]]&lt;=43,"Millenials",Table2[[#This Row],[Age]]&lt;=59,"Gen X",Table2[[#This Row],[Age]]&lt;=78,"Baby Boomers",Table2[[#This Row],[Age]]&lt;=96,"Silent",Table2[[#This Row],[Age]]&gt;=97,"Greatest")</f>
        <v>Gen X</v>
      </c>
      <c r="E716" s="1">
        <v>132345</v>
      </c>
      <c r="F716">
        <v>10</v>
      </c>
      <c r="G716" t="str" cm="1">
        <f t="array" ref="G716">_xlfn.IFS(Table2[[#This Row],[Spending Score (1-100)]]&lt;=25,"Low",Table2[[#This Row],[Spending Score (1-100)]]&lt;=50,"Medium",Table2[[#This Row],[Spending Score (1-100)]]&lt;=75,"High",Table2[[#This Row],[Spending Score (1-100)]]&lt;=100,"Very High")</f>
        <v>Low</v>
      </c>
      <c r="H716" t="s">
        <v>14</v>
      </c>
      <c r="I716">
        <v>0</v>
      </c>
      <c r="J716" t="str">
        <f>CONCATENATE(Table2[[#This Row],[Work Experience]],"years")</f>
        <v>0years</v>
      </c>
      <c r="K716" t="str">
        <f>CONCATENATE(Table2[[#This Row],[Family Size2]],"members")</f>
        <v>2members</v>
      </c>
      <c r="L716" t="str">
        <f>CONCATENATE(Table2[[#This Row],[Family Size2]],"members")</f>
        <v>2members</v>
      </c>
      <c r="M716">
        <v>2</v>
      </c>
    </row>
    <row r="717" spans="1:13">
      <c r="A717">
        <v>716</v>
      </c>
      <c r="B717" t="s">
        <v>11</v>
      </c>
      <c r="C717">
        <v>60</v>
      </c>
      <c r="D717" t="str" cm="1">
        <f t="array" ref="D717">_xlfn.IFS(Table2[[#This Row],[Age]]&lt;=11,"Gen A",Table2[[#This Row],[Age]]&lt;=27,"Gen Z",Table2[[#This Row],[Age]]&lt;=43,"Millenials",Table2[[#This Row],[Age]]&lt;=59,"Gen X",Table2[[#This Row],[Age]]&lt;=78,"Baby Boomers",Table2[[#This Row],[Age]]&lt;=96,"Silent",Table2[[#This Row],[Age]]&gt;=97,"Greatest")</f>
        <v>Baby Boomers</v>
      </c>
      <c r="E717" s="1">
        <v>186069</v>
      </c>
      <c r="F717">
        <v>49</v>
      </c>
      <c r="G717" t="str" cm="1">
        <f t="array" ref="G717">_xlfn.IFS(Table2[[#This Row],[Spending Score (1-100)]]&lt;=25,"Low",Table2[[#This Row],[Spending Score (1-100)]]&lt;=50,"Medium",Table2[[#This Row],[Spending Score (1-100)]]&lt;=75,"High",Table2[[#This Row],[Spending Score (1-100)]]&lt;=100,"Very High")</f>
        <v>Medium</v>
      </c>
      <c r="H717" t="s">
        <v>18</v>
      </c>
      <c r="I717">
        <v>1</v>
      </c>
      <c r="J717" t="str">
        <f>CONCATENATE(Table2[[#This Row],[Work Experience]],"years")</f>
        <v>1years</v>
      </c>
      <c r="K717" t="str">
        <f>CONCATENATE(Table2[[#This Row],[Family Size2]],"members")</f>
        <v>2members</v>
      </c>
      <c r="L717" t="str">
        <f>CONCATENATE(Table2[[#This Row],[Family Size2]],"members")</f>
        <v>2members</v>
      </c>
      <c r="M717">
        <v>2</v>
      </c>
    </row>
    <row r="718" spans="1:13">
      <c r="A718">
        <v>717</v>
      </c>
      <c r="B718" t="s">
        <v>11</v>
      </c>
      <c r="C718">
        <v>31</v>
      </c>
      <c r="D718" t="str" cm="1">
        <f t="array" ref="D718">_xlfn.IFS(Table2[[#This Row],[Age]]&lt;=11,"Gen A",Table2[[#This Row],[Age]]&lt;=27,"Gen Z",Table2[[#This Row],[Age]]&lt;=43,"Millenials",Table2[[#This Row],[Age]]&lt;=59,"Gen X",Table2[[#This Row],[Age]]&lt;=78,"Baby Boomers",Table2[[#This Row],[Age]]&lt;=96,"Silent",Table2[[#This Row],[Age]]&gt;=97,"Greatest")</f>
        <v>Millenials</v>
      </c>
      <c r="E718" s="1">
        <v>53802</v>
      </c>
      <c r="F718">
        <v>32</v>
      </c>
      <c r="G718" t="str" cm="1">
        <f t="array" ref="G718">_xlfn.IFS(Table2[[#This Row],[Spending Score (1-100)]]&lt;=25,"Low",Table2[[#This Row],[Spending Score (1-100)]]&lt;=50,"Medium",Table2[[#This Row],[Spending Score (1-100)]]&lt;=75,"High",Table2[[#This Row],[Spending Score (1-100)]]&lt;=100,"Very High")</f>
        <v>Medium</v>
      </c>
      <c r="H718" t="s">
        <v>14</v>
      </c>
      <c r="I718">
        <v>1</v>
      </c>
      <c r="J718" t="str">
        <f>CONCATENATE(Table2[[#This Row],[Work Experience]],"years")</f>
        <v>1years</v>
      </c>
      <c r="K718" t="str">
        <f>CONCATENATE(Table2[[#This Row],[Family Size2]],"members")</f>
        <v>7members</v>
      </c>
      <c r="L718" t="str">
        <f>CONCATENATE(Table2[[#This Row],[Family Size2]],"members")</f>
        <v>7members</v>
      </c>
      <c r="M718">
        <v>7</v>
      </c>
    </row>
    <row r="719" spans="1:13">
      <c r="A719">
        <v>718</v>
      </c>
      <c r="B719" t="s">
        <v>11</v>
      </c>
      <c r="C719">
        <v>17</v>
      </c>
      <c r="D719" t="str" cm="1">
        <f t="array" ref="D719">_xlfn.IFS(Table2[[#This Row],[Age]]&lt;=11,"Gen A",Table2[[#This Row],[Age]]&lt;=27,"Gen Z",Table2[[#This Row],[Age]]&lt;=43,"Millenials",Table2[[#This Row],[Age]]&lt;=59,"Gen X",Table2[[#This Row],[Age]]&lt;=78,"Baby Boomers",Table2[[#This Row],[Age]]&lt;=96,"Silent",Table2[[#This Row],[Age]]&gt;=97,"Greatest")</f>
        <v>Gen Z</v>
      </c>
      <c r="E719" s="1">
        <v>103739</v>
      </c>
      <c r="F719">
        <v>62</v>
      </c>
      <c r="G719" t="str" cm="1">
        <f t="array" ref="G719">_xlfn.IFS(Table2[[#This Row],[Spending Score (1-100)]]&lt;=25,"Low",Table2[[#This Row],[Spending Score (1-100)]]&lt;=50,"Medium",Table2[[#This Row],[Spending Score (1-100)]]&lt;=75,"High",Table2[[#This Row],[Spending Score (1-100)]]&lt;=100,"Very High")</f>
        <v>High</v>
      </c>
      <c r="H719" t="s">
        <v>9</v>
      </c>
      <c r="I719">
        <v>6</v>
      </c>
      <c r="J719" t="str">
        <f>CONCATENATE(Table2[[#This Row],[Work Experience]],"years")</f>
        <v>6years</v>
      </c>
      <c r="K719" t="str">
        <f>CONCATENATE(Table2[[#This Row],[Family Size2]],"members")</f>
        <v>4members</v>
      </c>
      <c r="L719" t="str">
        <f>CONCATENATE(Table2[[#This Row],[Family Size2]],"members")</f>
        <v>4members</v>
      </c>
      <c r="M719">
        <v>4</v>
      </c>
    </row>
    <row r="720" spans="1:13">
      <c r="A720">
        <v>719</v>
      </c>
      <c r="B720" t="s">
        <v>11</v>
      </c>
      <c r="C720">
        <v>15</v>
      </c>
      <c r="D720" t="str" cm="1">
        <f t="array" ref="D720">_xlfn.IFS(Table2[[#This Row],[Age]]&lt;=11,"Gen A",Table2[[#This Row],[Age]]&lt;=27,"Gen Z",Table2[[#This Row],[Age]]&lt;=43,"Millenials",Table2[[#This Row],[Age]]&lt;=59,"Gen X",Table2[[#This Row],[Age]]&lt;=78,"Baby Boomers",Table2[[#This Row],[Age]]&lt;=96,"Silent",Table2[[#This Row],[Age]]&gt;=97,"Greatest")</f>
        <v>Gen Z</v>
      </c>
      <c r="E720" s="1">
        <v>50550</v>
      </c>
      <c r="F720">
        <v>34</v>
      </c>
      <c r="G720" t="str" cm="1">
        <f t="array" ref="G720">_xlfn.IFS(Table2[[#This Row],[Spending Score (1-100)]]&lt;=25,"Low",Table2[[#This Row],[Spending Score (1-100)]]&lt;=50,"Medium",Table2[[#This Row],[Spending Score (1-100)]]&lt;=75,"High",Table2[[#This Row],[Spending Score (1-100)]]&lt;=100,"Very High")</f>
        <v>Medium</v>
      </c>
      <c r="H720" t="s">
        <v>9</v>
      </c>
      <c r="I720">
        <v>9</v>
      </c>
      <c r="J720" t="str">
        <f>CONCATENATE(Table2[[#This Row],[Work Experience]],"years")</f>
        <v>9years</v>
      </c>
      <c r="K720" t="str">
        <f>CONCATENATE(Table2[[#This Row],[Family Size2]],"members")</f>
        <v>7members</v>
      </c>
      <c r="L720" t="str">
        <f>CONCATENATE(Table2[[#This Row],[Family Size2]],"members")</f>
        <v>7members</v>
      </c>
      <c r="M720">
        <v>7</v>
      </c>
    </row>
    <row r="721" spans="1:13">
      <c r="A721">
        <v>720</v>
      </c>
      <c r="B721" t="s">
        <v>11</v>
      </c>
      <c r="C721">
        <v>37</v>
      </c>
      <c r="D721" t="str" cm="1">
        <f t="array" ref="D721">_xlfn.IFS(Table2[[#This Row],[Age]]&lt;=11,"Gen A",Table2[[#This Row],[Age]]&lt;=27,"Gen Z",Table2[[#This Row],[Age]]&lt;=43,"Millenials",Table2[[#This Row],[Age]]&lt;=59,"Gen X",Table2[[#This Row],[Age]]&lt;=78,"Baby Boomers",Table2[[#This Row],[Age]]&lt;=96,"Silent",Table2[[#This Row],[Age]]&gt;=97,"Greatest")</f>
        <v>Millenials</v>
      </c>
      <c r="E721" s="1">
        <v>145648</v>
      </c>
      <c r="F721">
        <v>21</v>
      </c>
      <c r="G721" t="str" cm="1">
        <f t="array" ref="G721">_xlfn.IFS(Table2[[#This Row],[Spending Score (1-100)]]&lt;=25,"Low",Table2[[#This Row],[Spending Score (1-100)]]&lt;=50,"Medium",Table2[[#This Row],[Spending Score (1-100)]]&lt;=75,"High",Table2[[#This Row],[Spending Score (1-100)]]&lt;=100,"Very High")</f>
        <v>Low</v>
      </c>
      <c r="H721" t="s">
        <v>9</v>
      </c>
      <c r="I721">
        <v>7</v>
      </c>
      <c r="J721" t="str">
        <f>CONCATENATE(Table2[[#This Row],[Work Experience]],"years")</f>
        <v>7years</v>
      </c>
      <c r="K721" t="str">
        <f>CONCATENATE(Table2[[#This Row],[Family Size2]],"members")</f>
        <v>6members</v>
      </c>
      <c r="L721" t="str">
        <f>CONCATENATE(Table2[[#This Row],[Family Size2]],"members")</f>
        <v>6members</v>
      </c>
      <c r="M721">
        <v>6</v>
      </c>
    </row>
    <row r="722" spans="1:13">
      <c r="A722">
        <v>721</v>
      </c>
      <c r="B722" t="s">
        <v>8</v>
      </c>
      <c r="C722">
        <v>36</v>
      </c>
      <c r="D722" t="str" cm="1">
        <f t="array" ref="D722">_xlfn.IFS(Table2[[#This Row],[Age]]&lt;=11,"Gen A",Table2[[#This Row],[Age]]&lt;=27,"Gen Z",Table2[[#This Row],[Age]]&lt;=43,"Millenials",Table2[[#This Row],[Age]]&lt;=59,"Gen X",Table2[[#This Row],[Age]]&lt;=78,"Baby Boomers",Table2[[#This Row],[Age]]&lt;=96,"Silent",Table2[[#This Row],[Age]]&gt;=97,"Greatest")</f>
        <v>Millenials</v>
      </c>
      <c r="E722" s="1">
        <v>85737</v>
      </c>
      <c r="F722">
        <v>37</v>
      </c>
      <c r="G722" t="str" cm="1">
        <f t="array" ref="G722">_xlfn.IFS(Table2[[#This Row],[Spending Score (1-100)]]&lt;=25,"Low",Table2[[#This Row],[Spending Score (1-100)]]&lt;=50,"Medium",Table2[[#This Row],[Spending Score (1-100)]]&lt;=75,"High",Table2[[#This Row],[Spending Score (1-100)]]&lt;=100,"Very High")</f>
        <v>Medium</v>
      </c>
      <c r="H722" t="s">
        <v>15</v>
      </c>
      <c r="I722">
        <v>0</v>
      </c>
      <c r="J722" t="str">
        <f>CONCATENATE(Table2[[#This Row],[Work Experience]],"years")</f>
        <v>0years</v>
      </c>
      <c r="K722" t="str">
        <f>CONCATENATE(Table2[[#This Row],[Family Size2]],"members")</f>
        <v>3members</v>
      </c>
      <c r="L722" t="str">
        <f>CONCATENATE(Table2[[#This Row],[Family Size2]],"members")</f>
        <v>3members</v>
      </c>
      <c r="M722">
        <v>3</v>
      </c>
    </row>
    <row r="723" spans="1:13">
      <c r="A723">
        <v>722</v>
      </c>
      <c r="B723" t="s">
        <v>11</v>
      </c>
      <c r="C723">
        <v>27</v>
      </c>
      <c r="D723" t="str" cm="1">
        <f t="array" ref="D723">_xlfn.IFS(Table2[[#This Row],[Age]]&lt;=11,"Gen A",Table2[[#This Row],[Age]]&lt;=27,"Gen Z",Table2[[#This Row],[Age]]&lt;=43,"Millenials",Table2[[#This Row],[Age]]&lt;=59,"Gen X",Table2[[#This Row],[Age]]&lt;=78,"Baby Boomers",Table2[[#This Row],[Age]]&lt;=96,"Silent",Table2[[#This Row],[Age]]&gt;=97,"Greatest")</f>
        <v>Gen Z</v>
      </c>
      <c r="E723" s="1">
        <v>99950</v>
      </c>
      <c r="F723">
        <v>20</v>
      </c>
      <c r="G723" t="str" cm="1">
        <f t="array" ref="G723">_xlfn.IFS(Table2[[#This Row],[Spending Score (1-100)]]&lt;=25,"Low",Table2[[#This Row],[Spending Score (1-100)]]&lt;=50,"Medium",Table2[[#This Row],[Spending Score (1-100)]]&lt;=75,"High",Table2[[#This Row],[Spending Score (1-100)]]&lt;=100,"Very High")</f>
        <v>Low</v>
      </c>
      <c r="H723" t="s">
        <v>13</v>
      </c>
      <c r="I723">
        <v>0</v>
      </c>
      <c r="J723" t="str">
        <f>CONCATENATE(Table2[[#This Row],[Work Experience]],"years")</f>
        <v>0years</v>
      </c>
      <c r="K723" t="str">
        <f>CONCATENATE(Table2[[#This Row],[Family Size2]],"members")</f>
        <v>4members</v>
      </c>
      <c r="L723" t="str">
        <f>CONCATENATE(Table2[[#This Row],[Family Size2]],"members")</f>
        <v>4members</v>
      </c>
      <c r="M723">
        <v>4</v>
      </c>
    </row>
    <row r="724" spans="1:13">
      <c r="A724">
        <v>723</v>
      </c>
      <c r="B724" t="s">
        <v>11</v>
      </c>
      <c r="C724">
        <v>11</v>
      </c>
      <c r="D724" t="str" cm="1">
        <f t="array" ref="D724">_xlfn.IFS(Table2[[#This Row],[Age]]&lt;=11,"Gen A",Table2[[#This Row],[Age]]&lt;=27,"Gen Z",Table2[[#This Row],[Age]]&lt;=43,"Millenials",Table2[[#This Row],[Age]]&lt;=59,"Gen X",Table2[[#This Row],[Age]]&lt;=78,"Baby Boomers",Table2[[#This Row],[Age]]&lt;=96,"Silent",Table2[[#This Row],[Age]]&gt;=97,"Greatest")</f>
        <v>Gen A</v>
      </c>
      <c r="E724" s="1">
        <v>83220</v>
      </c>
      <c r="F724">
        <v>21</v>
      </c>
      <c r="G724" t="str" cm="1">
        <f t="array" ref="G724">_xlfn.IFS(Table2[[#This Row],[Spending Score (1-100)]]&lt;=25,"Low",Table2[[#This Row],[Spending Score (1-100)]]&lt;=50,"Medium",Table2[[#This Row],[Spending Score (1-100)]]&lt;=75,"High",Table2[[#This Row],[Spending Score (1-100)]]&lt;=100,"Very High")</f>
        <v>Low</v>
      </c>
      <c r="H724" t="s">
        <v>10</v>
      </c>
      <c r="I724">
        <v>7</v>
      </c>
      <c r="J724" t="str">
        <f>CONCATENATE(Table2[[#This Row],[Work Experience]],"years")</f>
        <v>7years</v>
      </c>
      <c r="K724" t="str">
        <f>CONCATENATE(Table2[[#This Row],[Family Size2]],"members")</f>
        <v>4members</v>
      </c>
      <c r="L724" t="str">
        <f>CONCATENATE(Table2[[#This Row],[Family Size2]],"members")</f>
        <v>4members</v>
      </c>
      <c r="M724">
        <v>4</v>
      </c>
    </row>
    <row r="725" spans="1:13">
      <c r="A725">
        <v>724</v>
      </c>
      <c r="B725" t="s">
        <v>8</v>
      </c>
      <c r="C725">
        <v>83</v>
      </c>
      <c r="D725" t="str" cm="1">
        <f t="array" ref="D725">_xlfn.IFS(Table2[[#This Row],[Age]]&lt;=11,"Gen A",Table2[[#This Row],[Age]]&lt;=27,"Gen Z",Table2[[#This Row],[Age]]&lt;=43,"Millenials",Table2[[#This Row],[Age]]&lt;=59,"Gen X",Table2[[#This Row],[Age]]&lt;=78,"Baby Boomers",Table2[[#This Row],[Age]]&lt;=96,"Silent",Table2[[#This Row],[Age]]&gt;=97,"Greatest")</f>
        <v>Silent</v>
      </c>
      <c r="E725" s="1">
        <v>73410</v>
      </c>
      <c r="F725">
        <v>50</v>
      </c>
      <c r="G725" t="str" cm="1">
        <f t="array" ref="G725">_xlfn.IFS(Table2[[#This Row],[Spending Score (1-100)]]&lt;=25,"Low",Table2[[#This Row],[Spending Score (1-100)]]&lt;=50,"Medium",Table2[[#This Row],[Spending Score (1-100)]]&lt;=75,"High",Table2[[#This Row],[Spending Score (1-100)]]&lt;=100,"Very High")</f>
        <v>Medium</v>
      </c>
      <c r="H725" t="s">
        <v>13</v>
      </c>
      <c r="I725">
        <v>8</v>
      </c>
      <c r="J725" t="str">
        <f>CONCATENATE(Table2[[#This Row],[Work Experience]],"years")</f>
        <v>8years</v>
      </c>
      <c r="K725" t="str">
        <f>CONCATENATE(Table2[[#This Row],[Family Size2]],"members")</f>
        <v>5members</v>
      </c>
      <c r="L725" t="str">
        <f>CONCATENATE(Table2[[#This Row],[Family Size2]],"members")</f>
        <v>5members</v>
      </c>
      <c r="M725">
        <v>5</v>
      </c>
    </row>
    <row r="726" spans="1:13">
      <c r="A726">
        <v>725</v>
      </c>
      <c r="B726" t="s">
        <v>11</v>
      </c>
      <c r="C726">
        <v>71</v>
      </c>
      <c r="D726" t="str" cm="1">
        <f t="array" ref="D726">_xlfn.IFS(Table2[[#This Row],[Age]]&lt;=11,"Gen A",Table2[[#This Row],[Age]]&lt;=27,"Gen Z",Table2[[#This Row],[Age]]&lt;=43,"Millenials",Table2[[#This Row],[Age]]&lt;=59,"Gen X",Table2[[#This Row],[Age]]&lt;=78,"Baby Boomers",Table2[[#This Row],[Age]]&lt;=96,"Silent",Table2[[#This Row],[Age]]&gt;=97,"Greatest")</f>
        <v>Baby Boomers</v>
      </c>
      <c r="E726" s="1">
        <v>64310</v>
      </c>
      <c r="F726">
        <v>43</v>
      </c>
      <c r="G726" t="str" cm="1">
        <f t="array" ref="G726">_xlfn.IFS(Table2[[#This Row],[Spending Score (1-100)]]&lt;=25,"Low",Table2[[#This Row],[Spending Score (1-100)]]&lt;=50,"Medium",Table2[[#This Row],[Spending Score (1-100)]]&lt;=75,"High",Table2[[#This Row],[Spending Score (1-100)]]&lt;=100,"Very High")</f>
        <v>Medium</v>
      </c>
      <c r="H726" t="s">
        <v>18</v>
      </c>
      <c r="I726">
        <v>2</v>
      </c>
      <c r="J726" t="str">
        <f>CONCATENATE(Table2[[#This Row],[Work Experience]],"years")</f>
        <v>2years</v>
      </c>
      <c r="K726" t="str">
        <f>CONCATENATE(Table2[[#This Row],[Family Size2]],"members")</f>
        <v>1members</v>
      </c>
      <c r="L726" t="str">
        <f>CONCATENATE(Table2[[#This Row],[Family Size2]],"members")</f>
        <v>1members</v>
      </c>
      <c r="M726">
        <v>1</v>
      </c>
    </row>
    <row r="727" spans="1:13">
      <c r="A727">
        <v>726</v>
      </c>
      <c r="B727" t="s">
        <v>11</v>
      </c>
      <c r="C727">
        <v>20</v>
      </c>
      <c r="D727" t="str" cm="1">
        <f t="array" ref="D727">_xlfn.IFS(Table2[[#This Row],[Age]]&lt;=11,"Gen A",Table2[[#This Row],[Age]]&lt;=27,"Gen Z",Table2[[#This Row],[Age]]&lt;=43,"Millenials",Table2[[#This Row],[Age]]&lt;=59,"Gen X",Table2[[#This Row],[Age]]&lt;=78,"Baby Boomers",Table2[[#This Row],[Age]]&lt;=96,"Silent",Table2[[#This Row],[Age]]&gt;=97,"Greatest")</f>
        <v>Gen Z</v>
      </c>
      <c r="E727" s="1">
        <v>59844</v>
      </c>
      <c r="F727">
        <v>79</v>
      </c>
      <c r="G727" t="str" cm="1">
        <f t="array" ref="G727">_xlfn.IFS(Table2[[#This Row],[Spending Score (1-100)]]&lt;=25,"Low",Table2[[#This Row],[Spending Score (1-100)]]&lt;=50,"Medium",Table2[[#This Row],[Spending Score (1-100)]]&lt;=75,"High",Table2[[#This Row],[Spending Score (1-100)]]&lt;=100,"Very High")</f>
        <v>Very High</v>
      </c>
      <c r="H727" t="s">
        <v>16</v>
      </c>
      <c r="I727">
        <v>0</v>
      </c>
      <c r="J727" t="str">
        <f>CONCATENATE(Table2[[#This Row],[Work Experience]],"years")</f>
        <v>0years</v>
      </c>
      <c r="K727" t="str">
        <f>CONCATENATE(Table2[[#This Row],[Family Size2]],"members")</f>
        <v>1members</v>
      </c>
      <c r="L727" t="str">
        <f>CONCATENATE(Table2[[#This Row],[Family Size2]],"members")</f>
        <v>1members</v>
      </c>
      <c r="M727">
        <v>1</v>
      </c>
    </row>
    <row r="728" spans="1:13">
      <c r="A728">
        <v>727</v>
      </c>
      <c r="B728" t="s">
        <v>8</v>
      </c>
      <c r="C728">
        <v>3</v>
      </c>
      <c r="D728" t="str" cm="1">
        <f t="array" ref="D728">_xlfn.IFS(Table2[[#This Row],[Age]]&lt;=11,"Gen A",Table2[[#This Row],[Age]]&lt;=27,"Gen Z",Table2[[#This Row],[Age]]&lt;=43,"Millenials",Table2[[#This Row],[Age]]&lt;=59,"Gen X",Table2[[#This Row],[Age]]&lt;=78,"Baby Boomers",Table2[[#This Row],[Age]]&lt;=96,"Silent",Table2[[#This Row],[Age]]&gt;=97,"Greatest")</f>
        <v>Gen A</v>
      </c>
      <c r="E728" s="1">
        <v>67787</v>
      </c>
      <c r="F728">
        <v>1</v>
      </c>
      <c r="G728" t="str" cm="1">
        <f t="array" ref="G728">_xlfn.IFS(Table2[[#This Row],[Spending Score (1-100)]]&lt;=25,"Low",Table2[[#This Row],[Spending Score (1-100)]]&lt;=50,"Medium",Table2[[#This Row],[Spending Score (1-100)]]&lt;=75,"High",Table2[[#This Row],[Spending Score (1-100)]]&lt;=100,"Very High")</f>
        <v>Low</v>
      </c>
      <c r="H728" t="s">
        <v>15</v>
      </c>
      <c r="I728">
        <v>1</v>
      </c>
      <c r="J728" t="str">
        <f>CONCATENATE(Table2[[#This Row],[Work Experience]],"years")</f>
        <v>1years</v>
      </c>
      <c r="K728" t="str">
        <f>CONCATENATE(Table2[[#This Row],[Family Size2]],"members")</f>
        <v>6members</v>
      </c>
      <c r="L728" t="str">
        <f>CONCATENATE(Table2[[#This Row],[Family Size2]],"members")</f>
        <v>6members</v>
      </c>
      <c r="M728">
        <v>6</v>
      </c>
    </row>
    <row r="729" spans="1:13">
      <c r="A729">
        <v>728</v>
      </c>
      <c r="B729" t="s">
        <v>8</v>
      </c>
      <c r="C729">
        <v>52</v>
      </c>
      <c r="D729" t="str" cm="1">
        <f t="array" ref="D729">_xlfn.IFS(Table2[[#This Row],[Age]]&lt;=11,"Gen A",Table2[[#This Row],[Age]]&lt;=27,"Gen Z",Table2[[#This Row],[Age]]&lt;=43,"Millenials",Table2[[#This Row],[Age]]&lt;=59,"Gen X",Table2[[#This Row],[Age]]&lt;=78,"Baby Boomers",Table2[[#This Row],[Age]]&lt;=96,"Silent",Table2[[#This Row],[Age]]&gt;=97,"Greatest")</f>
        <v>Gen X</v>
      </c>
      <c r="E729" s="1">
        <v>172841</v>
      </c>
      <c r="F729">
        <v>4</v>
      </c>
      <c r="G729" t="str" cm="1">
        <f t="array" ref="G729">_xlfn.IFS(Table2[[#This Row],[Spending Score (1-100)]]&lt;=25,"Low",Table2[[#This Row],[Spending Score (1-100)]]&lt;=50,"Medium",Table2[[#This Row],[Spending Score (1-100)]]&lt;=75,"High",Table2[[#This Row],[Spending Score (1-100)]]&lt;=100,"Very High")</f>
        <v>Low</v>
      </c>
      <c r="H729" t="s">
        <v>10</v>
      </c>
      <c r="I729">
        <v>0</v>
      </c>
      <c r="J729" t="str">
        <f>CONCATENATE(Table2[[#This Row],[Work Experience]],"years")</f>
        <v>0years</v>
      </c>
      <c r="K729" t="str">
        <f>CONCATENATE(Table2[[#This Row],[Family Size2]],"members")</f>
        <v>1members</v>
      </c>
      <c r="L729" t="str">
        <f>CONCATENATE(Table2[[#This Row],[Family Size2]],"members")</f>
        <v>1members</v>
      </c>
      <c r="M729">
        <v>1</v>
      </c>
    </row>
    <row r="730" spans="1:13">
      <c r="A730">
        <v>729</v>
      </c>
      <c r="B730" t="s">
        <v>8</v>
      </c>
      <c r="C730">
        <v>75</v>
      </c>
      <c r="D730" t="str" cm="1">
        <f t="array" ref="D730">_xlfn.IFS(Table2[[#This Row],[Age]]&lt;=11,"Gen A",Table2[[#This Row],[Age]]&lt;=27,"Gen Z",Table2[[#This Row],[Age]]&lt;=43,"Millenials",Table2[[#This Row],[Age]]&lt;=59,"Gen X",Table2[[#This Row],[Age]]&lt;=78,"Baby Boomers",Table2[[#This Row],[Age]]&lt;=96,"Silent",Table2[[#This Row],[Age]]&gt;=97,"Greatest")</f>
        <v>Baby Boomers</v>
      </c>
      <c r="E730" s="1">
        <v>145528</v>
      </c>
      <c r="F730">
        <v>61</v>
      </c>
      <c r="G730" t="str" cm="1">
        <f t="array" ref="G730">_xlfn.IFS(Table2[[#This Row],[Spending Score (1-100)]]&lt;=25,"Low",Table2[[#This Row],[Spending Score (1-100)]]&lt;=50,"Medium",Table2[[#This Row],[Spending Score (1-100)]]&lt;=75,"High",Table2[[#This Row],[Spending Score (1-100)]]&lt;=100,"Very High")</f>
        <v>High</v>
      </c>
      <c r="H730" t="s">
        <v>9</v>
      </c>
      <c r="I730">
        <v>1</v>
      </c>
      <c r="J730" t="str">
        <f>CONCATENATE(Table2[[#This Row],[Work Experience]],"years")</f>
        <v>1years</v>
      </c>
      <c r="K730" t="str">
        <f>CONCATENATE(Table2[[#This Row],[Family Size2]],"members")</f>
        <v>2members</v>
      </c>
      <c r="L730" t="str">
        <f>CONCATENATE(Table2[[#This Row],[Family Size2]],"members")</f>
        <v>2members</v>
      </c>
      <c r="M730">
        <v>2</v>
      </c>
    </row>
    <row r="731" spans="1:13">
      <c r="A731">
        <v>730</v>
      </c>
      <c r="B731" t="s">
        <v>8</v>
      </c>
      <c r="C731">
        <v>36</v>
      </c>
      <c r="D731" t="str" cm="1">
        <f t="array" ref="D731">_xlfn.IFS(Table2[[#This Row],[Age]]&lt;=11,"Gen A",Table2[[#This Row],[Age]]&lt;=27,"Gen Z",Table2[[#This Row],[Age]]&lt;=43,"Millenials",Table2[[#This Row],[Age]]&lt;=59,"Gen X",Table2[[#This Row],[Age]]&lt;=78,"Baby Boomers",Table2[[#This Row],[Age]]&lt;=96,"Silent",Table2[[#This Row],[Age]]&gt;=97,"Greatest")</f>
        <v>Millenials</v>
      </c>
      <c r="E731" s="1">
        <v>173807</v>
      </c>
      <c r="F731">
        <v>42</v>
      </c>
      <c r="G731" t="str" cm="1">
        <f t="array" ref="G731">_xlfn.IFS(Table2[[#This Row],[Spending Score (1-100)]]&lt;=25,"Low",Table2[[#This Row],[Spending Score (1-100)]]&lt;=50,"Medium",Table2[[#This Row],[Spending Score (1-100)]]&lt;=75,"High",Table2[[#This Row],[Spending Score (1-100)]]&lt;=100,"Very High")</f>
        <v>Medium</v>
      </c>
      <c r="H731" t="s">
        <v>14</v>
      </c>
      <c r="I731">
        <v>0</v>
      </c>
      <c r="J731" t="str">
        <f>CONCATENATE(Table2[[#This Row],[Work Experience]],"years")</f>
        <v>0years</v>
      </c>
      <c r="K731" t="str">
        <f>CONCATENATE(Table2[[#This Row],[Family Size2]],"members")</f>
        <v>2members</v>
      </c>
      <c r="L731" t="str">
        <f>CONCATENATE(Table2[[#This Row],[Family Size2]],"members")</f>
        <v>2members</v>
      </c>
      <c r="M731">
        <v>2</v>
      </c>
    </row>
    <row r="732" spans="1:13">
      <c r="A732">
        <v>731</v>
      </c>
      <c r="B732" t="s">
        <v>8</v>
      </c>
      <c r="C732">
        <v>60</v>
      </c>
      <c r="D732" t="str" cm="1">
        <f t="array" ref="D732">_xlfn.IFS(Table2[[#This Row],[Age]]&lt;=11,"Gen A",Table2[[#This Row],[Age]]&lt;=27,"Gen Z",Table2[[#This Row],[Age]]&lt;=43,"Millenials",Table2[[#This Row],[Age]]&lt;=59,"Gen X",Table2[[#This Row],[Age]]&lt;=78,"Baby Boomers",Table2[[#This Row],[Age]]&lt;=96,"Silent",Table2[[#This Row],[Age]]&gt;=97,"Greatest")</f>
        <v>Baby Boomers</v>
      </c>
      <c r="E732" s="1">
        <v>185794</v>
      </c>
      <c r="F732">
        <v>69</v>
      </c>
      <c r="G732" t="str" cm="1">
        <f t="array" ref="G732">_xlfn.IFS(Table2[[#This Row],[Spending Score (1-100)]]&lt;=25,"Low",Table2[[#This Row],[Spending Score (1-100)]]&lt;=50,"Medium",Table2[[#This Row],[Spending Score (1-100)]]&lt;=75,"High",Table2[[#This Row],[Spending Score (1-100)]]&lt;=100,"Very High")</f>
        <v>High</v>
      </c>
      <c r="H732" t="s">
        <v>13</v>
      </c>
      <c r="I732">
        <v>7</v>
      </c>
      <c r="J732" t="str">
        <f>CONCATENATE(Table2[[#This Row],[Work Experience]],"years")</f>
        <v>7years</v>
      </c>
      <c r="K732" t="str">
        <f>CONCATENATE(Table2[[#This Row],[Family Size2]],"members")</f>
        <v>1members</v>
      </c>
      <c r="L732" t="str">
        <f>CONCATENATE(Table2[[#This Row],[Family Size2]],"members")</f>
        <v>1members</v>
      </c>
      <c r="M732">
        <v>1</v>
      </c>
    </row>
    <row r="733" spans="1:13">
      <c r="A733">
        <v>732</v>
      </c>
      <c r="B733" t="s">
        <v>8</v>
      </c>
      <c r="C733">
        <v>8</v>
      </c>
      <c r="D733" t="str" cm="1">
        <f t="array" ref="D733">_xlfn.IFS(Table2[[#This Row],[Age]]&lt;=11,"Gen A",Table2[[#This Row],[Age]]&lt;=27,"Gen Z",Table2[[#This Row],[Age]]&lt;=43,"Millenials",Table2[[#This Row],[Age]]&lt;=59,"Gen X",Table2[[#This Row],[Age]]&lt;=78,"Baby Boomers",Table2[[#This Row],[Age]]&lt;=96,"Silent",Table2[[#This Row],[Age]]&gt;=97,"Greatest")</f>
        <v>Gen A</v>
      </c>
      <c r="E733" s="1">
        <v>119780</v>
      </c>
      <c r="F733">
        <v>71</v>
      </c>
      <c r="G733" t="str" cm="1">
        <f t="array" ref="G733">_xlfn.IFS(Table2[[#This Row],[Spending Score (1-100)]]&lt;=25,"Low",Table2[[#This Row],[Spending Score (1-100)]]&lt;=50,"Medium",Table2[[#This Row],[Spending Score (1-100)]]&lt;=75,"High",Table2[[#This Row],[Spending Score (1-100)]]&lt;=100,"Very High")</f>
        <v>High</v>
      </c>
      <c r="H733" t="s">
        <v>9</v>
      </c>
      <c r="I733">
        <v>1</v>
      </c>
      <c r="J733" t="str">
        <f>CONCATENATE(Table2[[#This Row],[Work Experience]],"years")</f>
        <v>1years</v>
      </c>
      <c r="K733" t="str">
        <f>CONCATENATE(Table2[[#This Row],[Family Size2]],"members")</f>
        <v>3members</v>
      </c>
      <c r="L733" t="str">
        <f>CONCATENATE(Table2[[#This Row],[Family Size2]],"members")</f>
        <v>3members</v>
      </c>
      <c r="M733">
        <v>3</v>
      </c>
    </row>
    <row r="734" spans="1:13">
      <c r="A734">
        <v>733</v>
      </c>
      <c r="B734" t="s">
        <v>11</v>
      </c>
      <c r="C734">
        <v>9</v>
      </c>
      <c r="D734" t="str" cm="1">
        <f t="array" ref="D734">_xlfn.IFS(Table2[[#This Row],[Age]]&lt;=11,"Gen A",Table2[[#This Row],[Age]]&lt;=27,"Gen Z",Table2[[#This Row],[Age]]&lt;=43,"Millenials",Table2[[#This Row],[Age]]&lt;=59,"Gen X",Table2[[#This Row],[Age]]&lt;=78,"Baby Boomers",Table2[[#This Row],[Age]]&lt;=96,"Silent",Table2[[#This Row],[Age]]&gt;=97,"Greatest")</f>
        <v>Gen A</v>
      </c>
      <c r="E734" s="1">
        <v>158596</v>
      </c>
      <c r="F734">
        <v>86</v>
      </c>
      <c r="G734" t="str" cm="1">
        <f t="array" ref="G734">_xlfn.IFS(Table2[[#This Row],[Spending Score (1-100)]]&lt;=25,"Low",Table2[[#This Row],[Spending Score (1-100)]]&lt;=50,"Medium",Table2[[#This Row],[Spending Score (1-100)]]&lt;=75,"High",Table2[[#This Row],[Spending Score (1-100)]]&lt;=100,"Very High")</f>
        <v>Very High</v>
      </c>
      <c r="H734" t="s">
        <v>14</v>
      </c>
      <c r="I734">
        <v>1</v>
      </c>
      <c r="J734" t="str">
        <f>CONCATENATE(Table2[[#This Row],[Work Experience]],"years")</f>
        <v>1years</v>
      </c>
      <c r="K734" t="str">
        <f>CONCATENATE(Table2[[#This Row],[Family Size2]],"members")</f>
        <v>2members</v>
      </c>
      <c r="L734" t="str">
        <f>CONCATENATE(Table2[[#This Row],[Family Size2]],"members")</f>
        <v>2members</v>
      </c>
      <c r="M734">
        <v>2</v>
      </c>
    </row>
    <row r="735" spans="1:13">
      <c r="A735">
        <v>734</v>
      </c>
      <c r="B735" t="s">
        <v>11</v>
      </c>
      <c r="C735">
        <v>41</v>
      </c>
      <c r="D735" t="str" cm="1">
        <f t="array" ref="D735">_xlfn.IFS(Table2[[#This Row],[Age]]&lt;=11,"Gen A",Table2[[#This Row],[Age]]&lt;=27,"Gen Z",Table2[[#This Row],[Age]]&lt;=43,"Millenials",Table2[[#This Row],[Age]]&lt;=59,"Gen X",Table2[[#This Row],[Age]]&lt;=78,"Baby Boomers",Table2[[#This Row],[Age]]&lt;=96,"Silent",Table2[[#This Row],[Age]]&gt;=97,"Greatest")</f>
        <v>Millenials</v>
      </c>
      <c r="E735" s="1">
        <v>118122</v>
      </c>
      <c r="F735">
        <v>52</v>
      </c>
      <c r="G735" t="str" cm="1">
        <f t="array" ref="G735">_xlfn.IFS(Table2[[#This Row],[Spending Score (1-100)]]&lt;=25,"Low",Table2[[#This Row],[Spending Score (1-100)]]&lt;=50,"Medium",Table2[[#This Row],[Spending Score (1-100)]]&lt;=75,"High",Table2[[#This Row],[Spending Score (1-100)]]&lt;=100,"Very High")</f>
        <v>High</v>
      </c>
      <c r="H735" t="s">
        <v>13</v>
      </c>
      <c r="I735">
        <v>0</v>
      </c>
      <c r="J735" t="str">
        <f>CONCATENATE(Table2[[#This Row],[Work Experience]],"years")</f>
        <v>0years</v>
      </c>
      <c r="K735" t="str">
        <f>CONCATENATE(Table2[[#This Row],[Family Size2]],"members")</f>
        <v>6members</v>
      </c>
      <c r="L735" t="str">
        <f>CONCATENATE(Table2[[#This Row],[Family Size2]],"members")</f>
        <v>6members</v>
      </c>
      <c r="M735">
        <v>6</v>
      </c>
    </row>
    <row r="736" spans="1:13">
      <c r="A736">
        <v>735</v>
      </c>
      <c r="B736" t="s">
        <v>8</v>
      </c>
      <c r="C736">
        <v>38</v>
      </c>
      <c r="D736" t="str" cm="1">
        <f t="array" ref="D736">_xlfn.IFS(Table2[[#This Row],[Age]]&lt;=11,"Gen A",Table2[[#This Row],[Age]]&lt;=27,"Gen Z",Table2[[#This Row],[Age]]&lt;=43,"Millenials",Table2[[#This Row],[Age]]&lt;=59,"Gen X",Table2[[#This Row],[Age]]&lt;=78,"Baby Boomers",Table2[[#This Row],[Age]]&lt;=96,"Silent",Table2[[#This Row],[Age]]&gt;=97,"Greatest")</f>
        <v>Millenials</v>
      </c>
      <c r="E736" s="1">
        <v>99964</v>
      </c>
      <c r="F736">
        <v>11</v>
      </c>
      <c r="G736" t="str" cm="1">
        <f t="array" ref="G736">_xlfn.IFS(Table2[[#This Row],[Spending Score (1-100)]]&lt;=25,"Low",Table2[[#This Row],[Spending Score (1-100)]]&lt;=50,"Medium",Table2[[#This Row],[Spending Score (1-100)]]&lt;=75,"High",Table2[[#This Row],[Spending Score (1-100)]]&lt;=100,"Very High")</f>
        <v>Low</v>
      </c>
      <c r="H736" t="s">
        <v>9</v>
      </c>
      <c r="I736">
        <v>7</v>
      </c>
      <c r="J736" t="str">
        <f>CONCATENATE(Table2[[#This Row],[Work Experience]],"years")</f>
        <v>7years</v>
      </c>
      <c r="K736" t="str">
        <f>CONCATENATE(Table2[[#This Row],[Family Size2]],"members")</f>
        <v>4members</v>
      </c>
      <c r="L736" t="str">
        <f>CONCATENATE(Table2[[#This Row],[Family Size2]],"members")</f>
        <v>4members</v>
      </c>
      <c r="M736">
        <v>4</v>
      </c>
    </row>
    <row r="737" spans="1:13">
      <c r="A737">
        <v>736</v>
      </c>
      <c r="B737" t="s">
        <v>11</v>
      </c>
      <c r="C737">
        <v>69</v>
      </c>
      <c r="D737" t="str" cm="1">
        <f t="array" ref="D737">_xlfn.IFS(Table2[[#This Row],[Age]]&lt;=11,"Gen A",Table2[[#This Row],[Age]]&lt;=27,"Gen Z",Table2[[#This Row],[Age]]&lt;=43,"Millenials",Table2[[#This Row],[Age]]&lt;=59,"Gen X",Table2[[#This Row],[Age]]&lt;=78,"Baby Boomers",Table2[[#This Row],[Age]]&lt;=96,"Silent",Table2[[#This Row],[Age]]&gt;=97,"Greatest")</f>
        <v>Baby Boomers</v>
      </c>
      <c r="E737" s="1">
        <v>120752</v>
      </c>
      <c r="F737">
        <v>27</v>
      </c>
      <c r="G737" t="str" cm="1">
        <f t="array" ref="G737">_xlfn.IFS(Table2[[#This Row],[Spending Score (1-100)]]&lt;=25,"Low",Table2[[#This Row],[Spending Score (1-100)]]&lt;=50,"Medium",Table2[[#This Row],[Spending Score (1-100)]]&lt;=75,"High",Table2[[#This Row],[Spending Score (1-100)]]&lt;=100,"Very High")</f>
        <v>Medium</v>
      </c>
      <c r="H737" t="s">
        <v>15</v>
      </c>
      <c r="I737">
        <v>1</v>
      </c>
      <c r="J737" t="str">
        <f>CONCATENATE(Table2[[#This Row],[Work Experience]],"years")</f>
        <v>1years</v>
      </c>
      <c r="K737" t="str">
        <f>CONCATENATE(Table2[[#This Row],[Family Size2]],"members")</f>
        <v>6members</v>
      </c>
      <c r="L737" t="str">
        <f>CONCATENATE(Table2[[#This Row],[Family Size2]],"members")</f>
        <v>6members</v>
      </c>
      <c r="M737">
        <v>6</v>
      </c>
    </row>
    <row r="738" spans="1:13">
      <c r="A738">
        <v>737</v>
      </c>
      <c r="B738" t="s">
        <v>11</v>
      </c>
      <c r="C738">
        <v>33</v>
      </c>
      <c r="D738" t="str" cm="1">
        <f t="array" ref="D738">_xlfn.IFS(Table2[[#This Row],[Age]]&lt;=11,"Gen A",Table2[[#This Row],[Age]]&lt;=27,"Gen Z",Table2[[#This Row],[Age]]&lt;=43,"Millenials",Table2[[#This Row],[Age]]&lt;=59,"Gen X",Table2[[#This Row],[Age]]&lt;=78,"Baby Boomers",Table2[[#This Row],[Age]]&lt;=96,"Silent",Table2[[#This Row],[Age]]&gt;=97,"Greatest")</f>
        <v>Millenials</v>
      </c>
      <c r="E738" s="1">
        <v>189630</v>
      </c>
      <c r="F738">
        <v>53</v>
      </c>
      <c r="G738" t="str" cm="1">
        <f t="array" ref="G738">_xlfn.IFS(Table2[[#This Row],[Spending Score (1-100)]]&lt;=25,"Low",Table2[[#This Row],[Spending Score (1-100)]]&lt;=50,"Medium",Table2[[#This Row],[Spending Score (1-100)]]&lt;=75,"High",Table2[[#This Row],[Spending Score (1-100)]]&lt;=100,"Very High")</f>
        <v>High</v>
      </c>
      <c r="H738" t="s">
        <v>15</v>
      </c>
      <c r="I738">
        <v>5</v>
      </c>
      <c r="J738" t="str">
        <f>CONCATENATE(Table2[[#This Row],[Work Experience]],"years")</f>
        <v>5years</v>
      </c>
      <c r="K738" t="str">
        <f>CONCATENATE(Table2[[#This Row],[Family Size2]],"members")</f>
        <v>5members</v>
      </c>
      <c r="L738" t="str">
        <f>CONCATENATE(Table2[[#This Row],[Family Size2]],"members")</f>
        <v>5members</v>
      </c>
      <c r="M738">
        <v>5</v>
      </c>
    </row>
    <row r="739" spans="1:13">
      <c r="A739">
        <v>738</v>
      </c>
      <c r="B739" t="s">
        <v>8</v>
      </c>
      <c r="C739">
        <v>64</v>
      </c>
      <c r="D739" t="str" cm="1">
        <f t="array" ref="D739">_xlfn.IFS(Table2[[#This Row],[Age]]&lt;=11,"Gen A",Table2[[#This Row],[Age]]&lt;=27,"Gen Z",Table2[[#This Row],[Age]]&lt;=43,"Millenials",Table2[[#This Row],[Age]]&lt;=59,"Gen X",Table2[[#This Row],[Age]]&lt;=78,"Baby Boomers",Table2[[#This Row],[Age]]&lt;=96,"Silent",Table2[[#This Row],[Age]]&gt;=97,"Greatest")</f>
        <v>Baby Boomers</v>
      </c>
      <c r="E739" s="1">
        <v>125510</v>
      </c>
      <c r="F739">
        <v>6</v>
      </c>
      <c r="G739" t="str" cm="1">
        <f t="array" ref="G739">_xlfn.IFS(Table2[[#This Row],[Spending Score (1-100)]]&lt;=25,"Low",Table2[[#This Row],[Spending Score (1-100)]]&lt;=50,"Medium",Table2[[#This Row],[Spending Score (1-100)]]&lt;=75,"High",Table2[[#This Row],[Spending Score (1-100)]]&lt;=100,"Very High")</f>
        <v>Low</v>
      </c>
      <c r="H739" t="s">
        <v>9</v>
      </c>
      <c r="I739">
        <v>3</v>
      </c>
      <c r="J739" t="str">
        <f>CONCATENATE(Table2[[#This Row],[Work Experience]],"years")</f>
        <v>3years</v>
      </c>
      <c r="K739" t="str">
        <f>CONCATENATE(Table2[[#This Row],[Family Size2]],"members")</f>
        <v>3members</v>
      </c>
      <c r="L739" t="str">
        <f>CONCATENATE(Table2[[#This Row],[Family Size2]],"members")</f>
        <v>3members</v>
      </c>
      <c r="M739">
        <v>3</v>
      </c>
    </row>
    <row r="740" spans="1:13">
      <c r="A740">
        <v>739</v>
      </c>
      <c r="B740" t="s">
        <v>8</v>
      </c>
      <c r="C740">
        <v>19</v>
      </c>
      <c r="D740" t="str" cm="1">
        <f t="array" ref="D740">_xlfn.IFS(Table2[[#This Row],[Age]]&lt;=11,"Gen A",Table2[[#This Row],[Age]]&lt;=27,"Gen Z",Table2[[#This Row],[Age]]&lt;=43,"Millenials",Table2[[#This Row],[Age]]&lt;=59,"Gen X",Table2[[#This Row],[Age]]&lt;=78,"Baby Boomers",Table2[[#This Row],[Age]]&lt;=96,"Silent",Table2[[#This Row],[Age]]&gt;=97,"Greatest")</f>
        <v>Gen Z</v>
      </c>
      <c r="E740" s="1">
        <v>101799</v>
      </c>
      <c r="F740">
        <v>49</v>
      </c>
      <c r="G740" t="str" cm="1">
        <f t="array" ref="G740">_xlfn.IFS(Table2[[#This Row],[Spending Score (1-100)]]&lt;=25,"Low",Table2[[#This Row],[Spending Score (1-100)]]&lt;=50,"Medium",Table2[[#This Row],[Spending Score (1-100)]]&lt;=75,"High",Table2[[#This Row],[Spending Score (1-100)]]&lt;=100,"Very High")</f>
        <v>Medium</v>
      </c>
      <c r="H740" t="s">
        <v>10</v>
      </c>
      <c r="I740">
        <v>1</v>
      </c>
      <c r="J740" t="str">
        <f>CONCATENATE(Table2[[#This Row],[Work Experience]],"years")</f>
        <v>1years</v>
      </c>
      <c r="K740" t="str">
        <f>CONCATENATE(Table2[[#This Row],[Family Size2]],"members")</f>
        <v>1members</v>
      </c>
      <c r="L740" t="str">
        <f>CONCATENATE(Table2[[#This Row],[Family Size2]],"members")</f>
        <v>1members</v>
      </c>
      <c r="M740">
        <v>1</v>
      </c>
    </row>
    <row r="741" spans="1:13">
      <c r="A741">
        <v>740</v>
      </c>
      <c r="B741" t="s">
        <v>11</v>
      </c>
      <c r="C741">
        <v>88</v>
      </c>
      <c r="D741" t="str" cm="1">
        <f t="array" ref="D741">_xlfn.IFS(Table2[[#This Row],[Age]]&lt;=11,"Gen A",Table2[[#This Row],[Age]]&lt;=27,"Gen Z",Table2[[#This Row],[Age]]&lt;=43,"Millenials",Table2[[#This Row],[Age]]&lt;=59,"Gen X",Table2[[#This Row],[Age]]&lt;=78,"Baby Boomers",Table2[[#This Row],[Age]]&lt;=96,"Silent",Table2[[#This Row],[Age]]&gt;=97,"Greatest")</f>
        <v>Silent</v>
      </c>
      <c r="E741" s="1">
        <v>92914</v>
      </c>
      <c r="F741">
        <v>74</v>
      </c>
      <c r="G741" t="str" cm="1">
        <f t="array" ref="G741">_xlfn.IFS(Table2[[#This Row],[Spending Score (1-100)]]&lt;=25,"Low",Table2[[#This Row],[Spending Score (1-100)]]&lt;=50,"Medium",Table2[[#This Row],[Spending Score (1-100)]]&lt;=75,"High",Table2[[#This Row],[Spending Score (1-100)]]&lt;=100,"Very High")</f>
        <v>High</v>
      </c>
      <c r="H741" t="s">
        <v>14</v>
      </c>
      <c r="I741">
        <v>0</v>
      </c>
      <c r="J741" t="str">
        <f>CONCATENATE(Table2[[#This Row],[Work Experience]],"years")</f>
        <v>0years</v>
      </c>
      <c r="K741" t="str">
        <f>CONCATENATE(Table2[[#This Row],[Family Size2]],"members")</f>
        <v>3members</v>
      </c>
      <c r="L741" t="str">
        <f>CONCATENATE(Table2[[#This Row],[Family Size2]],"members")</f>
        <v>3members</v>
      </c>
      <c r="M741">
        <v>3</v>
      </c>
    </row>
    <row r="742" spans="1:13">
      <c r="A742">
        <v>741</v>
      </c>
      <c r="B742" t="s">
        <v>11</v>
      </c>
      <c r="C742">
        <v>91</v>
      </c>
      <c r="D742" t="str" cm="1">
        <f t="array" ref="D742">_xlfn.IFS(Table2[[#This Row],[Age]]&lt;=11,"Gen A",Table2[[#This Row],[Age]]&lt;=27,"Gen Z",Table2[[#This Row],[Age]]&lt;=43,"Millenials",Table2[[#This Row],[Age]]&lt;=59,"Gen X",Table2[[#This Row],[Age]]&lt;=78,"Baby Boomers",Table2[[#This Row],[Age]]&lt;=96,"Silent",Table2[[#This Row],[Age]]&gt;=97,"Greatest")</f>
        <v>Silent</v>
      </c>
      <c r="E742" s="1">
        <v>162465</v>
      </c>
      <c r="F742">
        <v>59</v>
      </c>
      <c r="G742" t="str" cm="1">
        <f t="array" ref="G742">_xlfn.IFS(Table2[[#This Row],[Spending Score (1-100)]]&lt;=25,"Low",Table2[[#This Row],[Spending Score (1-100)]]&lt;=50,"Medium",Table2[[#This Row],[Spending Score (1-100)]]&lt;=75,"High",Table2[[#This Row],[Spending Score (1-100)]]&lt;=100,"Very High")</f>
        <v>High</v>
      </c>
      <c r="H742" t="s">
        <v>10</v>
      </c>
      <c r="I742">
        <v>9</v>
      </c>
      <c r="J742" t="str">
        <f>CONCATENATE(Table2[[#This Row],[Work Experience]],"years")</f>
        <v>9years</v>
      </c>
      <c r="K742" t="str">
        <f>CONCATENATE(Table2[[#This Row],[Family Size2]],"members")</f>
        <v>3members</v>
      </c>
      <c r="L742" t="str">
        <f>CONCATENATE(Table2[[#This Row],[Family Size2]],"members")</f>
        <v>3members</v>
      </c>
      <c r="M742">
        <v>3</v>
      </c>
    </row>
    <row r="743" spans="1:13">
      <c r="A743">
        <v>742</v>
      </c>
      <c r="B743" t="s">
        <v>8</v>
      </c>
      <c r="C743">
        <v>84</v>
      </c>
      <c r="D743" t="str" cm="1">
        <f t="array" ref="D743">_xlfn.IFS(Table2[[#This Row],[Age]]&lt;=11,"Gen A",Table2[[#This Row],[Age]]&lt;=27,"Gen Z",Table2[[#This Row],[Age]]&lt;=43,"Millenials",Table2[[#This Row],[Age]]&lt;=59,"Gen X",Table2[[#This Row],[Age]]&lt;=78,"Baby Boomers",Table2[[#This Row],[Age]]&lt;=96,"Silent",Table2[[#This Row],[Age]]&gt;=97,"Greatest")</f>
        <v>Silent</v>
      </c>
      <c r="E743" s="1">
        <v>163818</v>
      </c>
      <c r="F743">
        <v>27</v>
      </c>
      <c r="G743" t="str" cm="1">
        <f t="array" ref="G743">_xlfn.IFS(Table2[[#This Row],[Spending Score (1-100)]]&lt;=25,"Low",Table2[[#This Row],[Spending Score (1-100)]]&lt;=50,"Medium",Table2[[#This Row],[Spending Score (1-100)]]&lt;=75,"High",Table2[[#This Row],[Spending Score (1-100)]]&lt;=100,"Very High")</f>
        <v>Medium</v>
      </c>
      <c r="H743" t="s">
        <v>10</v>
      </c>
      <c r="I743">
        <v>2</v>
      </c>
      <c r="J743" t="str">
        <f>CONCATENATE(Table2[[#This Row],[Work Experience]],"years")</f>
        <v>2years</v>
      </c>
      <c r="K743" t="str">
        <f>CONCATENATE(Table2[[#This Row],[Family Size2]],"members")</f>
        <v>1members</v>
      </c>
      <c r="L743" t="str">
        <f>CONCATENATE(Table2[[#This Row],[Family Size2]],"members")</f>
        <v>1members</v>
      </c>
      <c r="M743">
        <v>1</v>
      </c>
    </row>
    <row r="744" spans="1:13">
      <c r="A744">
        <v>743</v>
      </c>
      <c r="B744" t="s">
        <v>11</v>
      </c>
      <c r="C744">
        <v>43</v>
      </c>
      <c r="D744" t="str" cm="1">
        <f t="array" ref="D744">_xlfn.IFS(Table2[[#This Row],[Age]]&lt;=11,"Gen A",Table2[[#This Row],[Age]]&lt;=27,"Gen Z",Table2[[#This Row],[Age]]&lt;=43,"Millenials",Table2[[#This Row],[Age]]&lt;=59,"Gen X",Table2[[#This Row],[Age]]&lt;=78,"Baby Boomers",Table2[[#This Row],[Age]]&lt;=96,"Silent",Table2[[#This Row],[Age]]&gt;=97,"Greatest")</f>
        <v>Millenials</v>
      </c>
      <c r="E744" s="1">
        <v>53832</v>
      </c>
      <c r="F744">
        <v>56</v>
      </c>
      <c r="G744" t="str" cm="1">
        <f t="array" ref="G744">_xlfn.IFS(Table2[[#This Row],[Spending Score (1-100)]]&lt;=25,"Low",Table2[[#This Row],[Spending Score (1-100)]]&lt;=50,"Medium",Table2[[#This Row],[Spending Score (1-100)]]&lt;=75,"High",Table2[[#This Row],[Spending Score (1-100)]]&lt;=100,"Very High")</f>
        <v>High</v>
      </c>
      <c r="H744" t="s">
        <v>13</v>
      </c>
      <c r="I744">
        <v>4</v>
      </c>
      <c r="J744" t="str">
        <f>CONCATENATE(Table2[[#This Row],[Work Experience]],"years")</f>
        <v>4years</v>
      </c>
      <c r="K744" t="str">
        <f>CONCATENATE(Table2[[#This Row],[Family Size2]],"members")</f>
        <v>1members</v>
      </c>
      <c r="L744" t="str">
        <f>CONCATENATE(Table2[[#This Row],[Family Size2]],"members")</f>
        <v>1members</v>
      </c>
      <c r="M744">
        <v>1</v>
      </c>
    </row>
    <row r="745" spans="1:13">
      <c r="A745">
        <v>744</v>
      </c>
      <c r="B745" t="s">
        <v>11</v>
      </c>
      <c r="C745">
        <v>30</v>
      </c>
      <c r="D745" t="str" cm="1">
        <f t="array" ref="D745">_xlfn.IFS(Table2[[#This Row],[Age]]&lt;=11,"Gen A",Table2[[#This Row],[Age]]&lt;=27,"Gen Z",Table2[[#This Row],[Age]]&lt;=43,"Millenials",Table2[[#This Row],[Age]]&lt;=59,"Gen X",Table2[[#This Row],[Age]]&lt;=78,"Baby Boomers",Table2[[#This Row],[Age]]&lt;=96,"Silent",Table2[[#This Row],[Age]]&gt;=97,"Greatest")</f>
        <v>Millenials</v>
      </c>
      <c r="E745" s="1">
        <v>140190</v>
      </c>
      <c r="F745">
        <v>49</v>
      </c>
      <c r="G745" t="str" cm="1">
        <f t="array" ref="G745">_xlfn.IFS(Table2[[#This Row],[Spending Score (1-100)]]&lt;=25,"Low",Table2[[#This Row],[Spending Score (1-100)]]&lt;=50,"Medium",Table2[[#This Row],[Spending Score (1-100)]]&lt;=75,"High",Table2[[#This Row],[Spending Score (1-100)]]&lt;=100,"Very High")</f>
        <v>Medium</v>
      </c>
      <c r="H745" t="s">
        <v>10</v>
      </c>
      <c r="I745">
        <v>1</v>
      </c>
      <c r="J745" t="str">
        <f>CONCATENATE(Table2[[#This Row],[Work Experience]],"years")</f>
        <v>1years</v>
      </c>
      <c r="K745" t="str">
        <f>CONCATENATE(Table2[[#This Row],[Family Size2]],"members")</f>
        <v>4members</v>
      </c>
      <c r="L745" t="str">
        <f>CONCATENATE(Table2[[#This Row],[Family Size2]],"members")</f>
        <v>4members</v>
      </c>
      <c r="M745">
        <v>4</v>
      </c>
    </row>
    <row r="746" spans="1:13">
      <c r="A746">
        <v>745</v>
      </c>
      <c r="B746" t="s">
        <v>8</v>
      </c>
      <c r="C746">
        <v>16</v>
      </c>
      <c r="D746" t="str" cm="1">
        <f t="array" ref="D746">_xlfn.IFS(Table2[[#This Row],[Age]]&lt;=11,"Gen A",Table2[[#This Row],[Age]]&lt;=27,"Gen Z",Table2[[#This Row],[Age]]&lt;=43,"Millenials",Table2[[#This Row],[Age]]&lt;=59,"Gen X",Table2[[#This Row],[Age]]&lt;=78,"Baby Boomers",Table2[[#This Row],[Age]]&lt;=96,"Silent",Table2[[#This Row],[Age]]&gt;=97,"Greatest")</f>
        <v>Gen Z</v>
      </c>
      <c r="E746" s="1">
        <v>125836</v>
      </c>
      <c r="F746">
        <v>69</v>
      </c>
      <c r="G746" t="str" cm="1">
        <f t="array" ref="G746">_xlfn.IFS(Table2[[#This Row],[Spending Score (1-100)]]&lt;=25,"Low",Table2[[#This Row],[Spending Score (1-100)]]&lt;=50,"Medium",Table2[[#This Row],[Spending Score (1-100)]]&lt;=75,"High",Table2[[#This Row],[Spending Score (1-100)]]&lt;=100,"Very High")</f>
        <v>High</v>
      </c>
      <c r="H746" t="s">
        <v>9</v>
      </c>
      <c r="I746">
        <v>1</v>
      </c>
      <c r="J746" t="str">
        <f>CONCATENATE(Table2[[#This Row],[Work Experience]],"years")</f>
        <v>1years</v>
      </c>
      <c r="K746" t="str">
        <f>CONCATENATE(Table2[[#This Row],[Family Size2]],"members")</f>
        <v>4members</v>
      </c>
      <c r="L746" t="str">
        <f>CONCATENATE(Table2[[#This Row],[Family Size2]],"members")</f>
        <v>4members</v>
      </c>
      <c r="M746">
        <v>4</v>
      </c>
    </row>
    <row r="747" spans="1:13">
      <c r="A747">
        <v>746</v>
      </c>
      <c r="B747" t="s">
        <v>8</v>
      </c>
      <c r="C747">
        <v>89</v>
      </c>
      <c r="D747" t="str" cm="1">
        <f t="array" ref="D747">_xlfn.IFS(Table2[[#This Row],[Age]]&lt;=11,"Gen A",Table2[[#This Row],[Age]]&lt;=27,"Gen Z",Table2[[#This Row],[Age]]&lt;=43,"Millenials",Table2[[#This Row],[Age]]&lt;=59,"Gen X",Table2[[#This Row],[Age]]&lt;=78,"Baby Boomers",Table2[[#This Row],[Age]]&lt;=96,"Silent",Table2[[#This Row],[Age]]&gt;=97,"Greatest")</f>
        <v>Silent</v>
      </c>
      <c r="E747" s="1">
        <v>100938</v>
      </c>
      <c r="F747">
        <v>27</v>
      </c>
      <c r="G747" t="str" cm="1">
        <f t="array" ref="G747">_xlfn.IFS(Table2[[#This Row],[Spending Score (1-100)]]&lt;=25,"Low",Table2[[#This Row],[Spending Score (1-100)]]&lt;=50,"Medium",Table2[[#This Row],[Spending Score (1-100)]]&lt;=75,"High",Table2[[#This Row],[Spending Score (1-100)]]&lt;=100,"Very High")</f>
        <v>Medium</v>
      </c>
      <c r="H747" t="s">
        <v>13</v>
      </c>
      <c r="I747">
        <v>0</v>
      </c>
      <c r="J747" t="str">
        <f>CONCATENATE(Table2[[#This Row],[Work Experience]],"years")</f>
        <v>0years</v>
      </c>
      <c r="K747" t="str">
        <f>CONCATENATE(Table2[[#This Row],[Family Size2]],"members")</f>
        <v>7members</v>
      </c>
      <c r="L747" t="str">
        <f>CONCATENATE(Table2[[#This Row],[Family Size2]],"members")</f>
        <v>7members</v>
      </c>
      <c r="M747">
        <v>7</v>
      </c>
    </row>
    <row r="748" spans="1:13">
      <c r="A748">
        <v>747</v>
      </c>
      <c r="B748" t="s">
        <v>8</v>
      </c>
      <c r="C748">
        <v>5</v>
      </c>
      <c r="D748" t="str" cm="1">
        <f t="array" ref="D748">_xlfn.IFS(Table2[[#This Row],[Age]]&lt;=11,"Gen A",Table2[[#This Row],[Age]]&lt;=27,"Gen Z",Table2[[#This Row],[Age]]&lt;=43,"Millenials",Table2[[#This Row],[Age]]&lt;=59,"Gen X",Table2[[#This Row],[Age]]&lt;=78,"Baby Boomers",Table2[[#This Row],[Age]]&lt;=96,"Silent",Table2[[#This Row],[Age]]&gt;=97,"Greatest")</f>
        <v>Gen A</v>
      </c>
      <c r="E748" s="1">
        <v>168670</v>
      </c>
      <c r="F748">
        <v>37</v>
      </c>
      <c r="G748" t="str" cm="1">
        <f t="array" ref="G748">_xlfn.IFS(Table2[[#This Row],[Spending Score (1-100)]]&lt;=25,"Low",Table2[[#This Row],[Spending Score (1-100)]]&lt;=50,"Medium",Table2[[#This Row],[Spending Score (1-100)]]&lt;=75,"High",Table2[[#This Row],[Spending Score (1-100)]]&lt;=100,"Very High")</f>
        <v>Medium</v>
      </c>
      <c r="H748" t="s">
        <v>14</v>
      </c>
      <c r="I748">
        <v>1</v>
      </c>
      <c r="J748" t="str">
        <f>CONCATENATE(Table2[[#This Row],[Work Experience]],"years")</f>
        <v>1years</v>
      </c>
      <c r="K748" t="str">
        <f>CONCATENATE(Table2[[#This Row],[Family Size2]],"members")</f>
        <v>3members</v>
      </c>
      <c r="L748" t="str">
        <f>CONCATENATE(Table2[[#This Row],[Family Size2]],"members")</f>
        <v>3members</v>
      </c>
      <c r="M748">
        <v>3</v>
      </c>
    </row>
    <row r="749" spans="1:13">
      <c r="A749">
        <v>748</v>
      </c>
      <c r="B749" t="s">
        <v>11</v>
      </c>
      <c r="C749">
        <v>54</v>
      </c>
      <c r="D749" t="str" cm="1">
        <f t="array" ref="D749">_xlfn.IFS(Table2[[#This Row],[Age]]&lt;=11,"Gen A",Table2[[#This Row],[Age]]&lt;=27,"Gen Z",Table2[[#This Row],[Age]]&lt;=43,"Millenials",Table2[[#This Row],[Age]]&lt;=59,"Gen X",Table2[[#This Row],[Age]]&lt;=78,"Baby Boomers",Table2[[#This Row],[Age]]&lt;=96,"Silent",Table2[[#This Row],[Age]]&gt;=97,"Greatest")</f>
        <v>Gen X</v>
      </c>
      <c r="E749" s="1">
        <v>176885</v>
      </c>
      <c r="F749">
        <v>10</v>
      </c>
      <c r="G749" t="str" cm="1">
        <f t="array" ref="G749">_xlfn.IFS(Table2[[#This Row],[Spending Score (1-100)]]&lt;=25,"Low",Table2[[#This Row],[Spending Score (1-100)]]&lt;=50,"Medium",Table2[[#This Row],[Spending Score (1-100)]]&lt;=75,"High",Table2[[#This Row],[Spending Score (1-100)]]&lt;=100,"Very High")</f>
        <v>Low</v>
      </c>
      <c r="H749" t="s">
        <v>13</v>
      </c>
      <c r="I749">
        <v>0</v>
      </c>
      <c r="J749" t="str">
        <f>CONCATENATE(Table2[[#This Row],[Work Experience]],"years")</f>
        <v>0years</v>
      </c>
      <c r="K749" t="str">
        <f>CONCATENATE(Table2[[#This Row],[Family Size2]],"members")</f>
        <v>3members</v>
      </c>
      <c r="L749" t="str">
        <f>CONCATENATE(Table2[[#This Row],[Family Size2]],"members")</f>
        <v>3members</v>
      </c>
      <c r="M749">
        <v>3</v>
      </c>
    </row>
    <row r="750" spans="1:13">
      <c r="A750">
        <v>749</v>
      </c>
      <c r="B750" t="s">
        <v>11</v>
      </c>
      <c r="C750">
        <v>41</v>
      </c>
      <c r="D750" t="str" cm="1">
        <f t="array" ref="D750">_xlfn.IFS(Table2[[#This Row],[Age]]&lt;=11,"Gen A",Table2[[#This Row],[Age]]&lt;=27,"Gen Z",Table2[[#This Row],[Age]]&lt;=43,"Millenials",Table2[[#This Row],[Age]]&lt;=59,"Gen X",Table2[[#This Row],[Age]]&lt;=78,"Baby Boomers",Table2[[#This Row],[Age]]&lt;=96,"Silent",Table2[[#This Row],[Age]]&gt;=97,"Greatest")</f>
        <v>Millenials</v>
      </c>
      <c r="E750" s="1">
        <v>111174</v>
      </c>
      <c r="F750">
        <v>28</v>
      </c>
      <c r="G750" t="str" cm="1">
        <f t="array" ref="G750">_xlfn.IFS(Table2[[#This Row],[Spending Score (1-100)]]&lt;=25,"Low",Table2[[#This Row],[Spending Score (1-100)]]&lt;=50,"Medium",Table2[[#This Row],[Spending Score (1-100)]]&lt;=75,"High",Table2[[#This Row],[Spending Score (1-100)]]&lt;=100,"Very High")</f>
        <v>Medium</v>
      </c>
      <c r="H750" t="s">
        <v>14</v>
      </c>
      <c r="I750">
        <v>4</v>
      </c>
      <c r="J750" t="str">
        <f>CONCATENATE(Table2[[#This Row],[Work Experience]],"years")</f>
        <v>4years</v>
      </c>
      <c r="K750" t="str">
        <f>CONCATENATE(Table2[[#This Row],[Family Size2]],"members")</f>
        <v>5members</v>
      </c>
      <c r="L750" t="str">
        <f>CONCATENATE(Table2[[#This Row],[Family Size2]],"members")</f>
        <v>5members</v>
      </c>
      <c r="M750">
        <v>5</v>
      </c>
    </row>
    <row r="751" spans="1:13">
      <c r="A751">
        <v>750</v>
      </c>
      <c r="B751" t="s">
        <v>8</v>
      </c>
      <c r="C751">
        <v>80</v>
      </c>
      <c r="D751" t="str" cm="1">
        <f t="array" ref="D751">_xlfn.IFS(Table2[[#This Row],[Age]]&lt;=11,"Gen A",Table2[[#This Row],[Age]]&lt;=27,"Gen Z",Table2[[#This Row],[Age]]&lt;=43,"Millenials",Table2[[#This Row],[Age]]&lt;=59,"Gen X",Table2[[#This Row],[Age]]&lt;=78,"Baby Boomers",Table2[[#This Row],[Age]]&lt;=96,"Silent",Table2[[#This Row],[Age]]&gt;=97,"Greatest")</f>
        <v>Silent</v>
      </c>
      <c r="E751" s="1">
        <v>127335</v>
      </c>
      <c r="F751">
        <v>97</v>
      </c>
      <c r="G751" t="str" cm="1">
        <f t="array" ref="G751">_xlfn.IFS(Table2[[#This Row],[Spending Score (1-100)]]&lt;=25,"Low",Table2[[#This Row],[Spending Score (1-100)]]&lt;=50,"Medium",Table2[[#This Row],[Spending Score (1-100)]]&lt;=75,"High",Table2[[#This Row],[Spending Score (1-100)]]&lt;=100,"Very High")</f>
        <v>Very High</v>
      </c>
      <c r="H751" t="s">
        <v>14</v>
      </c>
      <c r="I751">
        <v>6</v>
      </c>
      <c r="J751" t="str">
        <f>CONCATENATE(Table2[[#This Row],[Work Experience]],"years")</f>
        <v>6years</v>
      </c>
      <c r="K751" t="str">
        <f>CONCATENATE(Table2[[#This Row],[Family Size2]],"members")</f>
        <v>6members</v>
      </c>
      <c r="L751" t="str">
        <f>CONCATENATE(Table2[[#This Row],[Family Size2]],"members")</f>
        <v>6members</v>
      </c>
      <c r="M751">
        <v>6</v>
      </c>
    </row>
    <row r="752" spans="1:13">
      <c r="A752">
        <v>751</v>
      </c>
      <c r="B752" t="s">
        <v>8</v>
      </c>
      <c r="C752">
        <v>37</v>
      </c>
      <c r="D752" t="str" cm="1">
        <f t="array" ref="D752">_xlfn.IFS(Table2[[#This Row],[Age]]&lt;=11,"Gen A",Table2[[#This Row],[Age]]&lt;=27,"Gen Z",Table2[[#This Row],[Age]]&lt;=43,"Millenials",Table2[[#This Row],[Age]]&lt;=59,"Gen X",Table2[[#This Row],[Age]]&lt;=78,"Baby Boomers",Table2[[#This Row],[Age]]&lt;=96,"Silent",Table2[[#This Row],[Age]]&gt;=97,"Greatest")</f>
        <v>Millenials</v>
      </c>
      <c r="E752" s="1">
        <v>149103</v>
      </c>
      <c r="F752">
        <v>3</v>
      </c>
      <c r="G752" t="str" cm="1">
        <f t="array" ref="G752">_xlfn.IFS(Table2[[#This Row],[Spending Score (1-100)]]&lt;=25,"Low",Table2[[#This Row],[Spending Score (1-100)]]&lt;=50,"Medium",Table2[[#This Row],[Spending Score (1-100)]]&lt;=75,"High",Table2[[#This Row],[Spending Score (1-100)]]&lt;=100,"Very High")</f>
        <v>Low</v>
      </c>
      <c r="H752" t="s">
        <v>9</v>
      </c>
      <c r="I752">
        <v>10</v>
      </c>
      <c r="J752" t="str">
        <f>CONCATENATE(Table2[[#This Row],[Work Experience]],"years")</f>
        <v>10years</v>
      </c>
      <c r="K752" t="str">
        <f>CONCATENATE(Table2[[#This Row],[Family Size2]],"members")</f>
        <v>1members</v>
      </c>
      <c r="L752" t="str">
        <f>CONCATENATE(Table2[[#This Row],[Family Size2]],"members")</f>
        <v>1members</v>
      </c>
      <c r="M752">
        <v>1</v>
      </c>
    </row>
    <row r="753" spans="1:13">
      <c r="A753">
        <v>752</v>
      </c>
      <c r="B753" t="s">
        <v>8</v>
      </c>
      <c r="C753">
        <v>87</v>
      </c>
      <c r="D753" t="str" cm="1">
        <f t="array" ref="D753">_xlfn.IFS(Table2[[#This Row],[Age]]&lt;=11,"Gen A",Table2[[#This Row],[Age]]&lt;=27,"Gen Z",Table2[[#This Row],[Age]]&lt;=43,"Millenials",Table2[[#This Row],[Age]]&lt;=59,"Gen X",Table2[[#This Row],[Age]]&lt;=78,"Baby Boomers",Table2[[#This Row],[Age]]&lt;=96,"Silent",Table2[[#This Row],[Age]]&gt;=97,"Greatest")</f>
        <v>Silent</v>
      </c>
      <c r="E753" s="1">
        <v>167705</v>
      </c>
      <c r="F753">
        <v>31</v>
      </c>
      <c r="G753" t="str" cm="1">
        <f t="array" ref="G753">_xlfn.IFS(Table2[[#This Row],[Spending Score (1-100)]]&lt;=25,"Low",Table2[[#This Row],[Spending Score (1-100)]]&lt;=50,"Medium",Table2[[#This Row],[Spending Score (1-100)]]&lt;=75,"High",Table2[[#This Row],[Spending Score (1-100)]]&lt;=100,"Very High")</f>
        <v>Medium</v>
      </c>
      <c r="H753" t="s">
        <v>9</v>
      </c>
      <c r="I753">
        <v>0</v>
      </c>
      <c r="J753" t="str">
        <f>CONCATENATE(Table2[[#This Row],[Work Experience]],"years")</f>
        <v>0years</v>
      </c>
      <c r="K753" t="str">
        <f>CONCATENATE(Table2[[#This Row],[Family Size2]],"members")</f>
        <v>7members</v>
      </c>
      <c r="L753" t="str">
        <f>CONCATENATE(Table2[[#This Row],[Family Size2]],"members")</f>
        <v>7members</v>
      </c>
      <c r="M753">
        <v>7</v>
      </c>
    </row>
    <row r="754" spans="1:13">
      <c r="A754">
        <v>753</v>
      </c>
      <c r="B754" t="s">
        <v>11</v>
      </c>
      <c r="C754">
        <v>50</v>
      </c>
      <c r="D754" t="str" cm="1">
        <f t="array" ref="D754">_xlfn.IFS(Table2[[#This Row],[Age]]&lt;=11,"Gen A",Table2[[#This Row],[Age]]&lt;=27,"Gen Z",Table2[[#This Row],[Age]]&lt;=43,"Millenials",Table2[[#This Row],[Age]]&lt;=59,"Gen X",Table2[[#This Row],[Age]]&lt;=78,"Baby Boomers",Table2[[#This Row],[Age]]&lt;=96,"Silent",Table2[[#This Row],[Age]]&gt;=97,"Greatest")</f>
        <v>Gen X</v>
      </c>
      <c r="E754" s="1">
        <v>183548</v>
      </c>
      <c r="F754">
        <v>85</v>
      </c>
      <c r="G754" t="str" cm="1">
        <f t="array" ref="G754">_xlfn.IFS(Table2[[#This Row],[Spending Score (1-100)]]&lt;=25,"Low",Table2[[#This Row],[Spending Score (1-100)]]&lt;=50,"Medium",Table2[[#This Row],[Spending Score (1-100)]]&lt;=75,"High",Table2[[#This Row],[Spending Score (1-100)]]&lt;=100,"Very High")</f>
        <v>Very High</v>
      </c>
      <c r="H754" t="s">
        <v>13</v>
      </c>
      <c r="I754">
        <v>1</v>
      </c>
      <c r="J754" t="str">
        <f>CONCATENATE(Table2[[#This Row],[Work Experience]],"years")</f>
        <v>1years</v>
      </c>
      <c r="K754" t="str">
        <f>CONCATENATE(Table2[[#This Row],[Family Size2]],"members")</f>
        <v>4members</v>
      </c>
      <c r="L754" t="str">
        <f>CONCATENATE(Table2[[#This Row],[Family Size2]],"members")</f>
        <v>4members</v>
      </c>
      <c r="M754">
        <v>4</v>
      </c>
    </row>
    <row r="755" spans="1:13">
      <c r="A755">
        <v>754</v>
      </c>
      <c r="B755" t="s">
        <v>11</v>
      </c>
      <c r="C755">
        <v>14</v>
      </c>
      <c r="D755" t="str" cm="1">
        <f t="array" ref="D755">_xlfn.IFS(Table2[[#This Row],[Age]]&lt;=11,"Gen A",Table2[[#This Row],[Age]]&lt;=27,"Gen Z",Table2[[#This Row],[Age]]&lt;=43,"Millenials",Table2[[#This Row],[Age]]&lt;=59,"Gen X",Table2[[#This Row],[Age]]&lt;=78,"Baby Boomers",Table2[[#This Row],[Age]]&lt;=96,"Silent",Table2[[#This Row],[Age]]&gt;=97,"Greatest")</f>
        <v>Gen Z</v>
      </c>
      <c r="E755" s="1">
        <v>50396</v>
      </c>
      <c r="F755">
        <v>46</v>
      </c>
      <c r="G755" t="str" cm="1">
        <f t="array" ref="G755">_xlfn.IFS(Table2[[#This Row],[Spending Score (1-100)]]&lt;=25,"Low",Table2[[#This Row],[Spending Score (1-100)]]&lt;=50,"Medium",Table2[[#This Row],[Spending Score (1-100)]]&lt;=75,"High",Table2[[#This Row],[Spending Score (1-100)]]&lt;=100,"Very High")</f>
        <v>Medium</v>
      </c>
      <c r="H755" t="s">
        <v>12</v>
      </c>
      <c r="I755">
        <v>0</v>
      </c>
      <c r="J755" t="str">
        <f>CONCATENATE(Table2[[#This Row],[Work Experience]],"years")</f>
        <v>0years</v>
      </c>
      <c r="K755" t="str">
        <f>CONCATENATE(Table2[[#This Row],[Family Size2]],"members")</f>
        <v>6members</v>
      </c>
      <c r="L755" t="str">
        <f>CONCATENATE(Table2[[#This Row],[Family Size2]],"members")</f>
        <v>6members</v>
      </c>
      <c r="M755">
        <v>6</v>
      </c>
    </row>
    <row r="756" spans="1:13">
      <c r="A756">
        <v>755</v>
      </c>
      <c r="B756" t="s">
        <v>11</v>
      </c>
      <c r="C756">
        <v>17</v>
      </c>
      <c r="D756" t="str" cm="1">
        <f t="array" ref="D756">_xlfn.IFS(Table2[[#This Row],[Age]]&lt;=11,"Gen A",Table2[[#This Row],[Age]]&lt;=27,"Gen Z",Table2[[#This Row],[Age]]&lt;=43,"Millenials",Table2[[#This Row],[Age]]&lt;=59,"Gen X",Table2[[#This Row],[Age]]&lt;=78,"Baby Boomers",Table2[[#This Row],[Age]]&lt;=96,"Silent",Table2[[#This Row],[Age]]&gt;=97,"Greatest")</f>
        <v>Gen Z</v>
      </c>
      <c r="E756" s="1">
        <v>63557</v>
      </c>
      <c r="F756">
        <v>3</v>
      </c>
      <c r="G756" t="str" cm="1">
        <f t="array" ref="G756">_xlfn.IFS(Table2[[#This Row],[Spending Score (1-100)]]&lt;=25,"Low",Table2[[#This Row],[Spending Score (1-100)]]&lt;=50,"Medium",Table2[[#This Row],[Spending Score (1-100)]]&lt;=75,"High",Table2[[#This Row],[Spending Score (1-100)]]&lt;=100,"Very High")</f>
        <v>Low</v>
      </c>
      <c r="H756" t="s">
        <v>18</v>
      </c>
      <c r="I756">
        <v>1</v>
      </c>
      <c r="J756" t="str">
        <f>CONCATENATE(Table2[[#This Row],[Work Experience]],"years")</f>
        <v>1years</v>
      </c>
      <c r="K756" t="str">
        <f>CONCATENATE(Table2[[#This Row],[Family Size2]],"members")</f>
        <v>1members</v>
      </c>
      <c r="L756" t="str">
        <f>CONCATENATE(Table2[[#This Row],[Family Size2]],"members")</f>
        <v>1members</v>
      </c>
      <c r="M756">
        <v>1</v>
      </c>
    </row>
    <row r="757" spans="1:13">
      <c r="A757">
        <v>756</v>
      </c>
      <c r="B757" t="s">
        <v>11</v>
      </c>
      <c r="C757">
        <v>98</v>
      </c>
      <c r="D757" t="str" cm="1">
        <f t="array" ref="D757">_xlfn.IFS(Table2[[#This Row],[Age]]&lt;=11,"Gen A",Table2[[#This Row],[Age]]&lt;=27,"Gen Z",Table2[[#This Row],[Age]]&lt;=43,"Millenials",Table2[[#This Row],[Age]]&lt;=59,"Gen X",Table2[[#This Row],[Age]]&lt;=78,"Baby Boomers",Table2[[#This Row],[Age]]&lt;=96,"Silent",Table2[[#This Row],[Age]]&gt;=97,"Greatest")</f>
        <v>Greatest</v>
      </c>
      <c r="E757" s="1">
        <v>87878</v>
      </c>
      <c r="F757">
        <v>55</v>
      </c>
      <c r="G757" t="str" cm="1">
        <f t="array" ref="G757">_xlfn.IFS(Table2[[#This Row],[Spending Score (1-100)]]&lt;=25,"Low",Table2[[#This Row],[Spending Score (1-100)]]&lt;=50,"Medium",Table2[[#This Row],[Spending Score (1-100)]]&lt;=75,"High",Table2[[#This Row],[Spending Score (1-100)]]&lt;=100,"Very High")</f>
        <v>High</v>
      </c>
      <c r="H757" t="s">
        <v>14</v>
      </c>
      <c r="I757">
        <v>1</v>
      </c>
      <c r="J757" t="str">
        <f>CONCATENATE(Table2[[#This Row],[Work Experience]],"years")</f>
        <v>1years</v>
      </c>
      <c r="K757" t="str">
        <f>CONCATENATE(Table2[[#This Row],[Family Size2]],"members")</f>
        <v>6members</v>
      </c>
      <c r="L757" t="str">
        <f>CONCATENATE(Table2[[#This Row],[Family Size2]],"members")</f>
        <v>6members</v>
      </c>
      <c r="M757">
        <v>6</v>
      </c>
    </row>
    <row r="758" spans="1:13">
      <c r="A758">
        <v>757</v>
      </c>
      <c r="B758" t="s">
        <v>8</v>
      </c>
      <c r="C758">
        <v>3</v>
      </c>
      <c r="D758" t="str" cm="1">
        <f t="array" ref="D758">_xlfn.IFS(Table2[[#This Row],[Age]]&lt;=11,"Gen A",Table2[[#This Row],[Age]]&lt;=27,"Gen Z",Table2[[#This Row],[Age]]&lt;=43,"Millenials",Table2[[#This Row],[Age]]&lt;=59,"Gen X",Table2[[#This Row],[Age]]&lt;=78,"Baby Boomers",Table2[[#This Row],[Age]]&lt;=96,"Silent",Table2[[#This Row],[Age]]&gt;=97,"Greatest")</f>
        <v>Gen A</v>
      </c>
      <c r="E758" s="1">
        <v>55634</v>
      </c>
      <c r="F758">
        <v>53</v>
      </c>
      <c r="G758" t="str" cm="1">
        <f t="array" ref="G758">_xlfn.IFS(Table2[[#This Row],[Spending Score (1-100)]]&lt;=25,"Low",Table2[[#This Row],[Spending Score (1-100)]]&lt;=50,"Medium",Table2[[#This Row],[Spending Score (1-100)]]&lt;=75,"High",Table2[[#This Row],[Spending Score (1-100)]]&lt;=100,"Very High")</f>
        <v>High</v>
      </c>
      <c r="H758" t="s">
        <v>10</v>
      </c>
      <c r="I758">
        <v>8</v>
      </c>
      <c r="J758" t="str">
        <f>CONCATENATE(Table2[[#This Row],[Work Experience]],"years")</f>
        <v>8years</v>
      </c>
      <c r="K758" t="str">
        <f>CONCATENATE(Table2[[#This Row],[Family Size2]],"members")</f>
        <v>3members</v>
      </c>
      <c r="L758" t="str">
        <f>CONCATENATE(Table2[[#This Row],[Family Size2]],"members")</f>
        <v>3members</v>
      </c>
      <c r="M758">
        <v>3</v>
      </c>
    </row>
    <row r="759" spans="1:13">
      <c r="A759">
        <v>758</v>
      </c>
      <c r="B759" t="s">
        <v>11</v>
      </c>
      <c r="C759">
        <v>83</v>
      </c>
      <c r="D759" t="str" cm="1">
        <f t="array" ref="D759">_xlfn.IFS(Table2[[#This Row],[Age]]&lt;=11,"Gen A",Table2[[#This Row],[Age]]&lt;=27,"Gen Z",Table2[[#This Row],[Age]]&lt;=43,"Millenials",Table2[[#This Row],[Age]]&lt;=59,"Gen X",Table2[[#This Row],[Age]]&lt;=78,"Baby Boomers",Table2[[#This Row],[Age]]&lt;=96,"Silent",Table2[[#This Row],[Age]]&gt;=97,"Greatest")</f>
        <v>Silent</v>
      </c>
      <c r="E759" s="1">
        <v>118110</v>
      </c>
      <c r="F759">
        <v>26</v>
      </c>
      <c r="G759" t="str" cm="1">
        <f t="array" ref="G759">_xlfn.IFS(Table2[[#This Row],[Spending Score (1-100)]]&lt;=25,"Low",Table2[[#This Row],[Spending Score (1-100)]]&lt;=50,"Medium",Table2[[#This Row],[Spending Score (1-100)]]&lt;=75,"High",Table2[[#This Row],[Spending Score (1-100)]]&lt;=100,"Very High")</f>
        <v>Medium</v>
      </c>
      <c r="H759" t="s">
        <v>10</v>
      </c>
      <c r="I759">
        <v>1</v>
      </c>
      <c r="J759" t="str">
        <f>CONCATENATE(Table2[[#This Row],[Work Experience]],"years")</f>
        <v>1years</v>
      </c>
      <c r="K759" t="str">
        <f>CONCATENATE(Table2[[#This Row],[Family Size2]],"members")</f>
        <v>5members</v>
      </c>
      <c r="L759" t="str">
        <f>CONCATENATE(Table2[[#This Row],[Family Size2]],"members")</f>
        <v>5members</v>
      </c>
      <c r="M759">
        <v>5</v>
      </c>
    </row>
    <row r="760" spans="1:13">
      <c r="A760">
        <v>759</v>
      </c>
      <c r="B760" t="s">
        <v>8</v>
      </c>
      <c r="C760">
        <v>13</v>
      </c>
      <c r="D760" t="str" cm="1">
        <f t="array" ref="D760">_xlfn.IFS(Table2[[#This Row],[Age]]&lt;=11,"Gen A",Table2[[#This Row],[Age]]&lt;=27,"Gen Z",Table2[[#This Row],[Age]]&lt;=43,"Millenials",Table2[[#This Row],[Age]]&lt;=59,"Gen X",Table2[[#This Row],[Age]]&lt;=78,"Baby Boomers",Table2[[#This Row],[Age]]&lt;=96,"Silent",Table2[[#This Row],[Age]]&gt;=97,"Greatest")</f>
        <v>Gen Z</v>
      </c>
      <c r="E760" s="1">
        <v>129396</v>
      </c>
      <c r="F760">
        <v>36</v>
      </c>
      <c r="G760" t="str" cm="1">
        <f t="array" ref="G760">_xlfn.IFS(Table2[[#This Row],[Spending Score (1-100)]]&lt;=25,"Low",Table2[[#This Row],[Spending Score (1-100)]]&lt;=50,"Medium",Table2[[#This Row],[Spending Score (1-100)]]&lt;=75,"High",Table2[[#This Row],[Spending Score (1-100)]]&lt;=100,"Very High")</f>
        <v>Medium</v>
      </c>
      <c r="H760" t="s">
        <v>14</v>
      </c>
      <c r="I760">
        <v>6</v>
      </c>
      <c r="J760" t="str">
        <f>CONCATENATE(Table2[[#This Row],[Work Experience]],"years")</f>
        <v>6years</v>
      </c>
      <c r="K760" t="str">
        <f>CONCATENATE(Table2[[#This Row],[Family Size2]],"members")</f>
        <v>6members</v>
      </c>
      <c r="L760" t="str">
        <f>CONCATENATE(Table2[[#This Row],[Family Size2]],"members")</f>
        <v>6members</v>
      </c>
      <c r="M760">
        <v>6</v>
      </c>
    </row>
    <row r="761" spans="1:13">
      <c r="A761">
        <v>760</v>
      </c>
      <c r="B761" t="s">
        <v>11</v>
      </c>
      <c r="C761">
        <v>46</v>
      </c>
      <c r="D761" t="str" cm="1">
        <f t="array" ref="D761">_xlfn.IFS(Table2[[#This Row],[Age]]&lt;=11,"Gen A",Table2[[#This Row],[Age]]&lt;=27,"Gen Z",Table2[[#This Row],[Age]]&lt;=43,"Millenials",Table2[[#This Row],[Age]]&lt;=59,"Gen X",Table2[[#This Row],[Age]]&lt;=78,"Baby Boomers",Table2[[#This Row],[Age]]&lt;=96,"Silent",Table2[[#This Row],[Age]]&gt;=97,"Greatest")</f>
        <v>Gen X</v>
      </c>
      <c r="E761" s="1">
        <v>62628</v>
      </c>
      <c r="F761">
        <v>64</v>
      </c>
      <c r="G761" t="str" cm="1">
        <f t="array" ref="G761">_xlfn.IFS(Table2[[#This Row],[Spending Score (1-100)]]&lt;=25,"Low",Table2[[#This Row],[Spending Score (1-100)]]&lt;=50,"Medium",Table2[[#This Row],[Spending Score (1-100)]]&lt;=75,"High",Table2[[#This Row],[Spending Score (1-100)]]&lt;=100,"Very High")</f>
        <v>High</v>
      </c>
      <c r="H761" t="s">
        <v>13</v>
      </c>
      <c r="I761">
        <v>8</v>
      </c>
      <c r="J761" t="str">
        <f>CONCATENATE(Table2[[#This Row],[Work Experience]],"years")</f>
        <v>8years</v>
      </c>
      <c r="K761" t="str">
        <f>CONCATENATE(Table2[[#This Row],[Family Size2]],"members")</f>
        <v>6members</v>
      </c>
      <c r="L761" t="str">
        <f>CONCATENATE(Table2[[#This Row],[Family Size2]],"members")</f>
        <v>6members</v>
      </c>
      <c r="M761">
        <v>6</v>
      </c>
    </row>
    <row r="762" spans="1:13">
      <c r="A762">
        <v>761</v>
      </c>
      <c r="B762" t="s">
        <v>11</v>
      </c>
      <c r="C762">
        <v>25</v>
      </c>
      <c r="D762" t="str" cm="1">
        <f t="array" ref="D762">_xlfn.IFS(Table2[[#This Row],[Age]]&lt;=11,"Gen A",Table2[[#This Row],[Age]]&lt;=27,"Gen Z",Table2[[#This Row],[Age]]&lt;=43,"Millenials",Table2[[#This Row],[Age]]&lt;=59,"Gen X",Table2[[#This Row],[Age]]&lt;=78,"Baby Boomers",Table2[[#This Row],[Age]]&lt;=96,"Silent",Table2[[#This Row],[Age]]&gt;=97,"Greatest")</f>
        <v>Gen Z</v>
      </c>
      <c r="E762" s="1">
        <v>51700</v>
      </c>
      <c r="F762">
        <v>17</v>
      </c>
      <c r="G762" t="str" cm="1">
        <f t="array" ref="G762">_xlfn.IFS(Table2[[#This Row],[Spending Score (1-100)]]&lt;=25,"Low",Table2[[#This Row],[Spending Score (1-100)]]&lt;=50,"Medium",Table2[[#This Row],[Spending Score (1-100)]]&lt;=75,"High",Table2[[#This Row],[Spending Score (1-100)]]&lt;=100,"Very High")</f>
        <v>Low</v>
      </c>
      <c r="H762" t="s">
        <v>9</v>
      </c>
      <c r="I762">
        <v>4</v>
      </c>
      <c r="J762" t="str">
        <f>CONCATENATE(Table2[[#This Row],[Work Experience]],"years")</f>
        <v>4years</v>
      </c>
      <c r="K762" t="str">
        <f>CONCATENATE(Table2[[#This Row],[Family Size2]],"members")</f>
        <v>6members</v>
      </c>
      <c r="L762" t="str">
        <f>CONCATENATE(Table2[[#This Row],[Family Size2]],"members")</f>
        <v>6members</v>
      </c>
      <c r="M762">
        <v>6</v>
      </c>
    </row>
    <row r="763" spans="1:13">
      <c r="A763">
        <v>762</v>
      </c>
      <c r="B763" t="s">
        <v>11</v>
      </c>
      <c r="C763">
        <v>4</v>
      </c>
      <c r="D763" t="str" cm="1">
        <f t="array" ref="D763">_xlfn.IFS(Table2[[#This Row],[Age]]&lt;=11,"Gen A",Table2[[#This Row],[Age]]&lt;=27,"Gen Z",Table2[[#This Row],[Age]]&lt;=43,"Millenials",Table2[[#This Row],[Age]]&lt;=59,"Gen X",Table2[[#This Row],[Age]]&lt;=78,"Baby Boomers",Table2[[#This Row],[Age]]&lt;=96,"Silent",Table2[[#This Row],[Age]]&gt;=97,"Greatest")</f>
        <v>Gen A</v>
      </c>
      <c r="E763" s="1">
        <v>106816</v>
      </c>
      <c r="F763">
        <v>49</v>
      </c>
      <c r="G763" t="str" cm="1">
        <f t="array" ref="G763">_xlfn.IFS(Table2[[#This Row],[Spending Score (1-100)]]&lt;=25,"Low",Table2[[#This Row],[Spending Score (1-100)]]&lt;=50,"Medium",Table2[[#This Row],[Spending Score (1-100)]]&lt;=75,"High",Table2[[#This Row],[Spending Score (1-100)]]&lt;=100,"Very High")</f>
        <v>Medium</v>
      </c>
      <c r="H763" t="s">
        <v>14</v>
      </c>
      <c r="I763">
        <v>7</v>
      </c>
      <c r="J763" t="str">
        <f>CONCATENATE(Table2[[#This Row],[Work Experience]],"years")</f>
        <v>7years</v>
      </c>
      <c r="K763" t="str">
        <f>CONCATENATE(Table2[[#This Row],[Family Size2]],"members")</f>
        <v>5members</v>
      </c>
      <c r="L763" t="str">
        <f>CONCATENATE(Table2[[#This Row],[Family Size2]],"members")</f>
        <v>5members</v>
      </c>
      <c r="M763">
        <v>5</v>
      </c>
    </row>
    <row r="764" spans="1:13">
      <c r="A764">
        <v>763</v>
      </c>
      <c r="B764" t="s">
        <v>8</v>
      </c>
      <c r="C764">
        <v>64</v>
      </c>
      <c r="D764" t="str" cm="1">
        <f t="array" ref="D764">_xlfn.IFS(Table2[[#This Row],[Age]]&lt;=11,"Gen A",Table2[[#This Row],[Age]]&lt;=27,"Gen Z",Table2[[#This Row],[Age]]&lt;=43,"Millenials",Table2[[#This Row],[Age]]&lt;=59,"Gen X",Table2[[#This Row],[Age]]&lt;=78,"Baby Boomers",Table2[[#This Row],[Age]]&lt;=96,"Silent",Table2[[#This Row],[Age]]&gt;=97,"Greatest")</f>
        <v>Baby Boomers</v>
      </c>
      <c r="E764" s="1">
        <v>93000</v>
      </c>
      <c r="F764">
        <v>67</v>
      </c>
      <c r="G764" t="str" cm="1">
        <f t="array" ref="G764">_xlfn.IFS(Table2[[#This Row],[Spending Score (1-100)]]&lt;=25,"Low",Table2[[#This Row],[Spending Score (1-100)]]&lt;=50,"Medium",Table2[[#This Row],[Spending Score (1-100)]]&lt;=75,"High",Table2[[#This Row],[Spending Score (1-100)]]&lt;=100,"Very High")</f>
        <v>High</v>
      </c>
      <c r="H764" t="s">
        <v>12</v>
      </c>
      <c r="I764">
        <v>0</v>
      </c>
      <c r="J764" t="str">
        <f>CONCATENATE(Table2[[#This Row],[Work Experience]],"years")</f>
        <v>0years</v>
      </c>
      <c r="K764" t="str">
        <f>CONCATENATE(Table2[[#This Row],[Family Size2]],"members")</f>
        <v>2members</v>
      </c>
      <c r="L764" t="str">
        <f>CONCATENATE(Table2[[#This Row],[Family Size2]],"members")</f>
        <v>2members</v>
      </c>
      <c r="M764">
        <v>2</v>
      </c>
    </row>
    <row r="765" spans="1:13">
      <c r="A765">
        <v>764</v>
      </c>
      <c r="B765" t="s">
        <v>11</v>
      </c>
      <c r="C765">
        <v>84</v>
      </c>
      <c r="D765" t="str" cm="1">
        <f t="array" ref="D765">_xlfn.IFS(Table2[[#This Row],[Age]]&lt;=11,"Gen A",Table2[[#This Row],[Age]]&lt;=27,"Gen Z",Table2[[#This Row],[Age]]&lt;=43,"Millenials",Table2[[#This Row],[Age]]&lt;=59,"Gen X",Table2[[#This Row],[Age]]&lt;=78,"Baby Boomers",Table2[[#This Row],[Age]]&lt;=96,"Silent",Table2[[#This Row],[Age]]&gt;=97,"Greatest")</f>
        <v>Silent</v>
      </c>
      <c r="E765" s="1">
        <v>144148</v>
      </c>
      <c r="F765">
        <v>71</v>
      </c>
      <c r="G765" t="str" cm="1">
        <f t="array" ref="G765">_xlfn.IFS(Table2[[#This Row],[Spending Score (1-100)]]&lt;=25,"Low",Table2[[#This Row],[Spending Score (1-100)]]&lt;=50,"Medium",Table2[[#This Row],[Spending Score (1-100)]]&lt;=75,"High",Table2[[#This Row],[Spending Score (1-100)]]&lt;=100,"Very High")</f>
        <v>High</v>
      </c>
      <c r="H765" t="s">
        <v>16</v>
      </c>
      <c r="I765">
        <v>1</v>
      </c>
      <c r="J765" t="str">
        <f>CONCATENATE(Table2[[#This Row],[Work Experience]],"years")</f>
        <v>1years</v>
      </c>
      <c r="K765" t="str">
        <f>CONCATENATE(Table2[[#This Row],[Family Size2]],"members")</f>
        <v>4members</v>
      </c>
      <c r="L765" t="str">
        <f>CONCATENATE(Table2[[#This Row],[Family Size2]],"members")</f>
        <v>4members</v>
      </c>
      <c r="M765">
        <v>4</v>
      </c>
    </row>
    <row r="766" spans="1:13">
      <c r="A766">
        <v>765</v>
      </c>
      <c r="B766" t="s">
        <v>8</v>
      </c>
      <c r="C766">
        <v>12</v>
      </c>
      <c r="D766" t="str" cm="1">
        <f t="array" ref="D766">_xlfn.IFS(Table2[[#This Row],[Age]]&lt;=11,"Gen A",Table2[[#This Row],[Age]]&lt;=27,"Gen Z",Table2[[#This Row],[Age]]&lt;=43,"Millenials",Table2[[#This Row],[Age]]&lt;=59,"Gen X",Table2[[#This Row],[Age]]&lt;=78,"Baby Boomers",Table2[[#This Row],[Age]]&lt;=96,"Silent",Table2[[#This Row],[Age]]&gt;=97,"Greatest")</f>
        <v>Gen Z</v>
      </c>
      <c r="E766" s="1">
        <v>101388</v>
      </c>
      <c r="F766">
        <v>90</v>
      </c>
      <c r="G766" t="str" cm="1">
        <f t="array" ref="G766">_xlfn.IFS(Table2[[#This Row],[Spending Score (1-100)]]&lt;=25,"Low",Table2[[#This Row],[Spending Score (1-100)]]&lt;=50,"Medium",Table2[[#This Row],[Spending Score (1-100)]]&lt;=75,"High",Table2[[#This Row],[Spending Score (1-100)]]&lt;=100,"Very High")</f>
        <v>Very High</v>
      </c>
      <c r="H766" t="s">
        <v>14</v>
      </c>
      <c r="I766">
        <v>0</v>
      </c>
      <c r="J766" t="str">
        <f>CONCATENATE(Table2[[#This Row],[Work Experience]],"years")</f>
        <v>0years</v>
      </c>
      <c r="K766" t="str">
        <f>CONCATENATE(Table2[[#This Row],[Family Size2]],"members")</f>
        <v>2members</v>
      </c>
      <c r="L766" t="str">
        <f>CONCATENATE(Table2[[#This Row],[Family Size2]],"members")</f>
        <v>2members</v>
      </c>
      <c r="M766">
        <v>2</v>
      </c>
    </row>
    <row r="767" spans="1:13">
      <c r="A767">
        <v>766</v>
      </c>
      <c r="B767" t="s">
        <v>11</v>
      </c>
      <c r="C767">
        <v>56</v>
      </c>
      <c r="D767" t="str" cm="1">
        <f t="array" ref="D767">_xlfn.IFS(Table2[[#This Row],[Age]]&lt;=11,"Gen A",Table2[[#This Row],[Age]]&lt;=27,"Gen Z",Table2[[#This Row],[Age]]&lt;=43,"Millenials",Table2[[#This Row],[Age]]&lt;=59,"Gen X",Table2[[#This Row],[Age]]&lt;=78,"Baby Boomers",Table2[[#This Row],[Age]]&lt;=96,"Silent",Table2[[#This Row],[Age]]&gt;=97,"Greatest")</f>
        <v>Gen X</v>
      </c>
      <c r="E767" s="1">
        <v>171560</v>
      </c>
      <c r="F767">
        <v>78</v>
      </c>
      <c r="G767" t="str" cm="1">
        <f t="array" ref="G767">_xlfn.IFS(Table2[[#This Row],[Spending Score (1-100)]]&lt;=25,"Low",Table2[[#This Row],[Spending Score (1-100)]]&lt;=50,"Medium",Table2[[#This Row],[Spending Score (1-100)]]&lt;=75,"High",Table2[[#This Row],[Spending Score (1-100)]]&lt;=100,"Very High")</f>
        <v>Very High</v>
      </c>
      <c r="H767" t="s">
        <v>10</v>
      </c>
      <c r="I767">
        <v>0</v>
      </c>
      <c r="J767" t="str">
        <f>CONCATENATE(Table2[[#This Row],[Work Experience]],"years")</f>
        <v>0years</v>
      </c>
      <c r="K767" t="str">
        <f>CONCATENATE(Table2[[#This Row],[Family Size2]],"members")</f>
        <v>2members</v>
      </c>
      <c r="L767" t="str">
        <f>CONCATENATE(Table2[[#This Row],[Family Size2]],"members")</f>
        <v>2members</v>
      </c>
      <c r="M767">
        <v>2</v>
      </c>
    </row>
    <row r="768" spans="1:13">
      <c r="A768">
        <v>767</v>
      </c>
      <c r="B768" t="s">
        <v>8</v>
      </c>
      <c r="C768">
        <v>58</v>
      </c>
      <c r="D768" t="str" cm="1">
        <f t="array" ref="D768">_xlfn.IFS(Table2[[#This Row],[Age]]&lt;=11,"Gen A",Table2[[#This Row],[Age]]&lt;=27,"Gen Z",Table2[[#This Row],[Age]]&lt;=43,"Millenials",Table2[[#This Row],[Age]]&lt;=59,"Gen X",Table2[[#This Row],[Age]]&lt;=78,"Baby Boomers",Table2[[#This Row],[Age]]&lt;=96,"Silent",Table2[[#This Row],[Age]]&gt;=97,"Greatest")</f>
        <v>Gen X</v>
      </c>
      <c r="E768" s="1">
        <v>156366</v>
      </c>
      <c r="F768">
        <v>60</v>
      </c>
      <c r="G768" t="str" cm="1">
        <f t="array" ref="G768">_xlfn.IFS(Table2[[#This Row],[Spending Score (1-100)]]&lt;=25,"Low",Table2[[#This Row],[Spending Score (1-100)]]&lt;=50,"Medium",Table2[[#This Row],[Spending Score (1-100)]]&lt;=75,"High",Table2[[#This Row],[Spending Score (1-100)]]&lt;=100,"Very High")</f>
        <v>High</v>
      </c>
      <c r="H768" t="s">
        <v>13</v>
      </c>
      <c r="I768">
        <v>8</v>
      </c>
      <c r="J768" t="str">
        <f>CONCATENATE(Table2[[#This Row],[Work Experience]],"years")</f>
        <v>8years</v>
      </c>
      <c r="K768" t="str">
        <f>CONCATENATE(Table2[[#This Row],[Family Size2]],"members")</f>
        <v>1members</v>
      </c>
      <c r="L768" t="str">
        <f>CONCATENATE(Table2[[#This Row],[Family Size2]],"members")</f>
        <v>1members</v>
      </c>
      <c r="M768">
        <v>1</v>
      </c>
    </row>
    <row r="769" spans="1:13">
      <c r="A769">
        <v>768</v>
      </c>
      <c r="B769" t="s">
        <v>11</v>
      </c>
      <c r="C769">
        <v>0</v>
      </c>
      <c r="D769" t="str" cm="1">
        <f t="array" ref="D769">_xlfn.IFS(Table2[[#This Row],[Age]]&lt;=11,"Gen A",Table2[[#This Row],[Age]]&lt;=27,"Gen Z",Table2[[#This Row],[Age]]&lt;=43,"Millenials",Table2[[#This Row],[Age]]&lt;=59,"Gen X",Table2[[#This Row],[Age]]&lt;=78,"Baby Boomers",Table2[[#This Row],[Age]]&lt;=96,"Silent",Table2[[#This Row],[Age]]&gt;=97,"Greatest")</f>
        <v>Gen A</v>
      </c>
      <c r="E769" s="1">
        <v>143910</v>
      </c>
      <c r="F769">
        <v>22</v>
      </c>
      <c r="G769" t="str" cm="1">
        <f t="array" ref="G769">_xlfn.IFS(Table2[[#This Row],[Spending Score (1-100)]]&lt;=25,"Low",Table2[[#This Row],[Spending Score (1-100)]]&lt;=50,"Medium",Table2[[#This Row],[Spending Score (1-100)]]&lt;=75,"High",Table2[[#This Row],[Spending Score (1-100)]]&lt;=100,"Very High")</f>
        <v>Low</v>
      </c>
      <c r="H769" t="s">
        <v>18</v>
      </c>
      <c r="I769">
        <v>1</v>
      </c>
      <c r="J769" t="str">
        <f>CONCATENATE(Table2[[#This Row],[Work Experience]],"years")</f>
        <v>1years</v>
      </c>
      <c r="K769" t="str">
        <f>CONCATENATE(Table2[[#This Row],[Family Size2]],"members")</f>
        <v>7members</v>
      </c>
      <c r="L769" t="str">
        <f>CONCATENATE(Table2[[#This Row],[Family Size2]],"members")</f>
        <v>7members</v>
      </c>
      <c r="M769">
        <v>7</v>
      </c>
    </row>
    <row r="770" spans="1:13">
      <c r="A770">
        <v>769</v>
      </c>
      <c r="B770" t="s">
        <v>11</v>
      </c>
      <c r="C770">
        <v>25</v>
      </c>
      <c r="D770" t="str" cm="1">
        <f t="array" ref="D770">_xlfn.IFS(Table2[[#This Row],[Age]]&lt;=11,"Gen A",Table2[[#This Row],[Age]]&lt;=27,"Gen Z",Table2[[#This Row],[Age]]&lt;=43,"Millenials",Table2[[#This Row],[Age]]&lt;=59,"Gen X",Table2[[#This Row],[Age]]&lt;=78,"Baby Boomers",Table2[[#This Row],[Age]]&lt;=96,"Silent",Table2[[#This Row],[Age]]&gt;=97,"Greatest")</f>
        <v>Gen Z</v>
      </c>
      <c r="E770" s="1">
        <v>106569</v>
      </c>
      <c r="F770">
        <v>84</v>
      </c>
      <c r="G770" t="str" cm="1">
        <f t="array" ref="G770">_xlfn.IFS(Table2[[#This Row],[Spending Score (1-100)]]&lt;=25,"Low",Table2[[#This Row],[Spending Score (1-100)]]&lt;=50,"Medium",Table2[[#This Row],[Spending Score (1-100)]]&lt;=75,"High",Table2[[#This Row],[Spending Score (1-100)]]&lt;=100,"Very High")</f>
        <v>Very High</v>
      </c>
      <c r="H770" t="s">
        <v>10</v>
      </c>
      <c r="I770">
        <v>1</v>
      </c>
      <c r="J770" t="str">
        <f>CONCATENATE(Table2[[#This Row],[Work Experience]],"years")</f>
        <v>1years</v>
      </c>
      <c r="K770" t="str">
        <f>CONCATENATE(Table2[[#This Row],[Family Size2]],"members")</f>
        <v>3members</v>
      </c>
      <c r="L770" t="str">
        <f>CONCATENATE(Table2[[#This Row],[Family Size2]],"members")</f>
        <v>3members</v>
      </c>
      <c r="M770">
        <v>3</v>
      </c>
    </row>
    <row r="771" spans="1:13">
      <c r="A771">
        <v>770</v>
      </c>
      <c r="B771" t="s">
        <v>8</v>
      </c>
      <c r="C771">
        <v>28</v>
      </c>
      <c r="D771" t="str" cm="1">
        <f t="array" ref="D771">_xlfn.IFS(Table2[[#This Row],[Age]]&lt;=11,"Gen A",Table2[[#This Row],[Age]]&lt;=27,"Gen Z",Table2[[#This Row],[Age]]&lt;=43,"Millenials",Table2[[#This Row],[Age]]&lt;=59,"Gen X",Table2[[#This Row],[Age]]&lt;=78,"Baby Boomers",Table2[[#This Row],[Age]]&lt;=96,"Silent",Table2[[#This Row],[Age]]&gt;=97,"Greatest")</f>
        <v>Millenials</v>
      </c>
      <c r="E771" s="1">
        <v>173009</v>
      </c>
      <c r="F771">
        <v>25</v>
      </c>
      <c r="G771" t="str" cm="1">
        <f t="array" ref="G771">_xlfn.IFS(Table2[[#This Row],[Spending Score (1-100)]]&lt;=25,"Low",Table2[[#This Row],[Spending Score (1-100)]]&lt;=50,"Medium",Table2[[#This Row],[Spending Score (1-100)]]&lt;=75,"High",Table2[[#This Row],[Spending Score (1-100)]]&lt;=100,"Very High")</f>
        <v>Low</v>
      </c>
      <c r="H771" t="s">
        <v>9</v>
      </c>
      <c r="I771">
        <v>9</v>
      </c>
      <c r="J771" t="str">
        <f>CONCATENATE(Table2[[#This Row],[Work Experience]],"years")</f>
        <v>9years</v>
      </c>
      <c r="K771" t="str">
        <f>CONCATENATE(Table2[[#This Row],[Family Size2]],"members")</f>
        <v>6members</v>
      </c>
      <c r="L771" t="str">
        <f>CONCATENATE(Table2[[#This Row],[Family Size2]],"members")</f>
        <v>6members</v>
      </c>
      <c r="M771">
        <v>6</v>
      </c>
    </row>
    <row r="772" spans="1:13">
      <c r="A772">
        <v>771</v>
      </c>
      <c r="B772" t="s">
        <v>8</v>
      </c>
      <c r="C772">
        <v>78</v>
      </c>
      <c r="D772" t="str" cm="1">
        <f t="array" ref="D772">_xlfn.IFS(Table2[[#This Row],[Age]]&lt;=11,"Gen A",Table2[[#This Row],[Age]]&lt;=27,"Gen Z",Table2[[#This Row],[Age]]&lt;=43,"Millenials",Table2[[#This Row],[Age]]&lt;=59,"Gen X",Table2[[#This Row],[Age]]&lt;=78,"Baby Boomers",Table2[[#This Row],[Age]]&lt;=96,"Silent",Table2[[#This Row],[Age]]&gt;=97,"Greatest")</f>
        <v>Baby Boomers</v>
      </c>
      <c r="E772" s="1">
        <v>54252</v>
      </c>
      <c r="F772">
        <v>29</v>
      </c>
      <c r="G772" t="str" cm="1">
        <f t="array" ref="G772">_xlfn.IFS(Table2[[#This Row],[Spending Score (1-100)]]&lt;=25,"Low",Table2[[#This Row],[Spending Score (1-100)]]&lt;=50,"Medium",Table2[[#This Row],[Spending Score (1-100)]]&lt;=75,"High",Table2[[#This Row],[Spending Score (1-100)]]&lt;=100,"Very High")</f>
        <v>Medium</v>
      </c>
      <c r="H772" t="s">
        <v>10</v>
      </c>
      <c r="I772">
        <v>0</v>
      </c>
      <c r="J772" t="str">
        <f>CONCATENATE(Table2[[#This Row],[Work Experience]],"years")</f>
        <v>0years</v>
      </c>
      <c r="K772" t="str">
        <f>CONCATENATE(Table2[[#This Row],[Family Size2]],"members")</f>
        <v>5members</v>
      </c>
      <c r="L772" t="str">
        <f>CONCATENATE(Table2[[#This Row],[Family Size2]],"members")</f>
        <v>5members</v>
      </c>
      <c r="M772">
        <v>5</v>
      </c>
    </row>
    <row r="773" spans="1:13">
      <c r="A773">
        <v>772</v>
      </c>
      <c r="B773" t="s">
        <v>8</v>
      </c>
      <c r="C773">
        <v>56</v>
      </c>
      <c r="D773" t="str" cm="1">
        <f t="array" ref="D773">_xlfn.IFS(Table2[[#This Row],[Age]]&lt;=11,"Gen A",Table2[[#This Row],[Age]]&lt;=27,"Gen Z",Table2[[#This Row],[Age]]&lt;=43,"Millenials",Table2[[#This Row],[Age]]&lt;=59,"Gen X",Table2[[#This Row],[Age]]&lt;=78,"Baby Boomers",Table2[[#This Row],[Age]]&lt;=96,"Silent",Table2[[#This Row],[Age]]&gt;=97,"Greatest")</f>
        <v>Gen X</v>
      </c>
      <c r="E773" s="1">
        <v>104600</v>
      </c>
      <c r="F773">
        <v>57</v>
      </c>
      <c r="G773" t="str" cm="1">
        <f t="array" ref="G773">_xlfn.IFS(Table2[[#This Row],[Spending Score (1-100)]]&lt;=25,"Low",Table2[[#This Row],[Spending Score (1-100)]]&lt;=50,"Medium",Table2[[#This Row],[Spending Score (1-100)]]&lt;=75,"High",Table2[[#This Row],[Spending Score (1-100)]]&lt;=100,"Very High")</f>
        <v>High</v>
      </c>
      <c r="H773" t="s">
        <v>13</v>
      </c>
      <c r="I773">
        <v>6</v>
      </c>
      <c r="J773" t="str">
        <f>CONCATENATE(Table2[[#This Row],[Work Experience]],"years")</f>
        <v>6years</v>
      </c>
      <c r="K773" t="str">
        <f>CONCATENATE(Table2[[#This Row],[Family Size2]],"members")</f>
        <v>3members</v>
      </c>
      <c r="L773" t="str">
        <f>CONCATENATE(Table2[[#This Row],[Family Size2]],"members")</f>
        <v>3members</v>
      </c>
      <c r="M773">
        <v>3</v>
      </c>
    </row>
    <row r="774" spans="1:13">
      <c r="A774">
        <v>773</v>
      </c>
      <c r="B774" t="s">
        <v>8</v>
      </c>
      <c r="C774">
        <v>91</v>
      </c>
      <c r="D774" t="str" cm="1">
        <f t="array" ref="D774">_xlfn.IFS(Table2[[#This Row],[Age]]&lt;=11,"Gen A",Table2[[#This Row],[Age]]&lt;=27,"Gen Z",Table2[[#This Row],[Age]]&lt;=43,"Millenials",Table2[[#This Row],[Age]]&lt;=59,"Gen X",Table2[[#This Row],[Age]]&lt;=78,"Baby Boomers",Table2[[#This Row],[Age]]&lt;=96,"Silent",Table2[[#This Row],[Age]]&gt;=97,"Greatest")</f>
        <v>Silent</v>
      </c>
      <c r="E774" s="1">
        <v>50250</v>
      </c>
      <c r="F774">
        <v>54</v>
      </c>
      <c r="G774" t="str" cm="1">
        <f t="array" ref="G774">_xlfn.IFS(Table2[[#This Row],[Spending Score (1-100)]]&lt;=25,"Low",Table2[[#This Row],[Spending Score (1-100)]]&lt;=50,"Medium",Table2[[#This Row],[Spending Score (1-100)]]&lt;=75,"High",Table2[[#This Row],[Spending Score (1-100)]]&lt;=100,"Very High")</f>
        <v>High</v>
      </c>
      <c r="H774" t="s">
        <v>14</v>
      </c>
      <c r="I774">
        <v>0</v>
      </c>
      <c r="J774" t="str">
        <f>CONCATENATE(Table2[[#This Row],[Work Experience]],"years")</f>
        <v>0years</v>
      </c>
      <c r="K774" t="str">
        <f>CONCATENATE(Table2[[#This Row],[Family Size2]],"members")</f>
        <v>2members</v>
      </c>
      <c r="L774" t="str">
        <f>CONCATENATE(Table2[[#This Row],[Family Size2]],"members")</f>
        <v>2members</v>
      </c>
      <c r="M774">
        <v>2</v>
      </c>
    </row>
    <row r="775" spans="1:13">
      <c r="A775">
        <v>774</v>
      </c>
      <c r="B775" t="s">
        <v>8</v>
      </c>
      <c r="C775">
        <v>77</v>
      </c>
      <c r="D775" t="str" cm="1">
        <f t="array" ref="D775">_xlfn.IFS(Table2[[#This Row],[Age]]&lt;=11,"Gen A",Table2[[#This Row],[Age]]&lt;=27,"Gen Z",Table2[[#This Row],[Age]]&lt;=43,"Millenials",Table2[[#This Row],[Age]]&lt;=59,"Gen X",Table2[[#This Row],[Age]]&lt;=78,"Baby Boomers",Table2[[#This Row],[Age]]&lt;=96,"Silent",Table2[[#This Row],[Age]]&gt;=97,"Greatest")</f>
        <v>Baby Boomers</v>
      </c>
      <c r="E775" s="1">
        <v>93242</v>
      </c>
      <c r="F775">
        <v>84</v>
      </c>
      <c r="G775" t="str" cm="1">
        <f t="array" ref="G775">_xlfn.IFS(Table2[[#This Row],[Spending Score (1-100)]]&lt;=25,"Low",Table2[[#This Row],[Spending Score (1-100)]]&lt;=50,"Medium",Table2[[#This Row],[Spending Score (1-100)]]&lt;=75,"High",Table2[[#This Row],[Spending Score (1-100)]]&lt;=100,"Very High")</f>
        <v>Very High</v>
      </c>
      <c r="H775" t="s">
        <v>13</v>
      </c>
      <c r="I775">
        <v>0</v>
      </c>
      <c r="J775" t="str">
        <f>CONCATENATE(Table2[[#This Row],[Work Experience]],"years")</f>
        <v>0years</v>
      </c>
      <c r="K775" t="str">
        <f>CONCATENATE(Table2[[#This Row],[Family Size2]],"members")</f>
        <v>7members</v>
      </c>
      <c r="L775" t="str">
        <f>CONCATENATE(Table2[[#This Row],[Family Size2]],"members")</f>
        <v>7members</v>
      </c>
      <c r="M775">
        <v>7</v>
      </c>
    </row>
    <row r="776" spans="1:13">
      <c r="A776">
        <v>775</v>
      </c>
      <c r="B776" t="s">
        <v>11</v>
      </c>
      <c r="C776">
        <v>83</v>
      </c>
      <c r="D776" t="str" cm="1">
        <f t="array" ref="D776">_xlfn.IFS(Table2[[#This Row],[Age]]&lt;=11,"Gen A",Table2[[#This Row],[Age]]&lt;=27,"Gen Z",Table2[[#This Row],[Age]]&lt;=43,"Millenials",Table2[[#This Row],[Age]]&lt;=59,"Gen X",Table2[[#This Row],[Age]]&lt;=78,"Baby Boomers",Table2[[#This Row],[Age]]&lt;=96,"Silent",Table2[[#This Row],[Age]]&gt;=97,"Greatest")</f>
        <v>Silent</v>
      </c>
      <c r="E776" s="1">
        <v>156839</v>
      </c>
      <c r="F776">
        <v>38</v>
      </c>
      <c r="G776" t="str" cm="1">
        <f t="array" ref="G776">_xlfn.IFS(Table2[[#This Row],[Spending Score (1-100)]]&lt;=25,"Low",Table2[[#This Row],[Spending Score (1-100)]]&lt;=50,"Medium",Table2[[#This Row],[Spending Score (1-100)]]&lt;=75,"High",Table2[[#This Row],[Spending Score (1-100)]]&lt;=100,"Very High")</f>
        <v>Medium</v>
      </c>
      <c r="H776" t="s">
        <v>14</v>
      </c>
      <c r="I776">
        <v>3</v>
      </c>
      <c r="J776" t="str">
        <f>CONCATENATE(Table2[[#This Row],[Work Experience]],"years")</f>
        <v>3years</v>
      </c>
      <c r="K776" t="str">
        <f>CONCATENATE(Table2[[#This Row],[Family Size2]],"members")</f>
        <v>7members</v>
      </c>
      <c r="L776" t="str">
        <f>CONCATENATE(Table2[[#This Row],[Family Size2]],"members")</f>
        <v>7members</v>
      </c>
      <c r="M776">
        <v>7</v>
      </c>
    </row>
    <row r="777" spans="1:13">
      <c r="A777">
        <v>776</v>
      </c>
      <c r="B777" t="s">
        <v>11</v>
      </c>
      <c r="C777">
        <v>64</v>
      </c>
      <c r="D777" t="str" cm="1">
        <f t="array" ref="D777">_xlfn.IFS(Table2[[#This Row],[Age]]&lt;=11,"Gen A",Table2[[#This Row],[Age]]&lt;=27,"Gen Z",Table2[[#This Row],[Age]]&lt;=43,"Millenials",Table2[[#This Row],[Age]]&lt;=59,"Gen X",Table2[[#This Row],[Age]]&lt;=78,"Baby Boomers",Table2[[#This Row],[Age]]&lt;=96,"Silent",Table2[[#This Row],[Age]]&gt;=97,"Greatest")</f>
        <v>Baby Boomers</v>
      </c>
      <c r="E777" s="1">
        <v>71305</v>
      </c>
      <c r="F777">
        <v>39</v>
      </c>
      <c r="G777" t="str" cm="1">
        <f t="array" ref="G777">_xlfn.IFS(Table2[[#This Row],[Spending Score (1-100)]]&lt;=25,"Low",Table2[[#This Row],[Spending Score (1-100)]]&lt;=50,"Medium",Table2[[#This Row],[Spending Score (1-100)]]&lt;=75,"High",Table2[[#This Row],[Spending Score (1-100)]]&lt;=100,"Very High")</f>
        <v>Medium</v>
      </c>
      <c r="H777" t="s">
        <v>14</v>
      </c>
      <c r="I777">
        <v>9</v>
      </c>
      <c r="J777" t="str">
        <f>CONCATENATE(Table2[[#This Row],[Work Experience]],"years")</f>
        <v>9years</v>
      </c>
      <c r="K777" t="str">
        <f>CONCATENATE(Table2[[#This Row],[Family Size2]],"members")</f>
        <v>2members</v>
      </c>
      <c r="L777" t="str">
        <f>CONCATENATE(Table2[[#This Row],[Family Size2]],"members")</f>
        <v>2members</v>
      </c>
      <c r="M777">
        <v>2</v>
      </c>
    </row>
    <row r="778" spans="1:13">
      <c r="A778">
        <v>777</v>
      </c>
      <c r="B778" t="s">
        <v>8</v>
      </c>
      <c r="C778">
        <v>19</v>
      </c>
      <c r="D778" t="str" cm="1">
        <f t="array" ref="D778">_xlfn.IFS(Table2[[#This Row],[Age]]&lt;=11,"Gen A",Table2[[#This Row],[Age]]&lt;=27,"Gen Z",Table2[[#This Row],[Age]]&lt;=43,"Millenials",Table2[[#This Row],[Age]]&lt;=59,"Gen X",Table2[[#This Row],[Age]]&lt;=78,"Baby Boomers",Table2[[#This Row],[Age]]&lt;=96,"Silent",Table2[[#This Row],[Age]]&gt;=97,"Greatest")</f>
        <v>Gen Z</v>
      </c>
      <c r="E778" s="1">
        <v>85975</v>
      </c>
      <c r="F778">
        <v>73</v>
      </c>
      <c r="G778" t="str" cm="1">
        <f t="array" ref="G778">_xlfn.IFS(Table2[[#This Row],[Spending Score (1-100)]]&lt;=25,"Low",Table2[[#This Row],[Spending Score (1-100)]]&lt;=50,"Medium",Table2[[#This Row],[Spending Score (1-100)]]&lt;=75,"High",Table2[[#This Row],[Spending Score (1-100)]]&lt;=100,"Very High")</f>
        <v>High</v>
      </c>
      <c r="H778" t="s">
        <v>13</v>
      </c>
      <c r="I778">
        <v>0</v>
      </c>
      <c r="J778" t="str">
        <f>CONCATENATE(Table2[[#This Row],[Work Experience]],"years")</f>
        <v>0years</v>
      </c>
      <c r="K778" t="str">
        <f>CONCATENATE(Table2[[#This Row],[Family Size2]],"members")</f>
        <v>6members</v>
      </c>
      <c r="L778" t="str">
        <f>CONCATENATE(Table2[[#This Row],[Family Size2]],"members")</f>
        <v>6members</v>
      </c>
      <c r="M778">
        <v>6</v>
      </c>
    </row>
    <row r="779" spans="1:13">
      <c r="A779">
        <v>778</v>
      </c>
      <c r="B779" t="s">
        <v>8</v>
      </c>
      <c r="C779">
        <v>94</v>
      </c>
      <c r="D779" t="str" cm="1">
        <f t="array" ref="D779">_xlfn.IFS(Table2[[#This Row],[Age]]&lt;=11,"Gen A",Table2[[#This Row],[Age]]&lt;=27,"Gen Z",Table2[[#This Row],[Age]]&lt;=43,"Millenials",Table2[[#This Row],[Age]]&lt;=59,"Gen X",Table2[[#This Row],[Age]]&lt;=78,"Baby Boomers",Table2[[#This Row],[Age]]&lt;=96,"Silent",Table2[[#This Row],[Age]]&gt;=97,"Greatest")</f>
        <v>Silent</v>
      </c>
      <c r="E779" s="1">
        <v>188107</v>
      </c>
      <c r="F779">
        <v>52</v>
      </c>
      <c r="G779" t="str" cm="1">
        <f t="array" ref="G779">_xlfn.IFS(Table2[[#This Row],[Spending Score (1-100)]]&lt;=25,"Low",Table2[[#This Row],[Spending Score (1-100)]]&lt;=50,"Medium",Table2[[#This Row],[Spending Score (1-100)]]&lt;=75,"High",Table2[[#This Row],[Spending Score (1-100)]]&lt;=100,"Very High")</f>
        <v>High</v>
      </c>
      <c r="H779" t="s">
        <v>10</v>
      </c>
      <c r="I779">
        <v>10</v>
      </c>
      <c r="J779" t="str">
        <f>CONCATENATE(Table2[[#This Row],[Work Experience]],"years")</f>
        <v>10years</v>
      </c>
      <c r="K779" t="str">
        <f>CONCATENATE(Table2[[#This Row],[Family Size2]],"members")</f>
        <v>2members</v>
      </c>
      <c r="L779" t="str">
        <f>CONCATENATE(Table2[[#This Row],[Family Size2]],"members")</f>
        <v>2members</v>
      </c>
      <c r="M779">
        <v>2</v>
      </c>
    </row>
    <row r="780" spans="1:13">
      <c r="A780">
        <v>779</v>
      </c>
      <c r="B780" t="s">
        <v>8</v>
      </c>
      <c r="C780">
        <v>19</v>
      </c>
      <c r="D780" t="str" cm="1">
        <f t="array" ref="D780">_xlfn.IFS(Table2[[#This Row],[Age]]&lt;=11,"Gen A",Table2[[#This Row],[Age]]&lt;=27,"Gen Z",Table2[[#This Row],[Age]]&lt;=43,"Millenials",Table2[[#This Row],[Age]]&lt;=59,"Gen X",Table2[[#This Row],[Age]]&lt;=78,"Baby Boomers",Table2[[#This Row],[Age]]&lt;=96,"Silent",Table2[[#This Row],[Age]]&gt;=97,"Greatest")</f>
        <v>Gen Z</v>
      </c>
      <c r="E780" s="1">
        <v>82333</v>
      </c>
      <c r="F780">
        <v>35</v>
      </c>
      <c r="G780" t="str" cm="1">
        <f t="array" ref="G780">_xlfn.IFS(Table2[[#This Row],[Spending Score (1-100)]]&lt;=25,"Low",Table2[[#This Row],[Spending Score (1-100)]]&lt;=50,"Medium",Table2[[#This Row],[Spending Score (1-100)]]&lt;=75,"High",Table2[[#This Row],[Spending Score (1-100)]]&lt;=100,"Very High")</f>
        <v>Medium</v>
      </c>
      <c r="H780" t="s">
        <v>18</v>
      </c>
      <c r="I780">
        <v>1</v>
      </c>
      <c r="J780" t="str">
        <f>CONCATENATE(Table2[[#This Row],[Work Experience]],"years")</f>
        <v>1years</v>
      </c>
      <c r="K780" t="str">
        <f>CONCATENATE(Table2[[#This Row],[Family Size2]],"members")</f>
        <v>2members</v>
      </c>
      <c r="L780" t="str">
        <f>CONCATENATE(Table2[[#This Row],[Family Size2]],"members")</f>
        <v>2members</v>
      </c>
      <c r="M780">
        <v>2</v>
      </c>
    </row>
    <row r="781" spans="1:13">
      <c r="A781">
        <v>780</v>
      </c>
      <c r="B781" t="s">
        <v>8</v>
      </c>
      <c r="C781">
        <v>84</v>
      </c>
      <c r="D781" t="str" cm="1">
        <f t="array" ref="D781">_xlfn.IFS(Table2[[#This Row],[Age]]&lt;=11,"Gen A",Table2[[#This Row],[Age]]&lt;=27,"Gen Z",Table2[[#This Row],[Age]]&lt;=43,"Millenials",Table2[[#This Row],[Age]]&lt;=59,"Gen X",Table2[[#This Row],[Age]]&lt;=78,"Baby Boomers",Table2[[#This Row],[Age]]&lt;=96,"Silent",Table2[[#This Row],[Age]]&gt;=97,"Greatest")</f>
        <v>Silent</v>
      </c>
      <c r="E781" s="1">
        <v>125016</v>
      </c>
      <c r="F781">
        <v>25</v>
      </c>
      <c r="G781" t="str" cm="1">
        <f t="array" ref="G781">_xlfn.IFS(Table2[[#This Row],[Spending Score (1-100)]]&lt;=25,"Low",Table2[[#This Row],[Spending Score (1-100)]]&lt;=50,"Medium",Table2[[#This Row],[Spending Score (1-100)]]&lt;=75,"High",Table2[[#This Row],[Spending Score (1-100)]]&lt;=100,"Very High")</f>
        <v>Low</v>
      </c>
      <c r="H781" t="s">
        <v>13</v>
      </c>
      <c r="I781">
        <v>1</v>
      </c>
      <c r="J781" t="str">
        <f>CONCATENATE(Table2[[#This Row],[Work Experience]],"years")</f>
        <v>1years</v>
      </c>
      <c r="K781" t="str">
        <f>CONCATENATE(Table2[[#This Row],[Family Size2]],"members")</f>
        <v>7members</v>
      </c>
      <c r="L781" t="str">
        <f>CONCATENATE(Table2[[#This Row],[Family Size2]],"members")</f>
        <v>7members</v>
      </c>
      <c r="M781">
        <v>7</v>
      </c>
    </row>
    <row r="782" spans="1:13">
      <c r="A782">
        <v>781</v>
      </c>
      <c r="B782" t="s">
        <v>11</v>
      </c>
      <c r="C782">
        <v>10</v>
      </c>
      <c r="D782" t="str" cm="1">
        <f t="array" ref="D782">_xlfn.IFS(Table2[[#This Row],[Age]]&lt;=11,"Gen A",Table2[[#This Row],[Age]]&lt;=27,"Gen Z",Table2[[#This Row],[Age]]&lt;=43,"Millenials",Table2[[#This Row],[Age]]&lt;=59,"Gen X",Table2[[#This Row],[Age]]&lt;=78,"Baby Boomers",Table2[[#This Row],[Age]]&lt;=96,"Silent",Table2[[#This Row],[Age]]&gt;=97,"Greatest")</f>
        <v>Gen A</v>
      </c>
      <c r="E782" s="1">
        <v>148908</v>
      </c>
      <c r="F782">
        <v>10</v>
      </c>
      <c r="G782" t="str" cm="1">
        <f t="array" ref="G782">_xlfn.IFS(Table2[[#This Row],[Spending Score (1-100)]]&lt;=25,"Low",Table2[[#This Row],[Spending Score (1-100)]]&lt;=50,"Medium",Table2[[#This Row],[Spending Score (1-100)]]&lt;=75,"High",Table2[[#This Row],[Spending Score (1-100)]]&lt;=100,"Very High")</f>
        <v>Low</v>
      </c>
      <c r="H782" t="s">
        <v>9</v>
      </c>
      <c r="I782">
        <v>2</v>
      </c>
      <c r="J782" t="str">
        <f>CONCATENATE(Table2[[#This Row],[Work Experience]],"years")</f>
        <v>2years</v>
      </c>
      <c r="K782" t="str">
        <f>CONCATENATE(Table2[[#This Row],[Family Size2]],"members")</f>
        <v>3members</v>
      </c>
      <c r="L782" t="str">
        <f>CONCATENATE(Table2[[#This Row],[Family Size2]],"members")</f>
        <v>3members</v>
      </c>
      <c r="M782">
        <v>3</v>
      </c>
    </row>
    <row r="783" spans="1:13">
      <c r="A783">
        <v>782</v>
      </c>
      <c r="B783" t="s">
        <v>11</v>
      </c>
      <c r="C783">
        <v>19</v>
      </c>
      <c r="D783" t="str" cm="1">
        <f t="array" ref="D783">_xlfn.IFS(Table2[[#This Row],[Age]]&lt;=11,"Gen A",Table2[[#This Row],[Age]]&lt;=27,"Gen Z",Table2[[#This Row],[Age]]&lt;=43,"Millenials",Table2[[#This Row],[Age]]&lt;=59,"Gen X",Table2[[#This Row],[Age]]&lt;=78,"Baby Boomers",Table2[[#This Row],[Age]]&lt;=96,"Silent",Table2[[#This Row],[Age]]&gt;=97,"Greatest")</f>
        <v>Gen Z</v>
      </c>
      <c r="E783" s="1">
        <v>58217</v>
      </c>
      <c r="F783">
        <v>70</v>
      </c>
      <c r="G783" t="str" cm="1">
        <f t="array" ref="G783">_xlfn.IFS(Table2[[#This Row],[Spending Score (1-100)]]&lt;=25,"Low",Table2[[#This Row],[Spending Score (1-100)]]&lt;=50,"Medium",Table2[[#This Row],[Spending Score (1-100)]]&lt;=75,"High",Table2[[#This Row],[Spending Score (1-100)]]&lt;=100,"Very High")</f>
        <v>High</v>
      </c>
      <c r="H783" t="s">
        <v>14</v>
      </c>
      <c r="I783">
        <v>0</v>
      </c>
      <c r="J783" t="str">
        <f>CONCATENATE(Table2[[#This Row],[Work Experience]],"years")</f>
        <v>0years</v>
      </c>
      <c r="K783" t="str">
        <f>CONCATENATE(Table2[[#This Row],[Family Size2]],"members")</f>
        <v>1members</v>
      </c>
      <c r="L783" t="str">
        <f>CONCATENATE(Table2[[#This Row],[Family Size2]],"members")</f>
        <v>1members</v>
      </c>
      <c r="M783">
        <v>1</v>
      </c>
    </row>
    <row r="784" spans="1:13">
      <c r="A784">
        <v>783</v>
      </c>
      <c r="B784" t="s">
        <v>8</v>
      </c>
      <c r="C784">
        <v>74</v>
      </c>
      <c r="D784" t="str" cm="1">
        <f t="array" ref="D784">_xlfn.IFS(Table2[[#This Row],[Age]]&lt;=11,"Gen A",Table2[[#This Row],[Age]]&lt;=27,"Gen Z",Table2[[#This Row],[Age]]&lt;=43,"Millenials",Table2[[#This Row],[Age]]&lt;=59,"Gen X",Table2[[#This Row],[Age]]&lt;=78,"Baby Boomers",Table2[[#This Row],[Age]]&lt;=96,"Silent",Table2[[#This Row],[Age]]&gt;=97,"Greatest")</f>
        <v>Baby Boomers</v>
      </c>
      <c r="E784" s="1">
        <v>76521</v>
      </c>
      <c r="F784">
        <v>29</v>
      </c>
      <c r="G784" t="str" cm="1">
        <f t="array" ref="G784">_xlfn.IFS(Table2[[#This Row],[Spending Score (1-100)]]&lt;=25,"Low",Table2[[#This Row],[Spending Score (1-100)]]&lt;=50,"Medium",Table2[[#This Row],[Spending Score (1-100)]]&lt;=75,"High",Table2[[#This Row],[Spending Score (1-100)]]&lt;=100,"Very High")</f>
        <v>Medium</v>
      </c>
      <c r="H784" t="s">
        <v>10</v>
      </c>
      <c r="I784">
        <v>7</v>
      </c>
      <c r="J784" t="str">
        <f>CONCATENATE(Table2[[#This Row],[Work Experience]],"years")</f>
        <v>7years</v>
      </c>
      <c r="K784" t="str">
        <f>CONCATENATE(Table2[[#This Row],[Family Size2]],"members")</f>
        <v>4members</v>
      </c>
      <c r="L784" t="str">
        <f>CONCATENATE(Table2[[#This Row],[Family Size2]],"members")</f>
        <v>4members</v>
      </c>
      <c r="M784">
        <v>4</v>
      </c>
    </row>
    <row r="785" spans="1:13">
      <c r="A785">
        <v>784</v>
      </c>
      <c r="B785" t="s">
        <v>11</v>
      </c>
      <c r="C785">
        <v>95</v>
      </c>
      <c r="D785" t="str" cm="1">
        <f t="array" ref="D785">_xlfn.IFS(Table2[[#This Row],[Age]]&lt;=11,"Gen A",Table2[[#This Row],[Age]]&lt;=27,"Gen Z",Table2[[#This Row],[Age]]&lt;=43,"Millenials",Table2[[#This Row],[Age]]&lt;=59,"Gen X",Table2[[#This Row],[Age]]&lt;=78,"Baby Boomers",Table2[[#This Row],[Age]]&lt;=96,"Silent",Table2[[#This Row],[Age]]&gt;=97,"Greatest")</f>
        <v>Silent</v>
      </c>
      <c r="E785" s="1">
        <v>117763</v>
      </c>
      <c r="F785">
        <v>42</v>
      </c>
      <c r="G785" t="str" cm="1">
        <f t="array" ref="G785">_xlfn.IFS(Table2[[#This Row],[Spending Score (1-100)]]&lt;=25,"Low",Table2[[#This Row],[Spending Score (1-100)]]&lt;=50,"Medium",Table2[[#This Row],[Spending Score (1-100)]]&lt;=75,"High",Table2[[#This Row],[Spending Score (1-100)]]&lt;=100,"Very High")</f>
        <v>Medium</v>
      </c>
      <c r="H785" t="s">
        <v>14</v>
      </c>
      <c r="I785">
        <v>1</v>
      </c>
      <c r="J785" t="str">
        <f>CONCATENATE(Table2[[#This Row],[Work Experience]],"years")</f>
        <v>1years</v>
      </c>
      <c r="K785" t="str">
        <f>CONCATENATE(Table2[[#This Row],[Family Size2]],"members")</f>
        <v>2members</v>
      </c>
      <c r="L785" t="str">
        <f>CONCATENATE(Table2[[#This Row],[Family Size2]],"members")</f>
        <v>2members</v>
      </c>
      <c r="M785">
        <v>2</v>
      </c>
    </row>
    <row r="786" spans="1:13">
      <c r="A786">
        <v>785</v>
      </c>
      <c r="B786" t="s">
        <v>11</v>
      </c>
      <c r="C786">
        <v>34</v>
      </c>
      <c r="D786" t="str" cm="1">
        <f t="array" ref="D786">_xlfn.IFS(Table2[[#This Row],[Age]]&lt;=11,"Gen A",Table2[[#This Row],[Age]]&lt;=27,"Gen Z",Table2[[#This Row],[Age]]&lt;=43,"Millenials",Table2[[#This Row],[Age]]&lt;=59,"Gen X",Table2[[#This Row],[Age]]&lt;=78,"Baby Boomers",Table2[[#This Row],[Age]]&lt;=96,"Silent",Table2[[#This Row],[Age]]&gt;=97,"Greatest")</f>
        <v>Millenials</v>
      </c>
      <c r="E786" s="1">
        <v>115184</v>
      </c>
      <c r="F786">
        <v>93</v>
      </c>
      <c r="G786" t="str" cm="1">
        <f t="array" ref="G786">_xlfn.IFS(Table2[[#This Row],[Spending Score (1-100)]]&lt;=25,"Low",Table2[[#This Row],[Spending Score (1-100)]]&lt;=50,"Medium",Table2[[#This Row],[Spending Score (1-100)]]&lt;=75,"High",Table2[[#This Row],[Spending Score (1-100)]]&lt;=100,"Very High")</f>
        <v>Very High</v>
      </c>
      <c r="H786" t="s">
        <v>17</v>
      </c>
      <c r="I786">
        <v>1</v>
      </c>
      <c r="J786" t="str">
        <f>CONCATENATE(Table2[[#This Row],[Work Experience]],"years")</f>
        <v>1years</v>
      </c>
      <c r="K786" t="str">
        <f>CONCATENATE(Table2[[#This Row],[Family Size2]],"members")</f>
        <v>4members</v>
      </c>
      <c r="L786" t="str">
        <f>CONCATENATE(Table2[[#This Row],[Family Size2]],"members")</f>
        <v>4members</v>
      </c>
      <c r="M786">
        <v>4</v>
      </c>
    </row>
    <row r="787" spans="1:13">
      <c r="A787">
        <v>786</v>
      </c>
      <c r="B787" t="s">
        <v>8</v>
      </c>
      <c r="C787">
        <v>30</v>
      </c>
      <c r="D787" t="str" cm="1">
        <f t="array" ref="D787">_xlfn.IFS(Table2[[#This Row],[Age]]&lt;=11,"Gen A",Table2[[#This Row],[Age]]&lt;=27,"Gen Z",Table2[[#This Row],[Age]]&lt;=43,"Millenials",Table2[[#This Row],[Age]]&lt;=59,"Gen X",Table2[[#This Row],[Age]]&lt;=78,"Baby Boomers",Table2[[#This Row],[Age]]&lt;=96,"Silent",Table2[[#This Row],[Age]]&gt;=97,"Greatest")</f>
        <v>Millenials</v>
      </c>
      <c r="E787" s="1">
        <v>54251</v>
      </c>
      <c r="F787">
        <v>7</v>
      </c>
      <c r="G787" t="str" cm="1">
        <f t="array" ref="G787">_xlfn.IFS(Table2[[#This Row],[Spending Score (1-100)]]&lt;=25,"Low",Table2[[#This Row],[Spending Score (1-100)]]&lt;=50,"Medium",Table2[[#This Row],[Spending Score (1-100)]]&lt;=75,"High",Table2[[#This Row],[Spending Score (1-100)]]&lt;=100,"Very High")</f>
        <v>Low</v>
      </c>
      <c r="H787" t="s">
        <v>14</v>
      </c>
      <c r="I787">
        <v>2</v>
      </c>
      <c r="J787" t="str">
        <f>CONCATENATE(Table2[[#This Row],[Work Experience]],"years")</f>
        <v>2years</v>
      </c>
      <c r="K787" t="str">
        <f>CONCATENATE(Table2[[#This Row],[Family Size2]],"members")</f>
        <v>6members</v>
      </c>
      <c r="L787" t="str">
        <f>CONCATENATE(Table2[[#This Row],[Family Size2]],"members")</f>
        <v>6members</v>
      </c>
      <c r="M787">
        <v>6</v>
      </c>
    </row>
    <row r="788" spans="1:13">
      <c r="A788">
        <v>787</v>
      </c>
      <c r="B788" t="s">
        <v>11</v>
      </c>
      <c r="C788">
        <v>53</v>
      </c>
      <c r="D788" t="str" cm="1">
        <f t="array" ref="D788">_xlfn.IFS(Table2[[#This Row],[Age]]&lt;=11,"Gen A",Table2[[#This Row],[Age]]&lt;=27,"Gen Z",Table2[[#This Row],[Age]]&lt;=43,"Millenials",Table2[[#This Row],[Age]]&lt;=59,"Gen X",Table2[[#This Row],[Age]]&lt;=78,"Baby Boomers",Table2[[#This Row],[Age]]&lt;=96,"Silent",Table2[[#This Row],[Age]]&gt;=97,"Greatest")</f>
        <v>Gen X</v>
      </c>
      <c r="E788" s="1">
        <v>112530</v>
      </c>
      <c r="F788">
        <v>24</v>
      </c>
      <c r="G788" t="str" cm="1">
        <f t="array" ref="G788">_xlfn.IFS(Table2[[#This Row],[Spending Score (1-100)]]&lt;=25,"Low",Table2[[#This Row],[Spending Score (1-100)]]&lt;=50,"Medium",Table2[[#This Row],[Spending Score (1-100)]]&lt;=75,"High",Table2[[#This Row],[Spending Score (1-100)]]&lt;=100,"Very High")</f>
        <v>Low</v>
      </c>
      <c r="H788" t="s">
        <v>13</v>
      </c>
      <c r="I788">
        <v>2</v>
      </c>
      <c r="J788" t="str">
        <f>CONCATENATE(Table2[[#This Row],[Work Experience]],"years")</f>
        <v>2years</v>
      </c>
      <c r="K788" t="str">
        <f>CONCATENATE(Table2[[#This Row],[Family Size2]],"members")</f>
        <v>6members</v>
      </c>
      <c r="L788" t="str">
        <f>CONCATENATE(Table2[[#This Row],[Family Size2]],"members")</f>
        <v>6members</v>
      </c>
      <c r="M788">
        <v>6</v>
      </c>
    </row>
    <row r="789" spans="1:13">
      <c r="A789">
        <v>788</v>
      </c>
      <c r="B789" t="s">
        <v>8</v>
      </c>
      <c r="C789">
        <v>67</v>
      </c>
      <c r="D789" t="str" cm="1">
        <f t="array" ref="D789">_xlfn.IFS(Table2[[#This Row],[Age]]&lt;=11,"Gen A",Table2[[#This Row],[Age]]&lt;=27,"Gen Z",Table2[[#This Row],[Age]]&lt;=43,"Millenials",Table2[[#This Row],[Age]]&lt;=59,"Gen X",Table2[[#This Row],[Age]]&lt;=78,"Baby Boomers",Table2[[#This Row],[Age]]&lt;=96,"Silent",Table2[[#This Row],[Age]]&gt;=97,"Greatest")</f>
        <v>Baby Boomers</v>
      </c>
      <c r="E789" s="1">
        <v>107409</v>
      </c>
      <c r="F789">
        <v>2</v>
      </c>
      <c r="G789" t="str" cm="1">
        <f t="array" ref="G789">_xlfn.IFS(Table2[[#This Row],[Spending Score (1-100)]]&lt;=25,"Low",Table2[[#This Row],[Spending Score (1-100)]]&lt;=50,"Medium",Table2[[#This Row],[Spending Score (1-100)]]&lt;=75,"High",Table2[[#This Row],[Spending Score (1-100)]]&lt;=100,"Very High")</f>
        <v>Low</v>
      </c>
      <c r="H789" t="s">
        <v>14</v>
      </c>
      <c r="I789">
        <v>1</v>
      </c>
      <c r="J789" t="str">
        <f>CONCATENATE(Table2[[#This Row],[Work Experience]],"years")</f>
        <v>1years</v>
      </c>
      <c r="K789" t="str">
        <f>CONCATENATE(Table2[[#This Row],[Family Size2]],"members")</f>
        <v>6members</v>
      </c>
      <c r="L789" t="str">
        <f>CONCATENATE(Table2[[#This Row],[Family Size2]],"members")</f>
        <v>6members</v>
      </c>
      <c r="M789">
        <v>6</v>
      </c>
    </row>
    <row r="790" spans="1:13">
      <c r="A790">
        <v>789</v>
      </c>
      <c r="B790" t="s">
        <v>11</v>
      </c>
      <c r="C790">
        <v>23</v>
      </c>
      <c r="D790" t="str" cm="1">
        <f t="array" ref="D790">_xlfn.IFS(Table2[[#This Row],[Age]]&lt;=11,"Gen A",Table2[[#This Row],[Age]]&lt;=27,"Gen Z",Table2[[#This Row],[Age]]&lt;=43,"Millenials",Table2[[#This Row],[Age]]&lt;=59,"Gen X",Table2[[#This Row],[Age]]&lt;=78,"Baby Boomers",Table2[[#This Row],[Age]]&lt;=96,"Silent",Table2[[#This Row],[Age]]&gt;=97,"Greatest")</f>
        <v>Gen Z</v>
      </c>
      <c r="E790" s="1">
        <v>84793</v>
      </c>
      <c r="F790">
        <v>23</v>
      </c>
      <c r="G790" t="str" cm="1">
        <f t="array" ref="G790">_xlfn.IFS(Table2[[#This Row],[Spending Score (1-100)]]&lt;=25,"Low",Table2[[#This Row],[Spending Score (1-100)]]&lt;=50,"Medium",Table2[[#This Row],[Spending Score (1-100)]]&lt;=75,"High",Table2[[#This Row],[Spending Score (1-100)]]&lt;=100,"Very High")</f>
        <v>Low</v>
      </c>
      <c r="H790" t="s">
        <v>17</v>
      </c>
      <c r="I790">
        <v>9</v>
      </c>
      <c r="J790" t="str">
        <f>CONCATENATE(Table2[[#This Row],[Work Experience]],"years")</f>
        <v>9years</v>
      </c>
      <c r="K790" t="str">
        <f>CONCATENATE(Table2[[#This Row],[Family Size2]],"members")</f>
        <v>6members</v>
      </c>
      <c r="L790" t="str">
        <f>CONCATENATE(Table2[[#This Row],[Family Size2]],"members")</f>
        <v>6members</v>
      </c>
      <c r="M790">
        <v>6</v>
      </c>
    </row>
    <row r="791" spans="1:13">
      <c r="A791">
        <v>790</v>
      </c>
      <c r="B791" t="s">
        <v>11</v>
      </c>
      <c r="C791">
        <v>25</v>
      </c>
      <c r="D791" t="str" cm="1">
        <f t="array" ref="D791">_xlfn.IFS(Table2[[#This Row],[Age]]&lt;=11,"Gen A",Table2[[#This Row],[Age]]&lt;=27,"Gen Z",Table2[[#This Row],[Age]]&lt;=43,"Millenials",Table2[[#This Row],[Age]]&lt;=59,"Gen X",Table2[[#This Row],[Age]]&lt;=78,"Baby Boomers",Table2[[#This Row],[Age]]&lt;=96,"Silent",Table2[[#This Row],[Age]]&gt;=97,"Greatest")</f>
        <v>Gen Z</v>
      </c>
      <c r="E791" s="1">
        <v>66952</v>
      </c>
      <c r="F791">
        <v>79</v>
      </c>
      <c r="G791" t="str" cm="1">
        <f t="array" ref="G791">_xlfn.IFS(Table2[[#This Row],[Spending Score (1-100)]]&lt;=25,"Low",Table2[[#This Row],[Spending Score (1-100)]]&lt;=50,"Medium",Table2[[#This Row],[Spending Score (1-100)]]&lt;=75,"High",Table2[[#This Row],[Spending Score (1-100)]]&lt;=100,"Very High")</f>
        <v>Very High</v>
      </c>
      <c r="H791" t="s">
        <v>13</v>
      </c>
      <c r="I791">
        <v>1</v>
      </c>
      <c r="J791" t="str">
        <f>CONCATENATE(Table2[[#This Row],[Work Experience]],"years")</f>
        <v>1years</v>
      </c>
      <c r="K791" t="str">
        <f>CONCATENATE(Table2[[#This Row],[Family Size2]],"members")</f>
        <v>2members</v>
      </c>
      <c r="L791" t="str">
        <f>CONCATENATE(Table2[[#This Row],[Family Size2]],"members")</f>
        <v>2members</v>
      </c>
      <c r="M791">
        <v>2</v>
      </c>
    </row>
    <row r="792" spans="1:13">
      <c r="A792">
        <v>791</v>
      </c>
      <c r="B792" t="s">
        <v>11</v>
      </c>
      <c r="C792">
        <v>84</v>
      </c>
      <c r="D792" t="str" cm="1">
        <f t="array" ref="D792">_xlfn.IFS(Table2[[#This Row],[Age]]&lt;=11,"Gen A",Table2[[#This Row],[Age]]&lt;=27,"Gen Z",Table2[[#This Row],[Age]]&lt;=43,"Millenials",Table2[[#This Row],[Age]]&lt;=59,"Gen X",Table2[[#This Row],[Age]]&lt;=78,"Baby Boomers",Table2[[#This Row],[Age]]&lt;=96,"Silent",Table2[[#This Row],[Age]]&gt;=97,"Greatest")</f>
        <v>Silent</v>
      </c>
      <c r="E792" s="1">
        <v>153465</v>
      </c>
      <c r="F792">
        <v>11</v>
      </c>
      <c r="G792" t="str" cm="1">
        <f t="array" ref="G792">_xlfn.IFS(Table2[[#This Row],[Spending Score (1-100)]]&lt;=25,"Low",Table2[[#This Row],[Spending Score (1-100)]]&lt;=50,"Medium",Table2[[#This Row],[Spending Score (1-100)]]&lt;=75,"High",Table2[[#This Row],[Spending Score (1-100)]]&lt;=100,"Very High")</f>
        <v>Low</v>
      </c>
      <c r="H792" t="s">
        <v>12</v>
      </c>
      <c r="I792">
        <v>1</v>
      </c>
      <c r="J792" t="str">
        <f>CONCATENATE(Table2[[#This Row],[Work Experience]],"years")</f>
        <v>1years</v>
      </c>
      <c r="K792" t="str">
        <f>CONCATENATE(Table2[[#This Row],[Family Size2]],"members")</f>
        <v>4members</v>
      </c>
      <c r="L792" t="str">
        <f>CONCATENATE(Table2[[#This Row],[Family Size2]],"members")</f>
        <v>4members</v>
      </c>
      <c r="M792">
        <v>4</v>
      </c>
    </row>
    <row r="793" spans="1:13">
      <c r="A793">
        <v>792</v>
      </c>
      <c r="B793" t="s">
        <v>11</v>
      </c>
      <c r="C793">
        <v>1</v>
      </c>
      <c r="D793" t="str" cm="1">
        <f t="array" ref="D793">_xlfn.IFS(Table2[[#This Row],[Age]]&lt;=11,"Gen A",Table2[[#This Row],[Age]]&lt;=27,"Gen Z",Table2[[#This Row],[Age]]&lt;=43,"Millenials",Table2[[#This Row],[Age]]&lt;=59,"Gen X",Table2[[#This Row],[Age]]&lt;=78,"Baby Boomers",Table2[[#This Row],[Age]]&lt;=96,"Silent",Table2[[#This Row],[Age]]&gt;=97,"Greatest")</f>
        <v>Gen A</v>
      </c>
      <c r="E793" s="1">
        <v>178214</v>
      </c>
      <c r="F793">
        <v>17</v>
      </c>
      <c r="G793" t="str" cm="1">
        <f t="array" ref="G793">_xlfn.IFS(Table2[[#This Row],[Spending Score (1-100)]]&lt;=25,"Low",Table2[[#This Row],[Spending Score (1-100)]]&lt;=50,"Medium",Table2[[#This Row],[Spending Score (1-100)]]&lt;=75,"High",Table2[[#This Row],[Spending Score (1-100)]]&lt;=100,"Very High")</f>
        <v>Low</v>
      </c>
      <c r="H793" t="s">
        <v>14</v>
      </c>
      <c r="I793">
        <v>1</v>
      </c>
      <c r="J793" t="str">
        <f>CONCATENATE(Table2[[#This Row],[Work Experience]],"years")</f>
        <v>1years</v>
      </c>
      <c r="K793" t="str">
        <f>CONCATENATE(Table2[[#This Row],[Family Size2]],"members")</f>
        <v>7members</v>
      </c>
      <c r="L793" t="str">
        <f>CONCATENATE(Table2[[#This Row],[Family Size2]],"members")</f>
        <v>7members</v>
      </c>
      <c r="M793">
        <v>7</v>
      </c>
    </row>
    <row r="794" spans="1:13">
      <c r="A794">
        <v>793</v>
      </c>
      <c r="B794" t="s">
        <v>8</v>
      </c>
      <c r="C794">
        <v>70</v>
      </c>
      <c r="D794" t="str" cm="1">
        <f t="array" ref="D794">_xlfn.IFS(Table2[[#This Row],[Age]]&lt;=11,"Gen A",Table2[[#This Row],[Age]]&lt;=27,"Gen Z",Table2[[#This Row],[Age]]&lt;=43,"Millenials",Table2[[#This Row],[Age]]&lt;=59,"Gen X",Table2[[#This Row],[Age]]&lt;=78,"Baby Boomers",Table2[[#This Row],[Age]]&lt;=96,"Silent",Table2[[#This Row],[Age]]&gt;=97,"Greatest")</f>
        <v>Baby Boomers</v>
      </c>
      <c r="E794" s="1">
        <v>152069</v>
      </c>
      <c r="F794">
        <v>42</v>
      </c>
      <c r="G794" t="str" cm="1">
        <f t="array" ref="G794">_xlfn.IFS(Table2[[#This Row],[Spending Score (1-100)]]&lt;=25,"Low",Table2[[#This Row],[Spending Score (1-100)]]&lt;=50,"Medium",Table2[[#This Row],[Spending Score (1-100)]]&lt;=75,"High",Table2[[#This Row],[Spending Score (1-100)]]&lt;=100,"Very High")</f>
        <v>Medium</v>
      </c>
      <c r="H794" t="s">
        <v>13</v>
      </c>
      <c r="I794">
        <v>4</v>
      </c>
      <c r="J794" t="str">
        <f>CONCATENATE(Table2[[#This Row],[Work Experience]],"years")</f>
        <v>4years</v>
      </c>
      <c r="K794" t="str">
        <f>CONCATENATE(Table2[[#This Row],[Family Size2]],"members")</f>
        <v>4members</v>
      </c>
      <c r="L794" t="str">
        <f>CONCATENATE(Table2[[#This Row],[Family Size2]],"members")</f>
        <v>4members</v>
      </c>
      <c r="M794">
        <v>4</v>
      </c>
    </row>
    <row r="795" spans="1:13">
      <c r="A795">
        <v>794</v>
      </c>
      <c r="B795" t="s">
        <v>11</v>
      </c>
      <c r="C795">
        <v>56</v>
      </c>
      <c r="D795" t="str" cm="1">
        <f t="array" ref="D795">_xlfn.IFS(Table2[[#This Row],[Age]]&lt;=11,"Gen A",Table2[[#This Row],[Age]]&lt;=27,"Gen Z",Table2[[#This Row],[Age]]&lt;=43,"Millenials",Table2[[#This Row],[Age]]&lt;=59,"Gen X",Table2[[#This Row],[Age]]&lt;=78,"Baby Boomers",Table2[[#This Row],[Age]]&lt;=96,"Silent",Table2[[#This Row],[Age]]&gt;=97,"Greatest")</f>
        <v>Gen X</v>
      </c>
      <c r="E795" s="1">
        <v>132860</v>
      </c>
      <c r="F795">
        <v>17</v>
      </c>
      <c r="G795" t="str" cm="1">
        <f t="array" ref="G795">_xlfn.IFS(Table2[[#This Row],[Spending Score (1-100)]]&lt;=25,"Low",Table2[[#This Row],[Spending Score (1-100)]]&lt;=50,"Medium",Table2[[#This Row],[Spending Score (1-100)]]&lt;=75,"High",Table2[[#This Row],[Spending Score (1-100)]]&lt;=100,"Very High")</f>
        <v>Low</v>
      </c>
      <c r="H795" t="s">
        <v>9</v>
      </c>
      <c r="I795">
        <v>7</v>
      </c>
      <c r="J795" t="str">
        <f>CONCATENATE(Table2[[#This Row],[Work Experience]],"years")</f>
        <v>7years</v>
      </c>
      <c r="K795" t="str">
        <f>CONCATENATE(Table2[[#This Row],[Family Size2]],"members")</f>
        <v>2members</v>
      </c>
      <c r="L795" t="str">
        <f>CONCATENATE(Table2[[#This Row],[Family Size2]],"members")</f>
        <v>2members</v>
      </c>
      <c r="M795">
        <v>2</v>
      </c>
    </row>
    <row r="796" spans="1:13">
      <c r="A796">
        <v>795</v>
      </c>
      <c r="B796" t="s">
        <v>11</v>
      </c>
      <c r="C796">
        <v>0</v>
      </c>
      <c r="D796" t="str" cm="1">
        <f t="array" ref="D796">_xlfn.IFS(Table2[[#This Row],[Age]]&lt;=11,"Gen A",Table2[[#This Row],[Age]]&lt;=27,"Gen Z",Table2[[#This Row],[Age]]&lt;=43,"Millenials",Table2[[#This Row],[Age]]&lt;=59,"Gen X",Table2[[#This Row],[Age]]&lt;=78,"Baby Boomers",Table2[[#This Row],[Age]]&lt;=96,"Silent",Table2[[#This Row],[Age]]&gt;=97,"Greatest")</f>
        <v>Gen A</v>
      </c>
      <c r="E796" s="1">
        <v>147719</v>
      </c>
      <c r="F796">
        <v>86</v>
      </c>
      <c r="G796" t="str" cm="1">
        <f t="array" ref="G796">_xlfn.IFS(Table2[[#This Row],[Spending Score (1-100)]]&lt;=25,"Low",Table2[[#This Row],[Spending Score (1-100)]]&lt;=50,"Medium",Table2[[#This Row],[Spending Score (1-100)]]&lt;=75,"High",Table2[[#This Row],[Spending Score (1-100)]]&lt;=100,"Very High")</f>
        <v>Very High</v>
      </c>
      <c r="H796" t="s">
        <v>12</v>
      </c>
      <c r="I796">
        <v>1</v>
      </c>
      <c r="J796" t="str">
        <f>CONCATENATE(Table2[[#This Row],[Work Experience]],"years")</f>
        <v>1years</v>
      </c>
      <c r="K796" t="str">
        <f>CONCATENATE(Table2[[#This Row],[Family Size2]],"members")</f>
        <v>7members</v>
      </c>
      <c r="L796" t="str">
        <f>CONCATENATE(Table2[[#This Row],[Family Size2]],"members")</f>
        <v>7members</v>
      </c>
      <c r="M796">
        <v>7</v>
      </c>
    </row>
    <row r="797" spans="1:13">
      <c r="A797">
        <v>796</v>
      </c>
      <c r="B797" t="s">
        <v>11</v>
      </c>
      <c r="C797">
        <v>91</v>
      </c>
      <c r="D797" t="str" cm="1">
        <f t="array" ref="D797">_xlfn.IFS(Table2[[#This Row],[Age]]&lt;=11,"Gen A",Table2[[#This Row],[Age]]&lt;=27,"Gen Z",Table2[[#This Row],[Age]]&lt;=43,"Millenials",Table2[[#This Row],[Age]]&lt;=59,"Gen X",Table2[[#This Row],[Age]]&lt;=78,"Baby Boomers",Table2[[#This Row],[Age]]&lt;=96,"Silent",Table2[[#This Row],[Age]]&gt;=97,"Greatest")</f>
        <v>Silent</v>
      </c>
      <c r="E797" s="1">
        <v>172915</v>
      </c>
      <c r="F797">
        <v>29</v>
      </c>
      <c r="G797" t="str" cm="1">
        <f t="array" ref="G797">_xlfn.IFS(Table2[[#This Row],[Spending Score (1-100)]]&lt;=25,"Low",Table2[[#This Row],[Spending Score (1-100)]]&lt;=50,"Medium",Table2[[#This Row],[Spending Score (1-100)]]&lt;=75,"High",Table2[[#This Row],[Spending Score (1-100)]]&lt;=100,"Very High")</f>
        <v>Medium</v>
      </c>
      <c r="H797" t="s">
        <v>16</v>
      </c>
      <c r="I797">
        <v>9</v>
      </c>
      <c r="J797" t="str">
        <f>CONCATENATE(Table2[[#This Row],[Work Experience]],"years")</f>
        <v>9years</v>
      </c>
      <c r="K797" t="str">
        <f>CONCATENATE(Table2[[#This Row],[Family Size2]],"members")</f>
        <v>1members</v>
      </c>
      <c r="L797" t="str">
        <f>CONCATENATE(Table2[[#This Row],[Family Size2]],"members")</f>
        <v>1members</v>
      </c>
      <c r="M797">
        <v>1</v>
      </c>
    </row>
    <row r="798" spans="1:13">
      <c r="A798">
        <v>797</v>
      </c>
      <c r="B798" t="s">
        <v>11</v>
      </c>
      <c r="C798">
        <v>81</v>
      </c>
      <c r="D798" t="str" cm="1">
        <f t="array" ref="D798">_xlfn.IFS(Table2[[#This Row],[Age]]&lt;=11,"Gen A",Table2[[#This Row],[Age]]&lt;=27,"Gen Z",Table2[[#This Row],[Age]]&lt;=43,"Millenials",Table2[[#This Row],[Age]]&lt;=59,"Gen X",Table2[[#This Row],[Age]]&lt;=78,"Baby Boomers",Table2[[#This Row],[Age]]&lt;=96,"Silent",Table2[[#This Row],[Age]]&gt;=97,"Greatest")</f>
        <v>Silent</v>
      </c>
      <c r="E798" s="1">
        <v>148594</v>
      </c>
      <c r="F798">
        <v>29</v>
      </c>
      <c r="G798" t="str" cm="1">
        <f t="array" ref="G798">_xlfn.IFS(Table2[[#This Row],[Spending Score (1-100)]]&lt;=25,"Low",Table2[[#This Row],[Spending Score (1-100)]]&lt;=50,"Medium",Table2[[#This Row],[Spending Score (1-100)]]&lt;=75,"High",Table2[[#This Row],[Spending Score (1-100)]]&lt;=100,"Very High")</f>
        <v>Medium</v>
      </c>
      <c r="H798" t="s">
        <v>13</v>
      </c>
      <c r="I798">
        <v>3</v>
      </c>
      <c r="J798" t="str">
        <f>CONCATENATE(Table2[[#This Row],[Work Experience]],"years")</f>
        <v>3years</v>
      </c>
      <c r="K798" t="str">
        <f>CONCATENATE(Table2[[#This Row],[Family Size2]],"members")</f>
        <v>5members</v>
      </c>
      <c r="L798" t="str">
        <f>CONCATENATE(Table2[[#This Row],[Family Size2]],"members")</f>
        <v>5members</v>
      </c>
      <c r="M798">
        <v>5</v>
      </c>
    </row>
    <row r="799" spans="1:13">
      <c r="A799">
        <v>798</v>
      </c>
      <c r="B799" t="s">
        <v>8</v>
      </c>
      <c r="C799">
        <v>33</v>
      </c>
      <c r="D799" t="str" cm="1">
        <f t="array" ref="D799">_xlfn.IFS(Table2[[#This Row],[Age]]&lt;=11,"Gen A",Table2[[#This Row],[Age]]&lt;=27,"Gen Z",Table2[[#This Row],[Age]]&lt;=43,"Millenials",Table2[[#This Row],[Age]]&lt;=59,"Gen X",Table2[[#This Row],[Age]]&lt;=78,"Baby Boomers",Table2[[#This Row],[Age]]&lt;=96,"Silent",Table2[[#This Row],[Age]]&gt;=97,"Greatest")</f>
        <v>Millenials</v>
      </c>
      <c r="E799" s="1">
        <v>61986</v>
      </c>
      <c r="F799">
        <v>77</v>
      </c>
      <c r="G799" t="str" cm="1">
        <f t="array" ref="G799">_xlfn.IFS(Table2[[#This Row],[Spending Score (1-100)]]&lt;=25,"Low",Table2[[#This Row],[Spending Score (1-100)]]&lt;=50,"Medium",Table2[[#This Row],[Spending Score (1-100)]]&lt;=75,"High",Table2[[#This Row],[Spending Score (1-100)]]&lt;=100,"Very High")</f>
        <v>Very High</v>
      </c>
      <c r="H799" t="s">
        <v>15</v>
      </c>
      <c r="I799">
        <v>0</v>
      </c>
      <c r="J799" t="str">
        <f>CONCATENATE(Table2[[#This Row],[Work Experience]],"years")</f>
        <v>0years</v>
      </c>
      <c r="K799" t="str">
        <f>CONCATENATE(Table2[[#This Row],[Family Size2]],"members")</f>
        <v>1members</v>
      </c>
      <c r="L799" t="str">
        <f>CONCATENATE(Table2[[#This Row],[Family Size2]],"members")</f>
        <v>1members</v>
      </c>
      <c r="M799">
        <v>1</v>
      </c>
    </row>
    <row r="800" spans="1:13">
      <c r="A800">
        <v>799</v>
      </c>
      <c r="B800" t="s">
        <v>8</v>
      </c>
      <c r="C800">
        <v>75</v>
      </c>
      <c r="D800" t="str" cm="1">
        <f t="array" ref="D800">_xlfn.IFS(Table2[[#This Row],[Age]]&lt;=11,"Gen A",Table2[[#This Row],[Age]]&lt;=27,"Gen Z",Table2[[#This Row],[Age]]&lt;=43,"Millenials",Table2[[#This Row],[Age]]&lt;=59,"Gen X",Table2[[#This Row],[Age]]&lt;=78,"Baby Boomers",Table2[[#This Row],[Age]]&lt;=96,"Silent",Table2[[#This Row],[Age]]&gt;=97,"Greatest")</f>
        <v>Baby Boomers</v>
      </c>
      <c r="E800" s="1">
        <v>91456</v>
      </c>
      <c r="F800">
        <v>13</v>
      </c>
      <c r="G800" t="str" cm="1">
        <f t="array" ref="G800">_xlfn.IFS(Table2[[#This Row],[Spending Score (1-100)]]&lt;=25,"Low",Table2[[#This Row],[Spending Score (1-100)]]&lt;=50,"Medium",Table2[[#This Row],[Spending Score (1-100)]]&lt;=75,"High",Table2[[#This Row],[Spending Score (1-100)]]&lt;=100,"Very High")</f>
        <v>Low</v>
      </c>
      <c r="H800" t="s">
        <v>14</v>
      </c>
      <c r="I800">
        <v>1</v>
      </c>
      <c r="J800" t="str">
        <f>CONCATENATE(Table2[[#This Row],[Work Experience]],"years")</f>
        <v>1years</v>
      </c>
      <c r="K800" t="str">
        <f>CONCATENATE(Table2[[#This Row],[Family Size2]],"members")</f>
        <v>4members</v>
      </c>
      <c r="L800" t="str">
        <f>CONCATENATE(Table2[[#This Row],[Family Size2]],"members")</f>
        <v>4members</v>
      </c>
      <c r="M800">
        <v>4</v>
      </c>
    </row>
    <row r="801" spans="1:13">
      <c r="A801">
        <v>800</v>
      </c>
      <c r="B801" t="s">
        <v>8</v>
      </c>
      <c r="C801">
        <v>11</v>
      </c>
      <c r="D801" t="str" cm="1">
        <f t="array" ref="D801">_xlfn.IFS(Table2[[#This Row],[Age]]&lt;=11,"Gen A",Table2[[#This Row],[Age]]&lt;=27,"Gen Z",Table2[[#This Row],[Age]]&lt;=43,"Millenials",Table2[[#This Row],[Age]]&lt;=59,"Gen X",Table2[[#This Row],[Age]]&lt;=78,"Baby Boomers",Table2[[#This Row],[Age]]&lt;=96,"Silent",Table2[[#This Row],[Age]]&gt;=97,"Greatest")</f>
        <v>Gen A</v>
      </c>
      <c r="E801" s="1">
        <v>166247</v>
      </c>
      <c r="F801">
        <v>84</v>
      </c>
      <c r="G801" t="str" cm="1">
        <f t="array" ref="G801">_xlfn.IFS(Table2[[#This Row],[Spending Score (1-100)]]&lt;=25,"Low",Table2[[#This Row],[Spending Score (1-100)]]&lt;=50,"Medium",Table2[[#This Row],[Spending Score (1-100)]]&lt;=75,"High",Table2[[#This Row],[Spending Score (1-100)]]&lt;=100,"Very High")</f>
        <v>Very High</v>
      </c>
      <c r="H801" t="s">
        <v>15</v>
      </c>
      <c r="I801">
        <v>1</v>
      </c>
      <c r="J801" t="str">
        <f>CONCATENATE(Table2[[#This Row],[Work Experience]],"years")</f>
        <v>1years</v>
      </c>
      <c r="K801" t="str">
        <f>CONCATENATE(Table2[[#This Row],[Family Size2]],"members")</f>
        <v>2members</v>
      </c>
      <c r="L801" t="str">
        <f>CONCATENATE(Table2[[#This Row],[Family Size2]],"members")</f>
        <v>2members</v>
      </c>
      <c r="M801">
        <v>2</v>
      </c>
    </row>
    <row r="802" spans="1:13">
      <c r="A802">
        <v>801</v>
      </c>
      <c r="B802" t="s">
        <v>11</v>
      </c>
      <c r="C802">
        <v>61</v>
      </c>
      <c r="D802" t="str" cm="1">
        <f t="array" ref="D802">_xlfn.IFS(Table2[[#This Row],[Age]]&lt;=11,"Gen A",Table2[[#This Row],[Age]]&lt;=27,"Gen Z",Table2[[#This Row],[Age]]&lt;=43,"Millenials",Table2[[#This Row],[Age]]&lt;=59,"Gen X",Table2[[#This Row],[Age]]&lt;=78,"Baby Boomers",Table2[[#This Row],[Age]]&lt;=96,"Silent",Table2[[#This Row],[Age]]&gt;=97,"Greatest")</f>
        <v>Baby Boomers</v>
      </c>
      <c r="E802" s="1">
        <v>140516</v>
      </c>
      <c r="F802">
        <v>50</v>
      </c>
      <c r="G802" t="str" cm="1">
        <f t="array" ref="G802">_xlfn.IFS(Table2[[#This Row],[Spending Score (1-100)]]&lt;=25,"Low",Table2[[#This Row],[Spending Score (1-100)]]&lt;=50,"Medium",Table2[[#This Row],[Spending Score (1-100)]]&lt;=75,"High",Table2[[#This Row],[Spending Score (1-100)]]&lt;=100,"Very High")</f>
        <v>Medium</v>
      </c>
      <c r="H802" t="s">
        <v>14</v>
      </c>
      <c r="I802">
        <v>0</v>
      </c>
      <c r="J802" t="str">
        <f>CONCATENATE(Table2[[#This Row],[Work Experience]],"years")</f>
        <v>0years</v>
      </c>
      <c r="K802" t="str">
        <f>CONCATENATE(Table2[[#This Row],[Family Size2]],"members")</f>
        <v>3members</v>
      </c>
      <c r="L802" t="str">
        <f>CONCATENATE(Table2[[#This Row],[Family Size2]],"members")</f>
        <v>3members</v>
      </c>
      <c r="M802">
        <v>3</v>
      </c>
    </row>
    <row r="803" spans="1:13">
      <c r="A803">
        <v>802</v>
      </c>
      <c r="B803" t="s">
        <v>8</v>
      </c>
      <c r="C803">
        <v>81</v>
      </c>
      <c r="D803" t="str" cm="1">
        <f t="array" ref="D803">_xlfn.IFS(Table2[[#This Row],[Age]]&lt;=11,"Gen A",Table2[[#This Row],[Age]]&lt;=27,"Gen Z",Table2[[#This Row],[Age]]&lt;=43,"Millenials",Table2[[#This Row],[Age]]&lt;=59,"Gen X",Table2[[#This Row],[Age]]&lt;=78,"Baby Boomers",Table2[[#This Row],[Age]]&lt;=96,"Silent",Table2[[#This Row],[Age]]&gt;=97,"Greatest")</f>
        <v>Silent</v>
      </c>
      <c r="E803" s="1">
        <v>148208</v>
      </c>
      <c r="F803">
        <v>36</v>
      </c>
      <c r="G803" t="str" cm="1">
        <f t="array" ref="G803">_xlfn.IFS(Table2[[#This Row],[Spending Score (1-100)]]&lt;=25,"Low",Table2[[#This Row],[Spending Score (1-100)]]&lt;=50,"Medium",Table2[[#This Row],[Spending Score (1-100)]]&lt;=75,"High",Table2[[#This Row],[Spending Score (1-100)]]&lt;=100,"Very High")</f>
        <v>Medium</v>
      </c>
      <c r="H803" t="s">
        <v>19</v>
      </c>
      <c r="I803">
        <v>5</v>
      </c>
      <c r="J803" t="str">
        <f>CONCATENATE(Table2[[#This Row],[Work Experience]],"years")</f>
        <v>5years</v>
      </c>
      <c r="K803" t="str">
        <f>CONCATENATE(Table2[[#This Row],[Family Size2]],"members")</f>
        <v>7members</v>
      </c>
      <c r="L803" t="str">
        <f>CONCATENATE(Table2[[#This Row],[Family Size2]],"members")</f>
        <v>7members</v>
      </c>
      <c r="M803">
        <v>7</v>
      </c>
    </row>
    <row r="804" spans="1:13">
      <c r="A804">
        <v>803</v>
      </c>
      <c r="B804" t="s">
        <v>11</v>
      </c>
      <c r="C804">
        <v>62</v>
      </c>
      <c r="D804" t="str" cm="1">
        <f t="array" ref="D804">_xlfn.IFS(Table2[[#This Row],[Age]]&lt;=11,"Gen A",Table2[[#This Row],[Age]]&lt;=27,"Gen Z",Table2[[#This Row],[Age]]&lt;=43,"Millenials",Table2[[#This Row],[Age]]&lt;=59,"Gen X",Table2[[#This Row],[Age]]&lt;=78,"Baby Boomers",Table2[[#This Row],[Age]]&lt;=96,"Silent",Table2[[#This Row],[Age]]&gt;=97,"Greatest")</f>
        <v>Baby Boomers</v>
      </c>
      <c r="E804" s="1">
        <v>133822</v>
      </c>
      <c r="F804">
        <v>78</v>
      </c>
      <c r="G804" t="str" cm="1">
        <f t="array" ref="G804">_xlfn.IFS(Table2[[#This Row],[Spending Score (1-100)]]&lt;=25,"Low",Table2[[#This Row],[Spending Score (1-100)]]&lt;=50,"Medium",Table2[[#This Row],[Spending Score (1-100)]]&lt;=75,"High",Table2[[#This Row],[Spending Score (1-100)]]&lt;=100,"Very High")</f>
        <v>Very High</v>
      </c>
      <c r="H804" t="s">
        <v>18</v>
      </c>
      <c r="I804">
        <v>0</v>
      </c>
      <c r="J804" t="str">
        <f>CONCATENATE(Table2[[#This Row],[Work Experience]],"years")</f>
        <v>0years</v>
      </c>
      <c r="K804" t="str">
        <f>CONCATENATE(Table2[[#This Row],[Family Size2]],"members")</f>
        <v>4members</v>
      </c>
      <c r="L804" t="str">
        <f>CONCATENATE(Table2[[#This Row],[Family Size2]],"members")</f>
        <v>4members</v>
      </c>
      <c r="M804">
        <v>4</v>
      </c>
    </row>
    <row r="805" spans="1:13">
      <c r="A805">
        <v>804</v>
      </c>
      <c r="B805" t="s">
        <v>11</v>
      </c>
      <c r="C805">
        <v>44</v>
      </c>
      <c r="D805" t="str" cm="1">
        <f t="array" ref="D805">_xlfn.IFS(Table2[[#This Row],[Age]]&lt;=11,"Gen A",Table2[[#This Row],[Age]]&lt;=27,"Gen Z",Table2[[#This Row],[Age]]&lt;=43,"Millenials",Table2[[#This Row],[Age]]&lt;=59,"Gen X",Table2[[#This Row],[Age]]&lt;=78,"Baby Boomers",Table2[[#This Row],[Age]]&lt;=96,"Silent",Table2[[#This Row],[Age]]&gt;=97,"Greatest")</f>
        <v>Gen X</v>
      </c>
      <c r="E805" s="1">
        <v>175424</v>
      </c>
      <c r="F805">
        <v>32</v>
      </c>
      <c r="G805" t="str" cm="1">
        <f t="array" ref="G805">_xlfn.IFS(Table2[[#This Row],[Spending Score (1-100)]]&lt;=25,"Low",Table2[[#This Row],[Spending Score (1-100)]]&lt;=50,"Medium",Table2[[#This Row],[Spending Score (1-100)]]&lt;=75,"High",Table2[[#This Row],[Spending Score (1-100)]]&lt;=100,"Very High")</f>
        <v>Medium</v>
      </c>
      <c r="H805" t="s">
        <v>14</v>
      </c>
      <c r="I805">
        <v>4</v>
      </c>
      <c r="J805" t="str">
        <f>CONCATENATE(Table2[[#This Row],[Work Experience]],"years")</f>
        <v>4years</v>
      </c>
      <c r="K805" t="str">
        <f>CONCATENATE(Table2[[#This Row],[Family Size2]],"members")</f>
        <v>5members</v>
      </c>
      <c r="L805" t="str">
        <f>CONCATENATE(Table2[[#This Row],[Family Size2]],"members")</f>
        <v>5members</v>
      </c>
      <c r="M805">
        <v>5</v>
      </c>
    </row>
    <row r="806" spans="1:13">
      <c r="A806">
        <v>805</v>
      </c>
      <c r="B806" t="s">
        <v>11</v>
      </c>
      <c r="C806">
        <v>67</v>
      </c>
      <c r="D806" t="str" cm="1">
        <f t="array" ref="D806">_xlfn.IFS(Table2[[#This Row],[Age]]&lt;=11,"Gen A",Table2[[#This Row],[Age]]&lt;=27,"Gen Z",Table2[[#This Row],[Age]]&lt;=43,"Millenials",Table2[[#This Row],[Age]]&lt;=59,"Gen X",Table2[[#This Row],[Age]]&lt;=78,"Baby Boomers",Table2[[#This Row],[Age]]&lt;=96,"Silent",Table2[[#This Row],[Age]]&gt;=97,"Greatest")</f>
        <v>Baby Boomers</v>
      </c>
      <c r="E806" s="1">
        <v>121528</v>
      </c>
      <c r="F806">
        <v>92</v>
      </c>
      <c r="G806" t="str" cm="1">
        <f t="array" ref="G806">_xlfn.IFS(Table2[[#This Row],[Spending Score (1-100)]]&lt;=25,"Low",Table2[[#This Row],[Spending Score (1-100)]]&lt;=50,"Medium",Table2[[#This Row],[Spending Score (1-100)]]&lt;=75,"High",Table2[[#This Row],[Spending Score (1-100)]]&lt;=100,"Very High")</f>
        <v>Very High</v>
      </c>
      <c r="H806" t="s">
        <v>9</v>
      </c>
      <c r="I806">
        <v>8</v>
      </c>
      <c r="J806" t="str">
        <f>CONCATENATE(Table2[[#This Row],[Work Experience]],"years")</f>
        <v>8years</v>
      </c>
      <c r="K806" t="str">
        <f>CONCATENATE(Table2[[#This Row],[Family Size2]],"members")</f>
        <v>4members</v>
      </c>
      <c r="L806" t="str">
        <f>CONCATENATE(Table2[[#This Row],[Family Size2]],"members")</f>
        <v>4members</v>
      </c>
      <c r="M806">
        <v>4</v>
      </c>
    </row>
    <row r="807" spans="1:13">
      <c r="A807">
        <v>806</v>
      </c>
      <c r="B807" t="s">
        <v>11</v>
      </c>
      <c r="C807">
        <v>30</v>
      </c>
      <c r="D807" t="str" cm="1">
        <f t="array" ref="D807">_xlfn.IFS(Table2[[#This Row],[Age]]&lt;=11,"Gen A",Table2[[#This Row],[Age]]&lt;=27,"Gen Z",Table2[[#This Row],[Age]]&lt;=43,"Millenials",Table2[[#This Row],[Age]]&lt;=59,"Gen X",Table2[[#This Row],[Age]]&lt;=78,"Baby Boomers",Table2[[#This Row],[Age]]&lt;=96,"Silent",Table2[[#This Row],[Age]]&gt;=97,"Greatest")</f>
        <v>Millenials</v>
      </c>
      <c r="E807" s="1">
        <v>189369</v>
      </c>
      <c r="F807">
        <v>69</v>
      </c>
      <c r="G807" t="str" cm="1">
        <f t="array" ref="G807">_xlfn.IFS(Table2[[#This Row],[Spending Score (1-100)]]&lt;=25,"Low",Table2[[#This Row],[Spending Score (1-100)]]&lt;=50,"Medium",Table2[[#This Row],[Spending Score (1-100)]]&lt;=75,"High",Table2[[#This Row],[Spending Score (1-100)]]&lt;=100,"Very High")</f>
        <v>High</v>
      </c>
      <c r="H807" t="s">
        <v>9</v>
      </c>
      <c r="I807">
        <v>0</v>
      </c>
      <c r="J807" t="str">
        <f>CONCATENATE(Table2[[#This Row],[Work Experience]],"years")</f>
        <v>0years</v>
      </c>
      <c r="K807" t="str">
        <f>CONCATENATE(Table2[[#This Row],[Family Size2]],"members")</f>
        <v>3members</v>
      </c>
      <c r="L807" t="str">
        <f>CONCATENATE(Table2[[#This Row],[Family Size2]],"members")</f>
        <v>3members</v>
      </c>
      <c r="M807">
        <v>3</v>
      </c>
    </row>
    <row r="808" spans="1:13">
      <c r="A808">
        <v>807</v>
      </c>
      <c r="B808" t="s">
        <v>11</v>
      </c>
      <c r="C808">
        <v>92</v>
      </c>
      <c r="D808" t="str" cm="1">
        <f t="array" ref="D808">_xlfn.IFS(Table2[[#This Row],[Age]]&lt;=11,"Gen A",Table2[[#This Row],[Age]]&lt;=27,"Gen Z",Table2[[#This Row],[Age]]&lt;=43,"Millenials",Table2[[#This Row],[Age]]&lt;=59,"Gen X",Table2[[#This Row],[Age]]&lt;=78,"Baby Boomers",Table2[[#This Row],[Age]]&lt;=96,"Silent",Table2[[#This Row],[Age]]&gt;=97,"Greatest")</f>
        <v>Silent</v>
      </c>
      <c r="E808" s="1">
        <v>80808</v>
      </c>
      <c r="F808">
        <v>26</v>
      </c>
      <c r="G808" t="str" cm="1">
        <f t="array" ref="G808">_xlfn.IFS(Table2[[#This Row],[Spending Score (1-100)]]&lt;=25,"Low",Table2[[#This Row],[Spending Score (1-100)]]&lt;=50,"Medium",Table2[[#This Row],[Spending Score (1-100)]]&lt;=75,"High",Table2[[#This Row],[Spending Score (1-100)]]&lt;=100,"Very High")</f>
        <v>Medium</v>
      </c>
      <c r="H808" t="s">
        <v>14</v>
      </c>
      <c r="I808">
        <v>1</v>
      </c>
      <c r="J808" t="str">
        <f>CONCATENATE(Table2[[#This Row],[Work Experience]],"years")</f>
        <v>1years</v>
      </c>
      <c r="K808" t="str">
        <f>CONCATENATE(Table2[[#This Row],[Family Size2]],"members")</f>
        <v>1members</v>
      </c>
      <c r="L808" t="str">
        <f>CONCATENATE(Table2[[#This Row],[Family Size2]],"members")</f>
        <v>1members</v>
      </c>
      <c r="M808">
        <v>1</v>
      </c>
    </row>
    <row r="809" spans="1:13">
      <c r="A809">
        <v>808</v>
      </c>
      <c r="B809" t="s">
        <v>8</v>
      </c>
      <c r="C809">
        <v>25</v>
      </c>
      <c r="D809" t="str" cm="1">
        <f t="array" ref="D809">_xlfn.IFS(Table2[[#This Row],[Age]]&lt;=11,"Gen A",Table2[[#This Row],[Age]]&lt;=27,"Gen Z",Table2[[#This Row],[Age]]&lt;=43,"Millenials",Table2[[#This Row],[Age]]&lt;=59,"Gen X",Table2[[#This Row],[Age]]&lt;=78,"Baby Boomers",Table2[[#This Row],[Age]]&lt;=96,"Silent",Table2[[#This Row],[Age]]&gt;=97,"Greatest")</f>
        <v>Gen Z</v>
      </c>
      <c r="E809" s="1">
        <v>57535</v>
      </c>
      <c r="F809">
        <v>84</v>
      </c>
      <c r="G809" t="str" cm="1">
        <f t="array" ref="G809">_xlfn.IFS(Table2[[#This Row],[Spending Score (1-100)]]&lt;=25,"Low",Table2[[#This Row],[Spending Score (1-100)]]&lt;=50,"Medium",Table2[[#This Row],[Spending Score (1-100)]]&lt;=75,"High",Table2[[#This Row],[Spending Score (1-100)]]&lt;=100,"Very High")</f>
        <v>Very High</v>
      </c>
      <c r="H809" t="s">
        <v>13</v>
      </c>
      <c r="I809">
        <v>1</v>
      </c>
      <c r="J809" t="str">
        <f>CONCATENATE(Table2[[#This Row],[Work Experience]],"years")</f>
        <v>1years</v>
      </c>
      <c r="K809" t="str">
        <f>CONCATENATE(Table2[[#This Row],[Family Size2]],"members")</f>
        <v>7members</v>
      </c>
      <c r="L809" t="str">
        <f>CONCATENATE(Table2[[#This Row],[Family Size2]],"members")</f>
        <v>7members</v>
      </c>
      <c r="M809">
        <v>7</v>
      </c>
    </row>
    <row r="810" spans="1:13">
      <c r="A810">
        <v>809</v>
      </c>
      <c r="B810" t="s">
        <v>11</v>
      </c>
      <c r="C810">
        <v>61</v>
      </c>
      <c r="D810" t="str" cm="1">
        <f t="array" ref="D810">_xlfn.IFS(Table2[[#This Row],[Age]]&lt;=11,"Gen A",Table2[[#This Row],[Age]]&lt;=27,"Gen Z",Table2[[#This Row],[Age]]&lt;=43,"Millenials",Table2[[#This Row],[Age]]&lt;=59,"Gen X",Table2[[#This Row],[Age]]&lt;=78,"Baby Boomers",Table2[[#This Row],[Age]]&lt;=96,"Silent",Table2[[#This Row],[Age]]&gt;=97,"Greatest")</f>
        <v>Baby Boomers</v>
      </c>
      <c r="E810" s="1">
        <v>163509</v>
      </c>
      <c r="F810">
        <v>51</v>
      </c>
      <c r="G810" t="str" cm="1">
        <f t="array" ref="G810">_xlfn.IFS(Table2[[#This Row],[Spending Score (1-100)]]&lt;=25,"Low",Table2[[#This Row],[Spending Score (1-100)]]&lt;=50,"Medium",Table2[[#This Row],[Spending Score (1-100)]]&lt;=75,"High",Table2[[#This Row],[Spending Score (1-100)]]&lt;=100,"Very High")</f>
        <v>High</v>
      </c>
      <c r="H810" t="s">
        <v>9</v>
      </c>
      <c r="I810">
        <v>0</v>
      </c>
      <c r="J810" t="str">
        <f>CONCATENATE(Table2[[#This Row],[Work Experience]],"years")</f>
        <v>0years</v>
      </c>
      <c r="K810" t="str">
        <f>CONCATENATE(Table2[[#This Row],[Family Size2]],"members")</f>
        <v>4members</v>
      </c>
      <c r="L810" t="str">
        <f>CONCATENATE(Table2[[#This Row],[Family Size2]],"members")</f>
        <v>4members</v>
      </c>
      <c r="M810">
        <v>4</v>
      </c>
    </row>
    <row r="811" spans="1:13">
      <c r="A811">
        <v>810</v>
      </c>
      <c r="B811" t="s">
        <v>11</v>
      </c>
      <c r="C811">
        <v>72</v>
      </c>
      <c r="D811" t="str" cm="1">
        <f t="array" ref="D811">_xlfn.IFS(Table2[[#This Row],[Age]]&lt;=11,"Gen A",Table2[[#This Row],[Age]]&lt;=27,"Gen Z",Table2[[#This Row],[Age]]&lt;=43,"Millenials",Table2[[#This Row],[Age]]&lt;=59,"Gen X",Table2[[#This Row],[Age]]&lt;=78,"Baby Boomers",Table2[[#This Row],[Age]]&lt;=96,"Silent",Table2[[#This Row],[Age]]&gt;=97,"Greatest")</f>
        <v>Baby Boomers</v>
      </c>
      <c r="E811" s="1">
        <v>75884</v>
      </c>
      <c r="F811">
        <v>57</v>
      </c>
      <c r="G811" t="str" cm="1">
        <f t="array" ref="G811">_xlfn.IFS(Table2[[#This Row],[Spending Score (1-100)]]&lt;=25,"Low",Table2[[#This Row],[Spending Score (1-100)]]&lt;=50,"Medium",Table2[[#This Row],[Spending Score (1-100)]]&lt;=75,"High",Table2[[#This Row],[Spending Score (1-100)]]&lt;=100,"Very High")</f>
        <v>High</v>
      </c>
      <c r="H811" t="s">
        <v>15</v>
      </c>
      <c r="I811">
        <v>0</v>
      </c>
      <c r="J811" t="str">
        <f>CONCATENATE(Table2[[#This Row],[Work Experience]],"years")</f>
        <v>0years</v>
      </c>
      <c r="K811" t="str">
        <f>CONCATENATE(Table2[[#This Row],[Family Size2]],"members")</f>
        <v>7members</v>
      </c>
      <c r="L811" t="str">
        <f>CONCATENATE(Table2[[#This Row],[Family Size2]],"members")</f>
        <v>7members</v>
      </c>
      <c r="M811">
        <v>7</v>
      </c>
    </row>
    <row r="812" spans="1:13">
      <c r="A812">
        <v>811</v>
      </c>
      <c r="B812" t="s">
        <v>11</v>
      </c>
      <c r="C812">
        <v>89</v>
      </c>
      <c r="D812" t="str" cm="1">
        <f t="array" ref="D812">_xlfn.IFS(Table2[[#This Row],[Age]]&lt;=11,"Gen A",Table2[[#This Row],[Age]]&lt;=27,"Gen Z",Table2[[#This Row],[Age]]&lt;=43,"Millenials",Table2[[#This Row],[Age]]&lt;=59,"Gen X",Table2[[#This Row],[Age]]&lt;=78,"Baby Boomers",Table2[[#This Row],[Age]]&lt;=96,"Silent",Table2[[#This Row],[Age]]&gt;=97,"Greatest")</f>
        <v>Silent</v>
      </c>
      <c r="E812" s="1">
        <v>157759</v>
      </c>
      <c r="F812">
        <v>52</v>
      </c>
      <c r="G812" t="str" cm="1">
        <f t="array" ref="G812">_xlfn.IFS(Table2[[#This Row],[Spending Score (1-100)]]&lt;=25,"Low",Table2[[#This Row],[Spending Score (1-100)]]&lt;=50,"Medium",Table2[[#This Row],[Spending Score (1-100)]]&lt;=75,"High",Table2[[#This Row],[Spending Score (1-100)]]&lt;=100,"Very High")</f>
        <v>High</v>
      </c>
      <c r="H812" t="s">
        <v>14</v>
      </c>
      <c r="I812">
        <v>1</v>
      </c>
      <c r="J812" t="str">
        <f>CONCATENATE(Table2[[#This Row],[Work Experience]],"years")</f>
        <v>1years</v>
      </c>
      <c r="K812" t="str">
        <f>CONCATENATE(Table2[[#This Row],[Family Size2]],"members")</f>
        <v>6members</v>
      </c>
      <c r="L812" t="str">
        <f>CONCATENATE(Table2[[#This Row],[Family Size2]],"members")</f>
        <v>6members</v>
      </c>
      <c r="M812">
        <v>6</v>
      </c>
    </row>
    <row r="813" spans="1:13">
      <c r="A813">
        <v>812</v>
      </c>
      <c r="B813" t="s">
        <v>11</v>
      </c>
      <c r="C813">
        <v>37</v>
      </c>
      <c r="D813" t="str" cm="1">
        <f t="array" ref="D813">_xlfn.IFS(Table2[[#This Row],[Age]]&lt;=11,"Gen A",Table2[[#This Row],[Age]]&lt;=27,"Gen Z",Table2[[#This Row],[Age]]&lt;=43,"Millenials",Table2[[#This Row],[Age]]&lt;=59,"Gen X",Table2[[#This Row],[Age]]&lt;=78,"Baby Boomers",Table2[[#This Row],[Age]]&lt;=96,"Silent",Table2[[#This Row],[Age]]&gt;=97,"Greatest")</f>
        <v>Millenials</v>
      </c>
      <c r="E813" s="1">
        <v>184813</v>
      </c>
      <c r="F813">
        <v>44</v>
      </c>
      <c r="G813" t="str" cm="1">
        <f t="array" ref="G813">_xlfn.IFS(Table2[[#This Row],[Spending Score (1-100)]]&lt;=25,"Low",Table2[[#This Row],[Spending Score (1-100)]]&lt;=50,"Medium",Table2[[#This Row],[Spending Score (1-100)]]&lt;=75,"High",Table2[[#This Row],[Spending Score (1-100)]]&lt;=100,"Very High")</f>
        <v>Medium</v>
      </c>
      <c r="H813" t="s">
        <v>15</v>
      </c>
      <c r="I813">
        <v>0</v>
      </c>
      <c r="J813" t="str">
        <f>CONCATENATE(Table2[[#This Row],[Work Experience]],"years")</f>
        <v>0years</v>
      </c>
      <c r="K813" t="str">
        <f>CONCATENATE(Table2[[#This Row],[Family Size2]],"members")</f>
        <v>2members</v>
      </c>
      <c r="L813" t="str">
        <f>CONCATENATE(Table2[[#This Row],[Family Size2]],"members")</f>
        <v>2members</v>
      </c>
      <c r="M813">
        <v>2</v>
      </c>
    </row>
    <row r="814" spans="1:13">
      <c r="A814">
        <v>813</v>
      </c>
      <c r="B814" t="s">
        <v>8</v>
      </c>
      <c r="C814">
        <v>59</v>
      </c>
      <c r="D814" t="str" cm="1">
        <f t="array" ref="D814">_xlfn.IFS(Table2[[#This Row],[Age]]&lt;=11,"Gen A",Table2[[#This Row],[Age]]&lt;=27,"Gen Z",Table2[[#This Row],[Age]]&lt;=43,"Millenials",Table2[[#This Row],[Age]]&lt;=59,"Gen X",Table2[[#This Row],[Age]]&lt;=78,"Baby Boomers",Table2[[#This Row],[Age]]&lt;=96,"Silent",Table2[[#This Row],[Age]]&gt;=97,"Greatest")</f>
        <v>Gen X</v>
      </c>
      <c r="E814" s="1">
        <v>187253</v>
      </c>
      <c r="F814">
        <v>51</v>
      </c>
      <c r="G814" t="str" cm="1">
        <f t="array" ref="G814">_xlfn.IFS(Table2[[#This Row],[Spending Score (1-100)]]&lt;=25,"Low",Table2[[#This Row],[Spending Score (1-100)]]&lt;=50,"Medium",Table2[[#This Row],[Spending Score (1-100)]]&lt;=75,"High",Table2[[#This Row],[Spending Score (1-100)]]&lt;=100,"Very High")</f>
        <v>High</v>
      </c>
      <c r="H814" t="s">
        <v>15</v>
      </c>
      <c r="I814">
        <v>8</v>
      </c>
      <c r="J814" t="str">
        <f>CONCATENATE(Table2[[#This Row],[Work Experience]],"years")</f>
        <v>8years</v>
      </c>
      <c r="K814" t="str">
        <f>CONCATENATE(Table2[[#This Row],[Family Size2]],"members")</f>
        <v>7members</v>
      </c>
      <c r="L814" t="str">
        <f>CONCATENATE(Table2[[#This Row],[Family Size2]],"members")</f>
        <v>7members</v>
      </c>
      <c r="M814">
        <v>7</v>
      </c>
    </row>
    <row r="815" spans="1:13">
      <c r="A815">
        <v>814</v>
      </c>
      <c r="B815" t="s">
        <v>8</v>
      </c>
      <c r="C815">
        <v>41</v>
      </c>
      <c r="D815" t="str" cm="1">
        <f t="array" ref="D815">_xlfn.IFS(Table2[[#This Row],[Age]]&lt;=11,"Gen A",Table2[[#This Row],[Age]]&lt;=27,"Gen Z",Table2[[#This Row],[Age]]&lt;=43,"Millenials",Table2[[#This Row],[Age]]&lt;=59,"Gen X",Table2[[#This Row],[Age]]&lt;=78,"Baby Boomers",Table2[[#This Row],[Age]]&lt;=96,"Silent",Table2[[#This Row],[Age]]&gt;=97,"Greatest")</f>
        <v>Millenials</v>
      </c>
      <c r="E815" s="1">
        <v>81718</v>
      </c>
      <c r="F815">
        <v>36</v>
      </c>
      <c r="G815" t="str" cm="1">
        <f t="array" ref="G815">_xlfn.IFS(Table2[[#This Row],[Spending Score (1-100)]]&lt;=25,"Low",Table2[[#This Row],[Spending Score (1-100)]]&lt;=50,"Medium",Table2[[#This Row],[Spending Score (1-100)]]&lt;=75,"High",Table2[[#This Row],[Spending Score (1-100)]]&lt;=100,"Very High")</f>
        <v>Medium</v>
      </c>
      <c r="H815" t="s">
        <v>13</v>
      </c>
      <c r="I815">
        <v>1</v>
      </c>
      <c r="J815" t="str">
        <f>CONCATENATE(Table2[[#This Row],[Work Experience]],"years")</f>
        <v>1years</v>
      </c>
      <c r="K815" t="str">
        <f>CONCATENATE(Table2[[#This Row],[Family Size2]],"members")</f>
        <v>3members</v>
      </c>
      <c r="L815" t="str">
        <f>CONCATENATE(Table2[[#This Row],[Family Size2]],"members")</f>
        <v>3members</v>
      </c>
      <c r="M815">
        <v>3</v>
      </c>
    </row>
    <row r="816" spans="1:13">
      <c r="A816">
        <v>815</v>
      </c>
      <c r="B816" t="s">
        <v>8</v>
      </c>
      <c r="C816">
        <v>60</v>
      </c>
      <c r="D816" t="str" cm="1">
        <f t="array" ref="D816">_xlfn.IFS(Table2[[#This Row],[Age]]&lt;=11,"Gen A",Table2[[#This Row],[Age]]&lt;=27,"Gen Z",Table2[[#This Row],[Age]]&lt;=43,"Millenials",Table2[[#This Row],[Age]]&lt;=59,"Gen X",Table2[[#This Row],[Age]]&lt;=78,"Baby Boomers",Table2[[#This Row],[Age]]&lt;=96,"Silent",Table2[[#This Row],[Age]]&gt;=97,"Greatest")</f>
        <v>Baby Boomers</v>
      </c>
      <c r="E816" s="1">
        <v>150019</v>
      </c>
      <c r="F816">
        <v>37</v>
      </c>
      <c r="G816" t="str" cm="1">
        <f t="array" ref="G816">_xlfn.IFS(Table2[[#This Row],[Spending Score (1-100)]]&lt;=25,"Low",Table2[[#This Row],[Spending Score (1-100)]]&lt;=50,"Medium",Table2[[#This Row],[Spending Score (1-100)]]&lt;=75,"High",Table2[[#This Row],[Spending Score (1-100)]]&lt;=100,"Very High")</f>
        <v>Medium</v>
      </c>
      <c r="H816" t="s">
        <v>16</v>
      </c>
      <c r="I816">
        <v>1</v>
      </c>
      <c r="J816" t="str">
        <f>CONCATENATE(Table2[[#This Row],[Work Experience]],"years")</f>
        <v>1years</v>
      </c>
      <c r="K816" t="str">
        <f>CONCATENATE(Table2[[#This Row],[Family Size2]],"members")</f>
        <v>2members</v>
      </c>
      <c r="L816" t="str">
        <f>CONCATENATE(Table2[[#This Row],[Family Size2]],"members")</f>
        <v>2members</v>
      </c>
      <c r="M816">
        <v>2</v>
      </c>
    </row>
    <row r="817" spans="1:13">
      <c r="A817">
        <v>816</v>
      </c>
      <c r="B817" t="s">
        <v>11</v>
      </c>
      <c r="C817">
        <v>81</v>
      </c>
      <c r="D817" t="str" cm="1">
        <f t="array" ref="D817">_xlfn.IFS(Table2[[#This Row],[Age]]&lt;=11,"Gen A",Table2[[#This Row],[Age]]&lt;=27,"Gen Z",Table2[[#This Row],[Age]]&lt;=43,"Millenials",Table2[[#This Row],[Age]]&lt;=59,"Gen X",Table2[[#This Row],[Age]]&lt;=78,"Baby Boomers",Table2[[#This Row],[Age]]&lt;=96,"Silent",Table2[[#This Row],[Age]]&gt;=97,"Greatest")</f>
        <v>Silent</v>
      </c>
      <c r="E817" s="1">
        <v>53452</v>
      </c>
      <c r="F817">
        <v>73</v>
      </c>
      <c r="G817" t="str" cm="1">
        <f t="array" ref="G817">_xlfn.IFS(Table2[[#This Row],[Spending Score (1-100)]]&lt;=25,"Low",Table2[[#This Row],[Spending Score (1-100)]]&lt;=50,"Medium",Table2[[#This Row],[Spending Score (1-100)]]&lt;=75,"High",Table2[[#This Row],[Spending Score (1-100)]]&lt;=100,"Very High")</f>
        <v>High</v>
      </c>
      <c r="H817" t="s">
        <v>13</v>
      </c>
      <c r="I817">
        <v>1</v>
      </c>
      <c r="J817" t="str">
        <f>CONCATENATE(Table2[[#This Row],[Work Experience]],"years")</f>
        <v>1years</v>
      </c>
      <c r="K817" t="str">
        <f>CONCATENATE(Table2[[#This Row],[Family Size2]],"members")</f>
        <v>6members</v>
      </c>
      <c r="L817" t="str">
        <f>CONCATENATE(Table2[[#This Row],[Family Size2]],"members")</f>
        <v>6members</v>
      </c>
      <c r="M817">
        <v>6</v>
      </c>
    </row>
    <row r="818" spans="1:13">
      <c r="A818">
        <v>817</v>
      </c>
      <c r="B818" t="s">
        <v>8</v>
      </c>
      <c r="C818">
        <v>85</v>
      </c>
      <c r="D818" t="str" cm="1">
        <f t="array" ref="D818">_xlfn.IFS(Table2[[#This Row],[Age]]&lt;=11,"Gen A",Table2[[#This Row],[Age]]&lt;=27,"Gen Z",Table2[[#This Row],[Age]]&lt;=43,"Millenials",Table2[[#This Row],[Age]]&lt;=59,"Gen X",Table2[[#This Row],[Age]]&lt;=78,"Baby Boomers",Table2[[#This Row],[Age]]&lt;=96,"Silent",Table2[[#This Row],[Age]]&gt;=97,"Greatest")</f>
        <v>Silent</v>
      </c>
      <c r="E818" s="1">
        <v>150765</v>
      </c>
      <c r="F818">
        <v>42</v>
      </c>
      <c r="G818" t="str" cm="1">
        <f t="array" ref="G818">_xlfn.IFS(Table2[[#This Row],[Spending Score (1-100)]]&lt;=25,"Low",Table2[[#This Row],[Spending Score (1-100)]]&lt;=50,"Medium",Table2[[#This Row],[Spending Score (1-100)]]&lt;=75,"High",Table2[[#This Row],[Spending Score (1-100)]]&lt;=100,"Very High")</f>
        <v>Medium</v>
      </c>
      <c r="H818" t="s">
        <v>17</v>
      </c>
      <c r="I818">
        <v>8</v>
      </c>
      <c r="J818" t="str">
        <f>CONCATENATE(Table2[[#This Row],[Work Experience]],"years")</f>
        <v>8years</v>
      </c>
      <c r="K818" t="str">
        <f>CONCATENATE(Table2[[#This Row],[Family Size2]],"members")</f>
        <v>2members</v>
      </c>
      <c r="L818" t="str">
        <f>CONCATENATE(Table2[[#This Row],[Family Size2]],"members")</f>
        <v>2members</v>
      </c>
      <c r="M818">
        <v>2</v>
      </c>
    </row>
    <row r="819" spans="1:13">
      <c r="A819">
        <v>818</v>
      </c>
      <c r="B819" t="s">
        <v>11</v>
      </c>
      <c r="C819">
        <v>91</v>
      </c>
      <c r="D819" t="str" cm="1">
        <f t="array" ref="D819">_xlfn.IFS(Table2[[#This Row],[Age]]&lt;=11,"Gen A",Table2[[#This Row],[Age]]&lt;=27,"Gen Z",Table2[[#This Row],[Age]]&lt;=43,"Millenials",Table2[[#This Row],[Age]]&lt;=59,"Gen X",Table2[[#This Row],[Age]]&lt;=78,"Baby Boomers",Table2[[#This Row],[Age]]&lt;=96,"Silent",Table2[[#This Row],[Age]]&gt;=97,"Greatest")</f>
        <v>Silent</v>
      </c>
      <c r="E819" s="1">
        <v>154456</v>
      </c>
      <c r="F819">
        <v>71</v>
      </c>
      <c r="G819" t="str" cm="1">
        <f t="array" ref="G819">_xlfn.IFS(Table2[[#This Row],[Spending Score (1-100)]]&lt;=25,"Low",Table2[[#This Row],[Spending Score (1-100)]]&lt;=50,"Medium",Table2[[#This Row],[Spending Score (1-100)]]&lt;=75,"High",Table2[[#This Row],[Spending Score (1-100)]]&lt;=100,"Very High")</f>
        <v>High</v>
      </c>
      <c r="H819" t="s">
        <v>19</v>
      </c>
      <c r="I819">
        <v>0</v>
      </c>
      <c r="J819" t="str">
        <f>CONCATENATE(Table2[[#This Row],[Work Experience]],"years")</f>
        <v>0years</v>
      </c>
      <c r="K819" t="str">
        <f>CONCATENATE(Table2[[#This Row],[Family Size2]],"members")</f>
        <v>7members</v>
      </c>
      <c r="L819" t="str">
        <f>CONCATENATE(Table2[[#This Row],[Family Size2]],"members")</f>
        <v>7members</v>
      </c>
      <c r="M819">
        <v>7</v>
      </c>
    </row>
    <row r="820" spans="1:13">
      <c r="A820">
        <v>819</v>
      </c>
      <c r="B820" t="s">
        <v>11</v>
      </c>
      <c r="C820">
        <v>65</v>
      </c>
      <c r="D820" t="str" cm="1">
        <f t="array" ref="D820">_xlfn.IFS(Table2[[#This Row],[Age]]&lt;=11,"Gen A",Table2[[#This Row],[Age]]&lt;=27,"Gen Z",Table2[[#This Row],[Age]]&lt;=43,"Millenials",Table2[[#This Row],[Age]]&lt;=59,"Gen X",Table2[[#This Row],[Age]]&lt;=78,"Baby Boomers",Table2[[#This Row],[Age]]&lt;=96,"Silent",Table2[[#This Row],[Age]]&gt;=97,"Greatest")</f>
        <v>Baby Boomers</v>
      </c>
      <c r="E820" s="1">
        <v>56647</v>
      </c>
      <c r="F820">
        <v>12</v>
      </c>
      <c r="G820" t="str" cm="1">
        <f t="array" ref="G820">_xlfn.IFS(Table2[[#This Row],[Spending Score (1-100)]]&lt;=25,"Low",Table2[[#This Row],[Spending Score (1-100)]]&lt;=50,"Medium",Table2[[#This Row],[Spending Score (1-100)]]&lt;=75,"High",Table2[[#This Row],[Spending Score (1-100)]]&lt;=100,"Very High")</f>
        <v>Low</v>
      </c>
      <c r="H820" t="s">
        <v>16</v>
      </c>
      <c r="I820">
        <v>6</v>
      </c>
      <c r="J820" t="str">
        <f>CONCATENATE(Table2[[#This Row],[Work Experience]],"years")</f>
        <v>6years</v>
      </c>
      <c r="K820" t="str">
        <f>CONCATENATE(Table2[[#This Row],[Family Size2]],"members")</f>
        <v>4members</v>
      </c>
      <c r="L820" t="str">
        <f>CONCATENATE(Table2[[#This Row],[Family Size2]],"members")</f>
        <v>4members</v>
      </c>
      <c r="M820">
        <v>4</v>
      </c>
    </row>
    <row r="821" spans="1:13">
      <c r="A821">
        <v>820</v>
      </c>
      <c r="B821" t="s">
        <v>11</v>
      </c>
      <c r="C821">
        <v>19</v>
      </c>
      <c r="D821" t="str" cm="1">
        <f t="array" ref="D821">_xlfn.IFS(Table2[[#This Row],[Age]]&lt;=11,"Gen A",Table2[[#This Row],[Age]]&lt;=27,"Gen Z",Table2[[#This Row],[Age]]&lt;=43,"Millenials",Table2[[#This Row],[Age]]&lt;=59,"Gen X",Table2[[#This Row],[Age]]&lt;=78,"Baby Boomers",Table2[[#This Row],[Age]]&lt;=96,"Silent",Table2[[#This Row],[Age]]&gt;=97,"Greatest")</f>
        <v>Gen Z</v>
      </c>
      <c r="E821" s="1">
        <v>117477</v>
      </c>
      <c r="F821">
        <v>48</v>
      </c>
      <c r="G821" t="str" cm="1">
        <f t="array" ref="G821">_xlfn.IFS(Table2[[#This Row],[Spending Score (1-100)]]&lt;=25,"Low",Table2[[#This Row],[Spending Score (1-100)]]&lt;=50,"Medium",Table2[[#This Row],[Spending Score (1-100)]]&lt;=75,"High",Table2[[#This Row],[Spending Score (1-100)]]&lt;=100,"Very High")</f>
        <v>Medium</v>
      </c>
      <c r="H821" t="s">
        <v>9</v>
      </c>
      <c r="I821">
        <v>6</v>
      </c>
      <c r="J821" t="str">
        <f>CONCATENATE(Table2[[#This Row],[Work Experience]],"years")</f>
        <v>6years</v>
      </c>
      <c r="K821" t="str">
        <f>CONCATENATE(Table2[[#This Row],[Family Size2]],"members")</f>
        <v>7members</v>
      </c>
      <c r="L821" t="str">
        <f>CONCATENATE(Table2[[#This Row],[Family Size2]],"members")</f>
        <v>7members</v>
      </c>
      <c r="M821">
        <v>7</v>
      </c>
    </row>
    <row r="822" spans="1:13">
      <c r="A822">
        <v>821</v>
      </c>
      <c r="B822" t="s">
        <v>11</v>
      </c>
      <c r="C822">
        <v>78</v>
      </c>
      <c r="D822" t="str" cm="1">
        <f t="array" ref="D822">_xlfn.IFS(Table2[[#This Row],[Age]]&lt;=11,"Gen A",Table2[[#This Row],[Age]]&lt;=27,"Gen Z",Table2[[#This Row],[Age]]&lt;=43,"Millenials",Table2[[#This Row],[Age]]&lt;=59,"Gen X",Table2[[#This Row],[Age]]&lt;=78,"Baby Boomers",Table2[[#This Row],[Age]]&lt;=96,"Silent",Table2[[#This Row],[Age]]&gt;=97,"Greatest")</f>
        <v>Baby Boomers</v>
      </c>
      <c r="E822" s="1">
        <v>79677</v>
      </c>
      <c r="F822">
        <v>9</v>
      </c>
      <c r="G822" t="str" cm="1">
        <f t="array" ref="G822">_xlfn.IFS(Table2[[#This Row],[Spending Score (1-100)]]&lt;=25,"Low",Table2[[#This Row],[Spending Score (1-100)]]&lt;=50,"Medium",Table2[[#This Row],[Spending Score (1-100)]]&lt;=75,"High",Table2[[#This Row],[Spending Score (1-100)]]&lt;=100,"Very High")</f>
        <v>Low</v>
      </c>
      <c r="H822" t="s">
        <v>14</v>
      </c>
      <c r="I822">
        <v>10</v>
      </c>
      <c r="J822" t="str">
        <f>CONCATENATE(Table2[[#This Row],[Work Experience]],"years")</f>
        <v>10years</v>
      </c>
      <c r="K822" t="str">
        <f>CONCATENATE(Table2[[#This Row],[Family Size2]],"members")</f>
        <v>7members</v>
      </c>
      <c r="L822" t="str">
        <f>CONCATENATE(Table2[[#This Row],[Family Size2]],"members")</f>
        <v>7members</v>
      </c>
      <c r="M822">
        <v>7</v>
      </c>
    </row>
    <row r="823" spans="1:13">
      <c r="A823">
        <v>822</v>
      </c>
      <c r="B823" t="s">
        <v>11</v>
      </c>
      <c r="C823">
        <v>0</v>
      </c>
      <c r="D823" t="str" cm="1">
        <f t="array" ref="D823">_xlfn.IFS(Table2[[#This Row],[Age]]&lt;=11,"Gen A",Table2[[#This Row],[Age]]&lt;=27,"Gen Z",Table2[[#This Row],[Age]]&lt;=43,"Millenials",Table2[[#This Row],[Age]]&lt;=59,"Gen X",Table2[[#This Row],[Age]]&lt;=78,"Baby Boomers",Table2[[#This Row],[Age]]&lt;=96,"Silent",Table2[[#This Row],[Age]]&gt;=97,"Greatest")</f>
        <v>Gen A</v>
      </c>
      <c r="E823" s="1">
        <v>116759</v>
      </c>
      <c r="F823">
        <v>28</v>
      </c>
      <c r="G823" t="str" cm="1">
        <f t="array" ref="G823">_xlfn.IFS(Table2[[#This Row],[Spending Score (1-100)]]&lt;=25,"Low",Table2[[#This Row],[Spending Score (1-100)]]&lt;=50,"Medium",Table2[[#This Row],[Spending Score (1-100)]]&lt;=75,"High",Table2[[#This Row],[Spending Score (1-100)]]&lt;=100,"Very High")</f>
        <v>Medium</v>
      </c>
      <c r="H823" t="s">
        <v>18</v>
      </c>
      <c r="I823">
        <v>7</v>
      </c>
      <c r="J823" t="str">
        <f>CONCATENATE(Table2[[#This Row],[Work Experience]],"years")</f>
        <v>7years</v>
      </c>
      <c r="K823" t="str">
        <f>CONCATENATE(Table2[[#This Row],[Family Size2]],"members")</f>
        <v>3members</v>
      </c>
      <c r="L823" t="str">
        <f>CONCATENATE(Table2[[#This Row],[Family Size2]],"members")</f>
        <v>3members</v>
      </c>
      <c r="M823">
        <v>3</v>
      </c>
    </row>
    <row r="824" spans="1:13">
      <c r="A824">
        <v>823</v>
      </c>
      <c r="B824" t="s">
        <v>8</v>
      </c>
      <c r="C824">
        <v>26</v>
      </c>
      <c r="D824" t="str" cm="1">
        <f t="array" ref="D824">_xlfn.IFS(Table2[[#This Row],[Age]]&lt;=11,"Gen A",Table2[[#This Row],[Age]]&lt;=27,"Gen Z",Table2[[#This Row],[Age]]&lt;=43,"Millenials",Table2[[#This Row],[Age]]&lt;=59,"Gen X",Table2[[#This Row],[Age]]&lt;=78,"Baby Boomers",Table2[[#This Row],[Age]]&lt;=96,"Silent",Table2[[#This Row],[Age]]&gt;=97,"Greatest")</f>
        <v>Gen Z</v>
      </c>
      <c r="E824" s="1">
        <v>180702</v>
      </c>
      <c r="F824">
        <v>21</v>
      </c>
      <c r="G824" t="str" cm="1">
        <f t="array" ref="G824">_xlfn.IFS(Table2[[#This Row],[Spending Score (1-100)]]&lt;=25,"Low",Table2[[#This Row],[Spending Score (1-100)]]&lt;=50,"Medium",Table2[[#This Row],[Spending Score (1-100)]]&lt;=75,"High",Table2[[#This Row],[Spending Score (1-100)]]&lt;=100,"Very High")</f>
        <v>Low</v>
      </c>
      <c r="H824" t="s">
        <v>13</v>
      </c>
      <c r="I824">
        <v>6</v>
      </c>
      <c r="J824" t="str">
        <f>CONCATENATE(Table2[[#This Row],[Work Experience]],"years")</f>
        <v>6years</v>
      </c>
      <c r="K824" t="str">
        <f>CONCATENATE(Table2[[#This Row],[Family Size2]],"members")</f>
        <v>1members</v>
      </c>
      <c r="L824" t="str">
        <f>CONCATENATE(Table2[[#This Row],[Family Size2]],"members")</f>
        <v>1members</v>
      </c>
      <c r="M824">
        <v>1</v>
      </c>
    </row>
    <row r="825" spans="1:13">
      <c r="A825">
        <v>824</v>
      </c>
      <c r="B825" t="s">
        <v>11</v>
      </c>
      <c r="C825">
        <v>2</v>
      </c>
      <c r="D825" t="str" cm="1">
        <f t="array" ref="D825">_xlfn.IFS(Table2[[#This Row],[Age]]&lt;=11,"Gen A",Table2[[#This Row],[Age]]&lt;=27,"Gen Z",Table2[[#This Row],[Age]]&lt;=43,"Millenials",Table2[[#This Row],[Age]]&lt;=59,"Gen X",Table2[[#This Row],[Age]]&lt;=78,"Baby Boomers",Table2[[#This Row],[Age]]&lt;=96,"Silent",Table2[[#This Row],[Age]]&gt;=97,"Greatest")</f>
        <v>Gen A</v>
      </c>
      <c r="E825" s="1">
        <v>122698</v>
      </c>
      <c r="F825">
        <v>100</v>
      </c>
      <c r="G825" t="str" cm="1">
        <f t="array" ref="G825">_xlfn.IFS(Table2[[#This Row],[Spending Score (1-100)]]&lt;=25,"Low",Table2[[#This Row],[Spending Score (1-100)]]&lt;=50,"Medium",Table2[[#This Row],[Spending Score (1-100)]]&lt;=75,"High",Table2[[#This Row],[Spending Score (1-100)]]&lt;=100,"Very High")</f>
        <v>Very High</v>
      </c>
      <c r="H825" t="s">
        <v>13</v>
      </c>
      <c r="I825">
        <v>8</v>
      </c>
      <c r="J825" t="str">
        <f>CONCATENATE(Table2[[#This Row],[Work Experience]],"years")</f>
        <v>8years</v>
      </c>
      <c r="K825" t="str">
        <f>CONCATENATE(Table2[[#This Row],[Family Size2]],"members")</f>
        <v>1members</v>
      </c>
      <c r="L825" t="str">
        <f>CONCATENATE(Table2[[#This Row],[Family Size2]],"members")</f>
        <v>1members</v>
      </c>
      <c r="M825">
        <v>1</v>
      </c>
    </row>
    <row r="826" spans="1:13">
      <c r="A826">
        <v>825</v>
      </c>
      <c r="B826" t="s">
        <v>11</v>
      </c>
      <c r="C826">
        <v>60</v>
      </c>
      <c r="D826" t="str" cm="1">
        <f t="array" ref="D826">_xlfn.IFS(Table2[[#This Row],[Age]]&lt;=11,"Gen A",Table2[[#This Row],[Age]]&lt;=27,"Gen Z",Table2[[#This Row],[Age]]&lt;=43,"Millenials",Table2[[#This Row],[Age]]&lt;=59,"Gen X",Table2[[#This Row],[Age]]&lt;=78,"Baby Boomers",Table2[[#This Row],[Age]]&lt;=96,"Silent",Table2[[#This Row],[Age]]&gt;=97,"Greatest")</f>
        <v>Baby Boomers</v>
      </c>
      <c r="E826" s="1">
        <v>169346</v>
      </c>
      <c r="F826">
        <v>55</v>
      </c>
      <c r="G826" t="str" cm="1">
        <f t="array" ref="G826">_xlfn.IFS(Table2[[#This Row],[Spending Score (1-100)]]&lt;=25,"Low",Table2[[#This Row],[Spending Score (1-100)]]&lt;=50,"Medium",Table2[[#This Row],[Spending Score (1-100)]]&lt;=75,"High",Table2[[#This Row],[Spending Score (1-100)]]&lt;=100,"Very High")</f>
        <v>High</v>
      </c>
      <c r="H826" t="s">
        <v>9</v>
      </c>
      <c r="I826">
        <v>7</v>
      </c>
      <c r="J826" t="str">
        <f>CONCATENATE(Table2[[#This Row],[Work Experience]],"years")</f>
        <v>7years</v>
      </c>
      <c r="K826" t="str">
        <f>CONCATENATE(Table2[[#This Row],[Family Size2]],"members")</f>
        <v>2members</v>
      </c>
      <c r="L826" t="str">
        <f>CONCATENATE(Table2[[#This Row],[Family Size2]],"members")</f>
        <v>2members</v>
      </c>
      <c r="M826">
        <v>2</v>
      </c>
    </row>
    <row r="827" spans="1:13">
      <c r="A827">
        <v>826</v>
      </c>
      <c r="B827" t="s">
        <v>11</v>
      </c>
      <c r="C827">
        <v>67</v>
      </c>
      <c r="D827" t="str" cm="1">
        <f t="array" ref="D827">_xlfn.IFS(Table2[[#This Row],[Age]]&lt;=11,"Gen A",Table2[[#This Row],[Age]]&lt;=27,"Gen Z",Table2[[#This Row],[Age]]&lt;=43,"Millenials",Table2[[#This Row],[Age]]&lt;=59,"Gen X",Table2[[#This Row],[Age]]&lt;=78,"Baby Boomers",Table2[[#This Row],[Age]]&lt;=96,"Silent",Table2[[#This Row],[Age]]&gt;=97,"Greatest")</f>
        <v>Baby Boomers</v>
      </c>
      <c r="E827" s="1">
        <v>93176</v>
      </c>
      <c r="F827">
        <v>25</v>
      </c>
      <c r="G827" t="str" cm="1">
        <f t="array" ref="G827">_xlfn.IFS(Table2[[#This Row],[Spending Score (1-100)]]&lt;=25,"Low",Table2[[#This Row],[Spending Score (1-100)]]&lt;=50,"Medium",Table2[[#This Row],[Spending Score (1-100)]]&lt;=75,"High",Table2[[#This Row],[Spending Score (1-100)]]&lt;=100,"Very High")</f>
        <v>Low</v>
      </c>
      <c r="H827" t="s">
        <v>14</v>
      </c>
      <c r="I827">
        <v>4</v>
      </c>
      <c r="J827" t="str">
        <f>CONCATENATE(Table2[[#This Row],[Work Experience]],"years")</f>
        <v>4years</v>
      </c>
      <c r="K827" t="str">
        <f>CONCATENATE(Table2[[#This Row],[Family Size2]],"members")</f>
        <v>1members</v>
      </c>
      <c r="L827" t="str">
        <f>CONCATENATE(Table2[[#This Row],[Family Size2]],"members")</f>
        <v>1members</v>
      </c>
      <c r="M827">
        <v>1</v>
      </c>
    </row>
    <row r="828" spans="1:13">
      <c r="A828">
        <v>827</v>
      </c>
      <c r="B828" t="s">
        <v>11</v>
      </c>
      <c r="C828">
        <v>4</v>
      </c>
      <c r="D828" t="str" cm="1">
        <f t="array" ref="D828">_xlfn.IFS(Table2[[#This Row],[Age]]&lt;=11,"Gen A",Table2[[#This Row],[Age]]&lt;=27,"Gen Z",Table2[[#This Row],[Age]]&lt;=43,"Millenials",Table2[[#This Row],[Age]]&lt;=59,"Gen X",Table2[[#This Row],[Age]]&lt;=78,"Baby Boomers",Table2[[#This Row],[Age]]&lt;=96,"Silent",Table2[[#This Row],[Age]]&gt;=97,"Greatest")</f>
        <v>Gen A</v>
      </c>
      <c r="E828" s="1">
        <v>75853</v>
      </c>
      <c r="F828">
        <v>40</v>
      </c>
      <c r="G828" t="str" cm="1">
        <f t="array" ref="G828">_xlfn.IFS(Table2[[#This Row],[Spending Score (1-100)]]&lt;=25,"Low",Table2[[#This Row],[Spending Score (1-100)]]&lt;=50,"Medium",Table2[[#This Row],[Spending Score (1-100)]]&lt;=75,"High",Table2[[#This Row],[Spending Score (1-100)]]&lt;=100,"Very High")</f>
        <v>Medium</v>
      </c>
      <c r="H828" t="s">
        <v>17</v>
      </c>
      <c r="I828">
        <v>4</v>
      </c>
      <c r="J828" t="str">
        <f>CONCATENATE(Table2[[#This Row],[Work Experience]],"years")</f>
        <v>4years</v>
      </c>
      <c r="K828" t="str">
        <f>CONCATENATE(Table2[[#This Row],[Family Size2]],"members")</f>
        <v>5members</v>
      </c>
      <c r="L828" t="str">
        <f>CONCATENATE(Table2[[#This Row],[Family Size2]],"members")</f>
        <v>5members</v>
      </c>
      <c r="M828">
        <v>5</v>
      </c>
    </row>
    <row r="829" spans="1:13">
      <c r="A829">
        <v>828</v>
      </c>
      <c r="B829" t="s">
        <v>8</v>
      </c>
      <c r="C829">
        <v>7</v>
      </c>
      <c r="D829" t="str" cm="1">
        <f t="array" ref="D829">_xlfn.IFS(Table2[[#This Row],[Age]]&lt;=11,"Gen A",Table2[[#This Row],[Age]]&lt;=27,"Gen Z",Table2[[#This Row],[Age]]&lt;=43,"Millenials",Table2[[#This Row],[Age]]&lt;=59,"Gen X",Table2[[#This Row],[Age]]&lt;=78,"Baby Boomers",Table2[[#This Row],[Age]]&lt;=96,"Silent",Table2[[#This Row],[Age]]&gt;=97,"Greatest")</f>
        <v>Gen A</v>
      </c>
      <c r="E829" s="1">
        <v>119362</v>
      </c>
      <c r="F829">
        <v>58</v>
      </c>
      <c r="G829" t="str" cm="1">
        <f t="array" ref="G829">_xlfn.IFS(Table2[[#This Row],[Spending Score (1-100)]]&lt;=25,"Low",Table2[[#This Row],[Spending Score (1-100)]]&lt;=50,"Medium",Table2[[#This Row],[Spending Score (1-100)]]&lt;=75,"High",Table2[[#This Row],[Spending Score (1-100)]]&lt;=100,"Very High")</f>
        <v>High</v>
      </c>
      <c r="H829" t="s">
        <v>10</v>
      </c>
      <c r="I829">
        <v>8</v>
      </c>
      <c r="J829" t="str">
        <f>CONCATENATE(Table2[[#This Row],[Work Experience]],"years")</f>
        <v>8years</v>
      </c>
      <c r="K829" t="str">
        <f>CONCATENATE(Table2[[#This Row],[Family Size2]],"members")</f>
        <v>1members</v>
      </c>
      <c r="L829" t="str">
        <f>CONCATENATE(Table2[[#This Row],[Family Size2]],"members")</f>
        <v>1members</v>
      </c>
      <c r="M829">
        <v>1</v>
      </c>
    </row>
    <row r="830" spans="1:13">
      <c r="A830">
        <v>829</v>
      </c>
      <c r="B830" t="s">
        <v>8</v>
      </c>
      <c r="C830">
        <v>28</v>
      </c>
      <c r="D830" t="str" cm="1">
        <f t="array" ref="D830">_xlfn.IFS(Table2[[#This Row],[Age]]&lt;=11,"Gen A",Table2[[#This Row],[Age]]&lt;=27,"Gen Z",Table2[[#This Row],[Age]]&lt;=43,"Millenials",Table2[[#This Row],[Age]]&lt;=59,"Gen X",Table2[[#This Row],[Age]]&lt;=78,"Baby Boomers",Table2[[#This Row],[Age]]&lt;=96,"Silent",Table2[[#This Row],[Age]]&gt;=97,"Greatest")</f>
        <v>Millenials</v>
      </c>
      <c r="E830" s="1">
        <v>81545</v>
      </c>
      <c r="F830">
        <v>36</v>
      </c>
      <c r="G830" t="str" cm="1">
        <f t="array" ref="G830">_xlfn.IFS(Table2[[#This Row],[Spending Score (1-100)]]&lt;=25,"Low",Table2[[#This Row],[Spending Score (1-100)]]&lt;=50,"Medium",Table2[[#This Row],[Spending Score (1-100)]]&lt;=75,"High",Table2[[#This Row],[Spending Score (1-100)]]&lt;=100,"Very High")</f>
        <v>Medium</v>
      </c>
      <c r="H830" t="s">
        <v>14</v>
      </c>
      <c r="I830">
        <v>4</v>
      </c>
      <c r="J830" t="str">
        <f>CONCATENATE(Table2[[#This Row],[Work Experience]],"years")</f>
        <v>4years</v>
      </c>
      <c r="K830" t="str">
        <f>CONCATENATE(Table2[[#This Row],[Family Size2]],"members")</f>
        <v>7members</v>
      </c>
      <c r="L830" t="str">
        <f>CONCATENATE(Table2[[#This Row],[Family Size2]],"members")</f>
        <v>7members</v>
      </c>
      <c r="M830">
        <v>7</v>
      </c>
    </row>
    <row r="831" spans="1:13">
      <c r="A831">
        <v>830</v>
      </c>
      <c r="B831" t="s">
        <v>8</v>
      </c>
      <c r="C831">
        <v>67</v>
      </c>
      <c r="D831" t="str" cm="1">
        <f t="array" ref="D831">_xlfn.IFS(Table2[[#This Row],[Age]]&lt;=11,"Gen A",Table2[[#This Row],[Age]]&lt;=27,"Gen Z",Table2[[#This Row],[Age]]&lt;=43,"Millenials",Table2[[#This Row],[Age]]&lt;=59,"Gen X",Table2[[#This Row],[Age]]&lt;=78,"Baby Boomers",Table2[[#This Row],[Age]]&lt;=96,"Silent",Table2[[#This Row],[Age]]&gt;=97,"Greatest")</f>
        <v>Baby Boomers</v>
      </c>
      <c r="E831" s="1">
        <v>67372</v>
      </c>
      <c r="F831">
        <v>75</v>
      </c>
      <c r="G831" t="str" cm="1">
        <f t="array" ref="G831">_xlfn.IFS(Table2[[#This Row],[Spending Score (1-100)]]&lt;=25,"Low",Table2[[#This Row],[Spending Score (1-100)]]&lt;=50,"Medium",Table2[[#This Row],[Spending Score (1-100)]]&lt;=75,"High",Table2[[#This Row],[Spending Score (1-100)]]&lt;=100,"Very High")</f>
        <v>High</v>
      </c>
      <c r="H831" t="s">
        <v>14</v>
      </c>
      <c r="I831">
        <v>0</v>
      </c>
      <c r="J831" t="str">
        <f>CONCATENATE(Table2[[#This Row],[Work Experience]],"years")</f>
        <v>0years</v>
      </c>
      <c r="K831" t="str">
        <f>CONCATENATE(Table2[[#This Row],[Family Size2]],"members")</f>
        <v>7members</v>
      </c>
      <c r="L831" t="str">
        <f>CONCATENATE(Table2[[#This Row],[Family Size2]],"members")</f>
        <v>7members</v>
      </c>
      <c r="M831">
        <v>7</v>
      </c>
    </row>
    <row r="832" spans="1:13">
      <c r="A832">
        <v>831</v>
      </c>
      <c r="B832" t="s">
        <v>11</v>
      </c>
      <c r="C832">
        <v>30</v>
      </c>
      <c r="D832" t="str" cm="1">
        <f t="array" ref="D832">_xlfn.IFS(Table2[[#This Row],[Age]]&lt;=11,"Gen A",Table2[[#This Row],[Age]]&lt;=27,"Gen Z",Table2[[#This Row],[Age]]&lt;=43,"Millenials",Table2[[#This Row],[Age]]&lt;=59,"Gen X",Table2[[#This Row],[Age]]&lt;=78,"Baby Boomers",Table2[[#This Row],[Age]]&lt;=96,"Silent",Table2[[#This Row],[Age]]&gt;=97,"Greatest")</f>
        <v>Millenials</v>
      </c>
      <c r="E832" s="1">
        <v>109703</v>
      </c>
      <c r="F832">
        <v>61</v>
      </c>
      <c r="G832" t="str" cm="1">
        <f t="array" ref="G832">_xlfn.IFS(Table2[[#This Row],[Spending Score (1-100)]]&lt;=25,"Low",Table2[[#This Row],[Spending Score (1-100)]]&lt;=50,"Medium",Table2[[#This Row],[Spending Score (1-100)]]&lt;=75,"High",Table2[[#This Row],[Spending Score (1-100)]]&lt;=100,"Very High")</f>
        <v>High</v>
      </c>
      <c r="H832" t="s">
        <v>15</v>
      </c>
      <c r="I832">
        <v>1</v>
      </c>
      <c r="J832" t="str">
        <f>CONCATENATE(Table2[[#This Row],[Work Experience]],"years")</f>
        <v>1years</v>
      </c>
      <c r="K832" t="str">
        <f>CONCATENATE(Table2[[#This Row],[Family Size2]],"members")</f>
        <v>1members</v>
      </c>
      <c r="L832" t="str">
        <f>CONCATENATE(Table2[[#This Row],[Family Size2]],"members")</f>
        <v>1members</v>
      </c>
      <c r="M832">
        <v>1</v>
      </c>
    </row>
    <row r="833" spans="1:13">
      <c r="A833">
        <v>832</v>
      </c>
      <c r="B833" t="s">
        <v>8</v>
      </c>
      <c r="C833">
        <v>38</v>
      </c>
      <c r="D833" t="str" cm="1">
        <f t="array" ref="D833">_xlfn.IFS(Table2[[#This Row],[Age]]&lt;=11,"Gen A",Table2[[#This Row],[Age]]&lt;=27,"Gen Z",Table2[[#This Row],[Age]]&lt;=43,"Millenials",Table2[[#This Row],[Age]]&lt;=59,"Gen X",Table2[[#This Row],[Age]]&lt;=78,"Baby Boomers",Table2[[#This Row],[Age]]&lt;=96,"Silent",Table2[[#This Row],[Age]]&gt;=97,"Greatest")</f>
        <v>Millenials</v>
      </c>
      <c r="E833" s="1">
        <v>166697</v>
      </c>
      <c r="F833">
        <v>39</v>
      </c>
      <c r="G833" t="str" cm="1">
        <f t="array" ref="G833">_xlfn.IFS(Table2[[#This Row],[Spending Score (1-100)]]&lt;=25,"Low",Table2[[#This Row],[Spending Score (1-100)]]&lt;=50,"Medium",Table2[[#This Row],[Spending Score (1-100)]]&lt;=75,"High",Table2[[#This Row],[Spending Score (1-100)]]&lt;=100,"Very High")</f>
        <v>Medium</v>
      </c>
      <c r="H833" t="s">
        <v>18</v>
      </c>
      <c r="I833">
        <v>13</v>
      </c>
      <c r="J833" t="str">
        <f>CONCATENATE(Table2[[#This Row],[Work Experience]],"years")</f>
        <v>13years</v>
      </c>
      <c r="K833" t="str">
        <f>CONCATENATE(Table2[[#This Row],[Family Size2]],"members")</f>
        <v>4members</v>
      </c>
      <c r="L833" t="str">
        <f>CONCATENATE(Table2[[#This Row],[Family Size2]],"members")</f>
        <v>4members</v>
      </c>
      <c r="M833">
        <v>4</v>
      </c>
    </row>
    <row r="834" spans="1:13">
      <c r="A834">
        <v>833</v>
      </c>
      <c r="B834" t="s">
        <v>11</v>
      </c>
      <c r="C834">
        <v>40</v>
      </c>
      <c r="D834" t="str" cm="1">
        <f t="array" ref="D834">_xlfn.IFS(Table2[[#This Row],[Age]]&lt;=11,"Gen A",Table2[[#This Row],[Age]]&lt;=27,"Gen Z",Table2[[#This Row],[Age]]&lt;=43,"Millenials",Table2[[#This Row],[Age]]&lt;=59,"Gen X",Table2[[#This Row],[Age]]&lt;=78,"Baby Boomers",Table2[[#This Row],[Age]]&lt;=96,"Silent",Table2[[#This Row],[Age]]&gt;=97,"Greatest")</f>
        <v>Millenials</v>
      </c>
      <c r="E834" s="1">
        <v>124982</v>
      </c>
      <c r="F834">
        <v>34</v>
      </c>
      <c r="G834" t="str" cm="1">
        <f t="array" ref="G834">_xlfn.IFS(Table2[[#This Row],[Spending Score (1-100)]]&lt;=25,"Low",Table2[[#This Row],[Spending Score (1-100)]]&lt;=50,"Medium",Table2[[#This Row],[Spending Score (1-100)]]&lt;=75,"High",Table2[[#This Row],[Spending Score (1-100)]]&lt;=100,"Very High")</f>
        <v>Medium</v>
      </c>
      <c r="H834" t="s">
        <v>10</v>
      </c>
      <c r="I834">
        <v>1</v>
      </c>
      <c r="J834" t="str">
        <f>CONCATENATE(Table2[[#This Row],[Work Experience]],"years")</f>
        <v>1years</v>
      </c>
      <c r="K834" t="str">
        <f>CONCATENATE(Table2[[#This Row],[Family Size2]],"members")</f>
        <v>7members</v>
      </c>
      <c r="L834" t="str">
        <f>CONCATENATE(Table2[[#This Row],[Family Size2]],"members")</f>
        <v>7members</v>
      </c>
      <c r="M834">
        <v>7</v>
      </c>
    </row>
    <row r="835" spans="1:13">
      <c r="A835">
        <v>834</v>
      </c>
      <c r="B835" t="s">
        <v>11</v>
      </c>
      <c r="C835">
        <v>6</v>
      </c>
      <c r="D835" t="str" cm="1">
        <f t="array" ref="D835">_xlfn.IFS(Table2[[#This Row],[Age]]&lt;=11,"Gen A",Table2[[#This Row],[Age]]&lt;=27,"Gen Z",Table2[[#This Row],[Age]]&lt;=43,"Millenials",Table2[[#This Row],[Age]]&lt;=59,"Gen X",Table2[[#This Row],[Age]]&lt;=78,"Baby Boomers",Table2[[#This Row],[Age]]&lt;=96,"Silent",Table2[[#This Row],[Age]]&gt;=97,"Greatest")</f>
        <v>Gen A</v>
      </c>
      <c r="E835" s="1">
        <v>146776</v>
      </c>
      <c r="F835">
        <v>83</v>
      </c>
      <c r="G835" t="str" cm="1">
        <f t="array" ref="G835">_xlfn.IFS(Table2[[#This Row],[Spending Score (1-100)]]&lt;=25,"Low",Table2[[#This Row],[Spending Score (1-100)]]&lt;=50,"Medium",Table2[[#This Row],[Spending Score (1-100)]]&lt;=75,"High",Table2[[#This Row],[Spending Score (1-100)]]&lt;=100,"Very High")</f>
        <v>Very High</v>
      </c>
      <c r="H835" t="s">
        <v>12</v>
      </c>
      <c r="I835">
        <v>1</v>
      </c>
      <c r="J835" t="str">
        <f>CONCATENATE(Table2[[#This Row],[Work Experience]],"years")</f>
        <v>1years</v>
      </c>
      <c r="K835" t="str">
        <f>CONCATENATE(Table2[[#This Row],[Family Size2]],"members")</f>
        <v>7members</v>
      </c>
      <c r="L835" t="str">
        <f>CONCATENATE(Table2[[#This Row],[Family Size2]],"members")</f>
        <v>7members</v>
      </c>
      <c r="M835">
        <v>7</v>
      </c>
    </row>
    <row r="836" spans="1:13">
      <c r="A836">
        <v>835</v>
      </c>
      <c r="B836" t="s">
        <v>11</v>
      </c>
      <c r="C836">
        <v>3</v>
      </c>
      <c r="D836" t="str" cm="1">
        <f t="array" ref="D836">_xlfn.IFS(Table2[[#This Row],[Age]]&lt;=11,"Gen A",Table2[[#This Row],[Age]]&lt;=27,"Gen Z",Table2[[#This Row],[Age]]&lt;=43,"Millenials",Table2[[#This Row],[Age]]&lt;=59,"Gen X",Table2[[#This Row],[Age]]&lt;=78,"Baby Boomers",Table2[[#This Row],[Age]]&lt;=96,"Silent",Table2[[#This Row],[Age]]&gt;=97,"Greatest")</f>
        <v>Gen A</v>
      </c>
      <c r="E836" s="1">
        <v>147548</v>
      </c>
      <c r="F836">
        <v>45</v>
      </c>
      <c r="G836" t="str" cm="1">
        <f t="array" ref="G836">_xlfn.IFS(Table2[[#This Row],[Spending Score (1-100)]]&lt;=25,"Low",Table2[[#This Row],[Spending Score (1-100)]]&lt;=50,"Medium",Table2[[#This Row],[Spending Score (1-100)]]&lt;=75,"High",Table2[[#This Row],[Spending Score (1-100)]]&lt;=100,"Very High")</f>
        <v>Medium</v>
      </c>
      <c r="H836" t="s">
        <v>15</v>
      </c>
      <c r="I836">
        <v>4</v>
      </c>
      <c r="J836" t="str">
        <f>CONCATENATE(Table2[[#This Row],[Work Experience]],"years")</f>
        <v>4years</v>
      </c>
      <c r="K836" t="str">
        <f>CONCATENATE(Table2[[#This Row],[Family Size2]],"members")</f>
        <v>5members</v>
      </c>
      <c r="L836" t="str">
        <f>CONCATENATE(Table2[[#This Row],[Family Size2]],"members")</f>
        <v>5members</v>
      </c>
      <c r="M836">
        <v>5</v>
      </c>
    </row>
    <row r="837" spans="1:13">
      <c r="A837">
        <v>836</v>
      </c>
      <c r="B837" t="s">
        <v>11</v>
      </c>
      <c r="C837">
        <v>51</v>
      </c>
      <c r="D837" t="str" cm="1">
        <f t="array" ref="D837">_xlfn.IFS(Table2[[#This Row],[Age]]&lt;=11,"Gen A",Table2[[#This Row],[Age]]&lt;=27,"Gen Z",Table2[[#This Row],[Age]]&lt;=43,"Millenials",Table2[[#This Row],[Age]]&lt;=59,"Gen X",Table2[[#This Row],[Age]]&lt;=78,"Baby Boomers",Table2[[#This Row],[Age]]&lt;=96,"Silent",Table2[[#This Row],[Age]]&gt;=97,"Greatest")</f>
        <v>Gen X</v>
      </c>
      <c r="E837" s="1">
        <v>117620</v>
      </c>
      <c r="F837">
        <v>60</v>
      </c>
      <c r="G837" t="str" cm="1">
        <f t="array" ref="G837">_xlfn.IFS(Table2[[#This Row],[Spending Score (1-100)]]&lt;=25,"Low",Table2[[#This Row],[Spending Score (1-100)]]&lt;=50,"Medium",Table2[[#This Row],[Spending Score (1-100)]]&lt;=75,"High",Table2[[#This Row],[Spending Score (1-100)]]&lt;=100,"Very High")</f>
        <v>High</v>
      </c>
      <c r="H837" t="s">
        <v>9</v>
      </c>
      <c r="I837">
        <v>7</v>
      </c>
      <c r="J837" t="str">
        <f>CONCATENATE(Table2[[#This Row],[Work Experience]],"years")</f>
        <v>7years</v>
      </c>
      <c r="K837" t="str">
        <f>CONCATENATE(Table2[[#This Row],[Family Size2]],"members")</f>
        <v>6members</v>
      </c>
      <c r="L837" t="str">
        <f>CONCATENATE(Table2[[#This Row],[Family Size2]],"members")</f>
        <v>6members</v>
      </c>
      <c r="M837">
        <v>6</v>
      </c>
    </row>
    <row r="838" spans="1:13">
      <c r="A838">
        <v>837</v>
      </c>
      <c r="B838" t="s">
        <v>8</v>
      </c>
      <c r="C838">
        <v>63</v>
      </c>
      <c r="D838" t="str" cm="1">
        <f t="array" ref="D838">_xlfn.IFS(Table2[[#This Row],[Age]]&lt;=11,"Gen A",Table2[[#This Row],[Age]]&lt;=27,"Gen Z",Table2[[#This Row],[Age]]&lt;=43,"Millenials",Table2[[#This Row],[Age]]&lt;=59,"Gen X",Table2[[#This Row],[Age]]&lt;=78,"Baby Boomers",Table2[[#This Row],[Age]]&lt;=96,"Silent",Table2[[#This Row],[Age]]&gt;=97,"Greatest")</f>
        <v>Baby Boomers</v>
      </c>
      <c r="E838" s="1">
        <v>85351</v>
      </c>
      <c r="F838">
        <v>57</v>
      </c>
      <c r="G838" t="str" cm="1">
        <f t="array" ref="G838">_xlfn.IFS(Table2[[#This Row],[Spending Score (1-100)]]&lt;=25,"Low",Table2[[#This Row],[Spending Score (1-100)]]&lt;=50,"Medium",Table2[[#This Row],[Spending Score (1-100)]]&lt;=75,"High",Table2[[#This Row],[Spending Score (1-100)]]&lt;=100,"Very High")</f>
        <v>High</v>
      </c>
      <c r="H838" t="s">
        <v>9</v>
      </c>
      <c r="I838">
        <v>0</v>
      </c>
      <c r="J838" t="str">
        <f>CONCATENATE(Table2[[#This Row],[Work Experience]],"years")</f>
        <v>0years</v>
      </c>
      <c r="K838" t="str">
        <f>CONCATENATE(Table2[[#This Row],[Family Size2]],"members")</f>
        <v>2members</v>
      </c>
      <c r="L838" t="str">
        <f>CONCATENATE(Table2[[#This Row],[Family Size2]],"members")</f>
        <v>2members</v>
      </c>
      <c r="M838">
        <v>2</v>
      </c>
    </row>
    <row r="839" spans="1:13">
      <c r="A839">
        <v>838</v>
      </c>
      <c r="B839" t="s">
        <v>8</v>
      </c>
      <c r="C839">
        <v>65</v>
      </c>
      <c r="D839" t="str" cm="1">
        <f t="array" ref="D839">_xlfn.IFS(Table2[[#This Row],[Age]]&lt;=11,"Gen A",Table2[[#This Row],[Age]]&lt;=27,"Gen Z",Table2[[#This Row],[Age]]&lt;=43,"Millenials",Table2[[#This Row],[Age]]&lt;=59,"Gen X",Table2[[#This Row],[Age]]&lt;=78,"Baby Boomers",Table2[[#This Row],[Age]]&lt;=96,"Silent",Table2[[#This Row],[Age]]&gt;=97,"Greatest")</f>
        <v>Baby Boomers</v>
      </c>
      <c r="E839" s="1">
        <v>174432</v>
      </c>
      <c r="F839">
        <v>8</v>
      </c>
      <c r="G839" t="str" cm="1">
        <f t="array" ref="G839">_xlfn.IFS(Table2[[#This Row],[Spending Score (1-100)]]&lt;=25,"Low",Table2[[#This Row],[Spending Score (1-100)]]&lt;=50,"Medium",Table2[[#This Row],[Spending Score (1-100)]]&lt;=75,"High",Table2[[#This Row],[Spending Score (1-100)]]&lt;=100,"Very High")</f>
        <v>Low</v>
      </c>
      <c r="H839" t="s">
        <v>14</v>
      </c>
      <c r="I839">
        <v>0</v>
      </c>
      <c r="J839" t="str">
        <f>CONCATENATE(Table2[[#This Row],[Work Experience]],"years")</f>
        <v>0years</v>
      </c>
      <c r="K839" t="str">
        <f>CONCATENATE(Table2[[#This Row],[Family Size2]],"members")</f>
        <v>7members</v>
      </c>
      <c r="L839" t="str">
        <f>CONCATENATE(Table2[[#This Row],[Family Size2]],"members")</f>
        <v>7members</v>
      </c>
      <c r="M839">
        <v>7</v>
      </c>
    </row>
    <row r="840" spans="1:13">
      <c r="A840">
        <v>839</v>
      </c>
      <c r="B840" t="s">
        <v>8</v>
      </c>
      <c r="C840">
        <v>44</v>
      </c>
      <c r="D840" t="str" cm="1">
        <f t="array" ref="D840">_xlfn.IFS(Table2[[#This Row],[Age]]&lt;=11,"Gen A",Table2[[#This Row],[Age]]&lt;=27,"Gen Z",Table2[[#This Row],[Age]]&lt;=43,"Millenials",Table2[[#This Row],[Age]]&lt;=59,"Gen X",Table2[[#This Row],[Age]]&lt;=78,"Baby Boomers",Table2[[#This Row],[Age]]&lt;=96,"Silent",Table2[[#This Row],[Age]]&gt;=97,"Greatest")</f>
        <v>Gen X</v>
      </c>
      <c r="E840" s="1">
        <v>70787</v>
      </c>
      <c r="F840">
        <v>68</v>
      </c>
      <c r="G840" t="str" cm="1">
        <f t="array" ref="G840">_xlfn.IFS(Table2[[#This Row],[Spending Score (1-100)]]&lt;=25,"Low",Table2[[#This Row],[Spending Score (1-100)]]&lt;=50,"Medium",Table2[[#This Row],[Spending Score (1-100)]]&lt;=75,"High",Table2[[#This Row],[Spending Score (1-100)]]&lt;=100,"Very High")</f>
        <v>High</v>
      </c>
      <c r="H840" t="s">
        <v>16</v>
      </c>
      <c r="I840">
        <v>1</v>
      </c>
      <c r="J840" t="str">
        <f>CONCATENATE(Table2[[#This Row],[Work Experience]],"years")</f>
        <v>1years</v>
      </c>
      <c r="K840" t="str">
        <f>CONCATENATE(Table2[[#This Row],[Family Size2]],"members")</f>
        <v>3members</v>
      </c>
      <c r="L840" t="str">
        <f>CONCATENATE(Table2[[#This Row],[Family Size2]],"members")</f>
        <v>3members</v>
      </c>
      <c r="M840">
        <v>3</v>
      </c>
    </row>
    <row r="841" spans="1:13">
      <c r="A841">
        <v>840</v>
      </c>
      <c r="B841" t="s">
        <v>11</v>
      </c>
      <c r="C841">
        <v>90</v>
      </c>
      <c r="D841" t="str" cm="1">
        <f t="array" ref="D841">_xlfn.IFS(Table2[[#This Row],[Age]]&lt;=11,"Gen A",Table2[[#This Row],[Age]]&lt;=27,"Gen Z",Table2[[#This Row],[Age]]&lt;=43,"Millenials",Table2[[#This Row],[Age]]&lt;=59,"Gen X",Table2[[#This Row],[Age]]&lt;=78,"Baby Boomers",Table2[[#This Row],[Age]]&lt;=96,"Silent",Table2[[#This Row],[Age]]&gt;=97,"Greatest")</f>
        <v>Silent</v>
      </c>
      <c r="E841" s="1">
        <v>75473</v>
      </c>
      <c r="F841">
        <v>63</v>
      </c>
      <c r="G841" t="str" cm="1">
        <f t="array" ref="G841">_xlfn.IFS(Table2[[#This Row],[Spending Score (1-100)]]&lt;=25,"Low",Table2[[#This Row],[Spending Score (1-100)]]&lt;=50,"Medium",Table2[[#This Row],[Spending Score (1-100)]]&lt;=75,"High",Table2[[#This Row],[Spending Score (1-100)]]&lt;=100,"Very High")</f>
        <v>High</v>
      </c>
      <c r="H841" t="s">
        <v>9</v>
      </c>
      <c r="I841">
        <v>0</v>
      </c>
      <c r="J841" t="str">
        <f>CONCATENATE(Table2[[#This Row],[Work Experience]],"years")</f>
        <v>0years</v>
      </c>
      <c r="K841" t="str">
        <f>CONCATENATE(Table2[[#This Row],[Family Size2]],"members")</f>
        <v>7members</v>
      </c>
      <c r="L841" t="str">
        <f>CONCATENATE(Table2[[#This Row],[Family Size2]],"members")</f>
        <v>7members</v>
      </c>
      <c r="M841">
        <v>7</v>
      </c>
    </row>
    <row r="842" spans="1:13">
      <c r="A842">
        <v>841</v>
      </c>
      <c r="B842" t="s">
        <v>8</v>
      </c>
      <c r="C842">
        <v>76</v>
      </c>
      <c r="D842" t="str" cm="1">
        <f t="array" ref="D842">_xlfn.IFS(Table2[[#This Row],[Age]]&lt;=11,"Gen A",Table2[[#This Row],[Age]]&lt;=27,"Gen Z",Table2[[#This Row],[Age]]&lt;=43,"Millenials",Table2[[#This Row],[Age]]&lt;=59,"Gen X",Table2[[#This Row],[Age]]&lt;=78,"Baby Boomers",Table2[[#This Row],[Age]]&lt;=96,"Silent",Table2[[#This Row],[Age]]&gt;=97,"Greatest")</f>
        <v>Baby Boomers</v>
      </c>
      <c r="E842" s="1">
        <v>90082</v>
      </c>
      <c r="F842">
        <v>49</v>
      </c>
      <c r="G842" t="str" cm="1">
        <f t="array" ref="G842">_xlfn.IFS(Table2[[#This Row],[Spending Score (1-100)]]&lt;=25,"Low",Table2[[#This Row],[Spending Score (1-100)]]&lt;=50,"Medium",Table2[[#This Row],[Spending Score (1-100)]]&lt;=75,"High",Table2[[#This Row],[Spending Score (1-100)]]&lt;=100,"Very High")</f>
        <v>Medium</v>
      </c>
      <c r="H842" t="s">
        <v>9</v>
      </c>
      <c r="I842">
        <v>1</v>
      </c>
      <c r="J842" t="str">
        <f>CONCATENATE(Table2[[#This Row],[Work Experience]],"years")</f>
        <v>1years</v>
      </c>
      <c r="K842" t="str">
        <f>CONCATENATE(Table2[[#This Row],[Family Size2]],"members")</f>
        <v>6members</v>
      </c>
      <c r="L842" t="str">
        <f>CONCATENATE(Table2[[#This Row],[Family Size2]],"members")</f>
        <v>6members</v>
      </c>
      <c r="M842">
        <v>6</v>
      </c>
    </row>
    <row r="843" spans="1:13">
      <c r="A843">
        <v>842</v>
      </c>
      <c r="B843" t="s">
        <v>11</v>
      </c>
      <c r="C843">
        <v>62</v>
      </c>
      <c r="D843" t="str" cm="1">
        <f t="array" ref="D843">_xlfn.IFS(Table2[[#This Row],[Age]]&lt;=11,"Gen A",Table2[[#This Row],[Age]]&lt;=27,"Gen Z",Table2[[#This Row],[Age]]&lt;=43,"Millenials",Table2[[#This Row],[Age]]&lt;=59,"Gen X",Table2[[#This Row],[Age]]&lt;=78,"Baby Boomers",Table2[[#This Row],[Age]]&lt;=96,"Silent",Table2[[#This Row],[Age]]&gt;=97,"Greatest")</f>
        <v>Baby Boomers</v>
      </c>
      <c r="E843" s="1">
        <v>185388</v>
      </c>
      <c r="F843">
        <v>54</v>
      </c>
      <c r="G843" t="str" cm="1">
        <f t="array" ref="G843">_xlfn.IFS(Table2[[#This Row],[Spending Score (1-100)]]&lt;=25,"Low",Table2[[#This Row],[Spending Score (1-100)]]&lt;=50,"Medium",Table2[[#This Row],[Spending Score (1-100)]]&lt;=75,"High",Table2[[#This Row],[Spending Score (1-100)]]&lt;=100,"Very High")</f>
        <v>High</v>
      </c>
      <c r="H843" t="s">
        <v>9</v>
      </c>
      <c r="I843">
        <v>0</v>
      </c>
      <c r="J843" t="str">
        <f>CONCATENATE(Table2[[#This Row],[Work Experience]],"years")</f>
        <v>0years</v>
      </c>
      <c r="K843" t="str">
        <f>CONCATENATE(Table2[[#This Row],[Family Size2]],"members")</f>
        <v>2members</v>
      </c>
      <c r="L843" t="str">
        <f>CONCATENATE(Table2[[#This Row],[Family Size2]],"members")</f>
        <v>2members</v>
      </c>
      <c r="M843">
        <v>2</v>
      </c>
    </row>
    <row r="844" spans="1:13">
      <c r="A844">
        <v>843</v>
      </c>
      <c r="B844" t="s">
        <v>11</v>
      </c>
      <c r="C844">
        <v>5</v>
      </c>
      <c r="D844" t="str" cm="1">
        <f t="array" ref="D844">_xlfn.IFS(Table2[[#This Row],[Age]]&lt;=11,"Gen A",Table2[[#This Row],[Age]]&lt;=27,"Gen Z",Table2[[#This Row],[Age]]&lt;=43,"Millenials",Table2[[#This Row],[Age]]&lt;=59,"Gen X",Table2[[#This Row],[Age]]&lt;=78,"Baby Boomers",Table2[[#This Row],[Age]]&lt;=96,"Silent",Table2[[#This Row],[Age]]&gt;=97,"Greatest")</f>
        <v>Gen A</v>
      </c>
      <c r="E844" s="1">
        <v>168110</v>
      </c>
      <c r="F844">
        <v>69</v>
      </c>
      <c r="G844" t="str" cm="1">
        <f t="array" ref="G844">_xlfn.IFS(Table2[[#This Row],[Spending Score (1-100)]]&lt;=25,"Low",Table2[[#This Row],[Spending Score (1-100)]]&lt;=50,"Medium",Table2[[#This Row],[Spending Score (1-100)]]&lt;=75,"High",Table2[[#This Row],[Spending Score (1-100)]]&lt;=100,"Very High")</f>
        <v>High</v>
      </c>
      <c r="H844" t="s">
        <v>16</v>
      </c>
      <c r="I844">
        <v>14</v>
      </c>
      <c r="J844" t="str">
        <f>CONCATENATE(Table2[[#This Row],[Work Experience]],"years")</f>
        <v>14years</v>
      </c>
      <c r="K844" t="str">
        <f>CONCATENATE(Table2[[#This Row],[Family Size2]],"members")</f>
        <v>6members</v>
      </c>
      <c r="L844" t="str">
        <f>CONCATENATE(Table2[[#This Row],[Family Size2]],"members")</f>
        <v>6members</v>
      </c>
      <c r="M844">
        <v>6</v>
      </c>
    </row>
    <row r="845" spans="1:13">
      <c r="A845">
        <v>844</v>
      </c>
      <c r="B845" t="s">
        <v>11</v>
      </c>
      <c r="C845">
        <v>67</v>
      </c>
      <c r="D845" t="str" cm="1">
        <f t="array" ref="D845">_xlfn.IFS(Table2[[#This Row],[Age]]&lt;=11,"Gen A",Table2[[#This Row],[Age]]&lt;=27,"Gen Z",Table2[[#This Row],[Age]]&lt;=43,"Millenials",Table2[[#This Row],[Age]]&lt;=59,"Gen X",Table2[[#This Row],[Age]]&lt;=78,"Baby Boomers",Table2[[#This Row],[Age]]&lt;=96,"Silent",Table2[[#This Row],[Age]]&gt;=97,"Greatest")</f>
        <v>Baby Boomers</v>
      </c>
      <c r="E845" s="1">
        <v>184628</v>
      </c>
      <c r="F845">
        <v>38</v>
      </c>
      <c r="G845" t="str" cm="1">
        <f t="array" ref="G845">_xlfn.IFS(Table2[[#This Row],[Spending Score (1-100)]]&lt;=25,"Low",Table2[[#This Row],[Spending Score (1-100)]]&lt;=50,"Medium",Table2[[#This Row],[Spending Score (1-100)]]&lt;=75,"High",Table2[[#This Row],[Spending Score (1-100)]]&lt;=100,"Very High")</f>
        <v>Medium</v>
      </c>
      <c r="H845" t="s">
        <v>14</v>
      </c>
      <c r="I845">
        <v>12</v>
      </c>
      <c r="J845" t="str">
        <f>CONCATENATE(Table2[[#This Row],[Work Experience]],"years")</f>
        <v>12years</v>
      </c>
      <c r="K845" t="str">
        <f>CONCATENATE(Table2[[#This Row],[Family Size2]],"members")</f>
        <v>2members</v>
      </c>
      <c r="L845" t="str">
        <f>CONCATENATE(Table2[[#This Row],[Family Size2]],"members")</f>
        <v>2members</v>
      </c>
      <c r="M845">
        <v>2</v>
      </c>
    </row>
    <row r="846" spans="1:13">
      <c r="A846">
        <v>845</v>
      </c>
      <c r="B846" t="s">
        <v>11</v>
      </c>
      <c r="C846">
        <v>38</v>
      </c>
      <c r="D846" t="str" cm="1">
        <f t="array" ref="D846">_xlfn.IFS(Table2[[#This Row],[Age]]&lt;=11,"Gen A",Table2[[#This Row],[Age]]&lt;=27,"Gen Z",Table2[[#This Row],[Age]]&lt;=43,"Millenials",Table2[[#This Row],[Age]]&lt;=59,"Gen X",Table2[[#This Row],[Age]]&lt;=78,"Baby Boomers",Table2[[#This Row],[Age]]&lt;=96,"Silent",Table2[[#This Row],[Age]]&gt;=97,"Greatest")</f>
        <v>Millenials</v>
      </c>
      <c r="E846" s="1">
        <v>176551</v>
      </c>
      <c r="F846">
        <v>45</v>
      </c>
      <c r="G846" t="str" cm="1">
        <f t="array" ref="G846">_xlfn.IFS(Table2[[#This Row],[Spending Score (1-100)]]&lt;=25,"Low",Table2[[#This Row],[Spending Score (1-100)]]&lt;=50,"Medium",Table2[[#This Row],[Spending Score (1-100)]]&lt;=75,"High",Table2[[#This Row],[Spending Score (1-100)]]&lt;=100,"Very High")</f>
        <v>Medium</v>
      </c>
      <c r="H846" t="s">
        <v>9</v>
      </c>
      <c r="I846">
        <v>8</v>
      </c>
      <c r="J846" t="str">
        <f>CONCATENATE(Table2[[#This Row],[Work Experience]],"years")</f>
        <v>8years</v>
      </c>
      <c r="K846" t="str">
        <f>CONCATENATE(Table2[[#This Row],[Family Size2]],"members")</f>
        <v>1members</v>
      </c>
      <c r="L846" t="str">
        <f>CONCATENATE(Table2[[#This Row],[Family Size2]],"members")</f>
        <v>1members</v>
      </c>
      <c r="M846">
        <v>1</v>
      </c>
    </row>
    <row r="847" spans="1:13">
      <c r="A847">
        <v>846</v>
      </c>
      <c r="B847" t="s">
        <v>11</v>
      </c>
      <c r="C847">
        <v>31</v>
      </c>
      <c r="D847" t="str" cm="1">
        <f t="array" ref="D847">_xlfn.IFS(Table2[[#This Row],[Age]]&lt;=11,"Gen A",Table2[[#This Row],[Age]]&lt;=27,"Gen Z",Table2[[#This Row],[Age]]&lt;=43,"Millenials",Table2[[#This Row],[Age]]&lt;=59,"Gen X",Table2[[#This Row],[Age]]&lt;=78,"Baby Boomers",Table2[[#This Row],[Age]]&lt;=96,"Silent",Table2[[#This Row],[Age]]&gt;=97,"Greatest")</f>
        <v>Millenials</v>
      </c>
      <c r="E847" s="1">
        <v>76422</v>
      </c>
      <c r="F847">
        <v>21</v>
      </c>
      <c r="G847" t="str" cm="1">
        <f t="array" ref="G847">_xlfn.IFS(Table2[[#This Row],[Spending Score (1-100)]]&lt;=25,"Low",Table2[[#This Row],[Spending Score (1-100)]]&lt;=50,"Medium",Table2[[#This Row],[Spending Score (1-100)]]&lt;=75,"High",Table2[[#This Row],[Spending Score (1-100)]]&lt;=100,"Very High")</f>
        <v>Low</v>
      </c>
      <c r="H847" t="s">
        <v>9</v>
      </c>
      <c r="I847">
        <v>9</v>
      </c>
      <c r="J847" t="str">
        <f>CONCATENATE(Table2[[#This Row],[Work Experience]],"years")</f>
        <v>9years</v>
      </c>
      <c r="K847" t="str">
        <f>CONCATENATE(Table2[[#This Row],[Family Size2]],"members")</f>
        <v>7members</v>
      </c>
      <c r="L847" t="str">
        <f>CONCATENATE(Table2[[#This Row],[Family Size2]],"members")</f>
        <v>7members</v>
      </c>
      <c r="M847">
        <v>7</v>
      </c>
    </row>
    <row r="848" spans="1:13">
      <c r="A848">
        <v>847</v>
      </c>
      <c r="B848" t="s">
        <v>8</v>
      </c>
      <c r="C848">
        <v>2</v>
      </c>
      <c r="D848" t="str" cm="1">
        <f t="array" ref="D848">_xlfn.IFS(Table2[[#This Row],[Age]]&lt;=11,"Gen A",Table2[[#This Row],[Age]]&lt;=27,"Gen Z",Table2[[#This Row],[Age]]&lt;=43,"Millenials",Table2[[#This Row],[Age]]&lt;=59,"Gen X",Table2[[#This Row],[Age]]&lt;=78,"Baby Boomers",Table2[[#This Row],[Age]]&lt;=96,"Silent",Table2[[#This Row],[Age]]&gt;=97,"Greatest")</f>
        <v>Gen A</v>
      </c>
      <c r="E848" s="1">
        <v>164248</v>
      </c>
      <c r="F848">
        <v>51</v>
      </c>
      <c r="G848" t="str" cm="1">
        <f t="array" ref="G848">_xlfn.IFS(Table2[[#This Row],[Spending Score (1-100)]]&lt;=25,"Low",Table2[[#This Row],[Spending Score (1-100)]]&lt;=50,"Medium",Table2[[#This Row],[Spending Score (1-100)]]&lt;=75,"High",Table2[[#This Row],[Spending Score (1-100)]]&lt;=100,"Very High")</f>
        <v>High</v>
      </c>
      <c r="H848" t="s">
        <v>13</v>
      </c>
      <c r="I848">
        <v>9</v>
      </c>
      <c r="J848" t="str">
        <f>CONCATENATE(Table2[[#This Row],[Work Experience]],"years")</f>
        <v>9years</v>
      </c>
      <c r="K848" t="str">
        <f>CONCATENATE(Table2[[#This Row],[Family Size2]],"members")</f>
        <v>3members</v>
      </c>
      <c r="L848" t="str">
        <f>CONCATENATE(Table2[[#This Row],[Family Size2]],"members")</f>
        <v>3members</v>
      </c>
      <c r="M848">
        <v>3</v>
      </c>
    </row>
    <row r="849" spans="1:13">
      <c r="A849">
        <v>848</v>
      </c>
      <c r="B849" t="s">
        <v>11</v>
      </c>
      <c r="C849">
        <v>82</v>
      </c>
      <c r="D849" t="str" cm="1">
        <f t="array" ref="D849">_xlfn.IFS(Table2[[#This Row],[Age]]&lt;=11,"Gen A",Table2[[#This Row],[Age]]&lt;=27,"Gen Z",Table2[[#This Row],[Age]]&lt;=43,"Millenials",Table2[[#This Row],[Age]]&lt;=59,"Gen X",Table2[[#This Row],[Age]]&lt;=78,"Baby Boomers",Table2[[#This Row],[Age]]&lt;=96,"Silent",Table2[[#This Row],[Age]]&gt;=97,"Greatest")</f>
        <v>Silent</v>
      </c>
      <c r="E849" s="1">
        <v>109188</v>
      </c>
      <c r="F849">
        <v>38</v>
      </c>
      <c r="G849" t="str" cm="1">
        <f t="array" ref="G849">_xlfn.IFS(Table2[[#This Row],[Spending Score (1-100)]]&lt;=25,"Low",Table2[[#This Row],[Spending Score (1-100)]]&lt;=50,"Medium",Table2[[#This Row],[Spending Score (1-100)]]&lt;=75,"High",Table2[[#This Row],[Spending Score (1-100)]]&lt;=100,"Very High")</f>
        <v>Medium</v>
      </c>
      <c r="H849" t="s">
        <v>12</v>
      </c>
      <c r="I849">
        <v>5</v>
      </c>
      <c r="J849" t="str">
        <f>CONCATENATE(Table2[[#This Row],[Work Experience]],"years")</f>
        <v>5years</v>
      </c>
      <c r="K849" t="str">
        <f>CONCATENATE(Table2[[#This Row],[Family Size2]],"members")</f>
        <v>7members</v>
      </c>
      <c r="L849" t="str">
        <f>CONCATENATE(Table2[[#This Row],[Family Size2]],"members")</f>
        <v>7members</v>
      </c>
      <c r="M849">
        <v>7</v>
      </c>
    </row>
    <row r="850" spans="1:13">
      <c r="A850">
        <v>849</v>
      </c>
      <c r="B850" t="s">
        <v>11</v>
      </c>
      <c r="C850">
        <v>66</v>
      </c>
      <c r="D850" t="str" cm="1">
        <f t="array" ref="D850">_xlfn.IFS(Table2[[#This Row],[Age]]&lt;=11,"Gen A",Table2[[#This Row],[Age]]&lt;=27,"Gen Z",Table2[[#This Row],[Age]]&lt;=43,"Millenials",Table2[[#This Row],[Age]]&lt;=59,"Gen X",Table2[[#This Row],[Age]]&lt;=78,"Baby Boomers",Table2[[#This Row],[Age]]&lt;=96,"Silent",Table2[[#This Row],[Age]]&gt;=97,"Greatest")</f>
        <v>Baby Boomers</v>
      </c>
      <c r="E850" s="1">
        <v>132951</v>
      </c>
      <c r="F850">
        <v>26</v>
      </c>
      <c r="G850" t="str" cm="1">
        <f t="array" ref="G850">_xlfn.IFS(Table2[[#This Row],[Spending Score (1-100)]]&lt;=25,"Low",Table2[[#This Row],[Spending Score (1-100)]]&lt;=50,"Medium",Table2[[#This Row],[Spending Score (1-100)]]&lt;=75,"High",Table2[[#This Row],[Spending Score (1-100)]]&lt;=100,"Very High")</f>
        <v>Medium</v>
      </c>
      <c r="H850" t="s">
        <v>9</v>
      </c>
      <c r="I850">
        <v>4</v>
      </c>
      <c r="J850" t="str">
        <f>CONCATENATE(Table2[[#This Row],[Work Experience]],"years")</f>
        <v>4years</v>
      </c>
      <c r="K850" t="str">
        <f>CONCATENATE(Table2[[#This Row],[Family Size2]],"members")</f>
        <v>1members</v>
      </c>
      <c r="L850" t="str">
        <f>CONCATENATE(Table2[[#This Row],[Family Size2]],"members")</f>
        <v>1members</v>
      </c>
      <c r="M850">
        <v>1</v>
      </c>
    </row>
    <row r="851" spans="1:13">
      <c r="A851">
        <v>850</v>
      </c>
      <c r="B851" t="s">
        <v>11</v>
      </c>
      <c r="C851">
        <v>75</v>
      </c>
      <c r="D851" t="str" cm="1">
        <f t="array" ref="D851">_xlfn.IFS(Table2[[#This Row],[Age]]&lt;=11,"Gen A",Table2[[#This Row],[Age]]&lt;=27,"Gen Z",Table2[[#This Row],[Age]]&lt;=43,"Millenials",Table2[[#This Row],[Age]]&lt;=59,"Gen X",Table2[[#This Row],[Age]]&lt;=78,"Baby Boomers",Table2[[#This Row],[Age]]&lt;=96,"Silent",Table2[[#This Row],[Age]]&gt;=97,"Greatest")</f>
        <v>Baby Boomers</v>
      </c>
      <c r="E851" s="1">
        <v>164598</v>
      </c>
      <c r="F851">
        <v>32</v>
      </c>
      <c r="G851" t="str" cm="1">
        <f t="array" ref="G851">_xlfn.IFS(Table2[[#This Row],[Spending Score (1-100)]]&lt;=25,"Low",Table2[[#This Row],[Spending Score (1-100)]]&lt;=50,"Medium",Table2[[#This Row],[Spending Score (1-100)]]&lt;=75,"High",Table2[[#This Row],[Spending Score (1-100)]]&lt;=100,"Very High")</f>
        <v>Medium</v>
      </c>
      <c r="H851" t="s">
        <v>9</v>
      </c>
      <c r="I851">
        <v>8</v>
      </c>
      <c r="J851" t="str">
        <f>CONCATENATE(Table2[[#This Row],[Work Experience]],"years")</f>
        <v>8years</v>
      </c>
      <c r="K851" t="str">
        <f>CONCATENATE(Table2[[#This Row],[Family Size2]],"members")</f>
        <v>1members</v>
      </c>
      <c r="L851" t="str">
        <f>CONCATENATE(Table2[[#This Row],[Family Size2]],"members")</f>
        <v>1members</v>
      </c>
      <c r="M851">
        <v>1</v>
      </c>
    </row>
    <row r="852" spans="1:13">
      <c r="A852">
        <v>851</v>
      </c>
      <c r="B852" t="s">
        <v>8</v>
      </c>
      <c r="C852">
        <v>69</v>
      </c>
      <c r="D852" t="str" cm="1">
        <f t="array" ref="D852">_xlfn.IFS(Table2[[#This Row],[Age]]&lt;=11,"Gen A",Table2[[#This Row],[Age]]&lt;=27,"Gen Z",Table2[[#This Row],[Age]]&lt;=43,"Millenials",Table2[[#This Row],[Age]]&lt;=59,"Gen X",Table2[[#This Row],[Age]]&lt;=78,"Baby Boomers",Table2[[#This Row],[Age]]&lt;=96,"Silent",Table2[[#This Row],[Age]]&gt;=97,"Greatest")</f>
        <v>Baby Boomers</v>
      </c>
      <c r="E852" s="1">
        <v>186655</v>
      </c>
      <c r="F852">
        <v>32</v>
      </c>
      <c r="G852" t="str" cm="1">
        <f t="array" ref="G852">_xlfn.IFS(Table2[[#This Row],[Spending Score (1-100)]]&lt;=25,"Low",Table2[[#This Row],[Spending Score (1-100)]]&lt;=50,"Medium",Table2[[#This Row],[Spending Score (1-100)]]&lt;=75,"High",Table2[[#This Row],[Spending Score (1-100)]]&lt;=100,"Very High")</f>
        <v>Medium</v>
      </c>
      <c r="H852" t="s">
        <v>19</v>
      </c>
      <c r="I852">
        <v>7</v>
      </c>
      <c r="J852" t="str">
        <f>CONCATENATE(Table2[[#This Row],[Work Experience]],"years")</f>
        <v>7years</v>
      </c>
      <c r="K852" t="str">
        <f>CONCATENATE(Table2[[#This Row],[Family Size2]],"members")</f>
        <v>2members</v>
      </c>
      <c r="L852" t="str">
        <f>CONCATENATE(Table2[[#This Row],[Family Size2]],"members")</f>
        <v>2members</v>
      </c>
      <c r="M852">
        <v>2</v>
      </c>
    </row>
    <row r="853" spans="1:13">
      <c r="A853">
        <v>852</v>
      </c>
      <c r="B853" t="s">
        <v>11</v>
      </c>
      <c r="C853">
        <v>62</v>
      </c>
      <c r="D853" t="str" cm="1">
        <f t="array" ref="D853">_xlfn.IFS(Table2[[#This Row],[Age]]&lt;=11,"Gen A",Table2[[#This Row],[Age]]&lt;=27,"Gen Z",Table2[[#This Row],[Age]]&lt;=43,"Millenials",Table2[[#This Row],[Age]]&lt;=59,"Gen X",Table2[[#This Row],[Age]]&lt;=78,"Baby Boomers",Table2[[#This Row],[Age]]&lt;=96,"Silent",Table2[[#This Row],[Age]]&gt;=97,"Greatest")</f>
        <v>Baby Boomers</v>
      </c>
      <c r="E853" s="1">
        <v>111859</v>
      </c>
      <c r="F853">
        <v>86</v>
      </c>
      <c r="G853" t="str" cm="1">
        <f t="array" ref="G853">_xlfn.IFS(Table2[[#This Row],[Spending Score (1-100)]]&lt;=25,"Low",Table2[[#This Row],[Spending Score (1-100)]]&lt;=50,"Medium",Table2[[#This Row],[Spending Score (1-100)]]&lt;=75,"High",Table2[[#This Row],[Spending Score (1-100)]]&lt;=100,"Very High")</f>
        <v>Very High</v>
      </c>
      <c r="H853" t="s">
        <v>9</v>
      </c>
      <c r="I853">
        <v>6</v>
      </c>
      <c r="J853" t="str">
        <f>CONCATENATE(Table2[[#This Row],[Work Experience]],"years")</f>
        <v>6years</v>
      </c>
      <c r="K853" t="str">
        <f>CONCATENATE(Table2[[#This Row],[Family Size2]],"members")</f>
        <v>1members</v>
      </c>
      <c r="L853" t="str">
        <f>CONCATENATE(Table2[[#This Row],[Family Size2]],"members")</f>
        <v>1members</v>
      </c>
      <c r="M853">
        <v>1</v>
      </c>
    </row>
    <row r="854" spans="1:13">
      <c r="A854">
        <v>853</v>
      </c>
      <c r="B854" t="s">
        <v>11</v>
      </c>
      <c r="C854">
        <v>0</v>
      </c>
      <c r="D854" t="str" cm="1">
        <f t="array" ref="D854">_xlfn.IFS(Table2[[#This Row],[Age]]&lt;=11,"Gen A",Table2[[#This Row],[Age]]&lt;=27,"Gen Z",Table2[[#This Row],[Age]]&lt;=43,"Millenials",Table2[[#This Row],[Age]]&lt;=59,"Gen X",Table2[[#This Row],[Age]]&lt;=78,"Baby Boomers",Table2[[#This Row],[Age]]&lt;=96,"Silent",Table2[[#This Row],[Age]]&gt;=97,"Greatest")</f>
        <v>Gen A</v>
      </c>
      <c r="E854" s="1">
        <v>121926</v>
      </c>
      <c r="F854">
        <v>41</v>
      </c>
      <c r="G854" t="str" cm="1">
        <f t="array" ref="G854">_xlfn.IFS(Table2[[#This Row],[Spending Score (1-100)]]&lt;=25,"Low",Table2[[#This Row],[Spending Score (1-100)]]&lt;=50,"Medium",Table2[[#This Row],[Spending Score (1-100)]]&lt;=75,"High",Table2[[#This Row],[Spending Score (1-100)]]&lt;=100,"Very High")</f>
        <v>Medium</v>
      </c>
      <c r="H854" t="s">
        <v>12</v>
      </c>
      <c r="I854">
        <v>7</v>
      </c>
      <c r="J854" t="str">
        <f>CONCATENATE(Table2[[#This Row],[Work Experience]],"years")</f>
        <v>7years</v>
      </c>
      <c r="K854" t="str">
        <f>CONCATENATE(Table2[[#This Row],[Family Size2]],"members")</f>
        <v>1members</v>
      </c>
      <c r="L854" t="str">
        <f>CONCATENATE(Table2[[#This Row],[Family Size2]],"members")</f>
        <v>1members</v>
      </c>
      <c r="M854">
        <v>1</v>
      </c>
    </row>
    <row r="855" spans="1:13">
      <c r="A855">
        <v>854</v>
      </c>
      <c r="B855" t="s">
        <v>11</v>
      </c>
      <c r="C855">
        <v>11</v>
      </c>
      <c r="D855" t="str" cm="1">
        <f t="array" ref="D855">_xlfn.IFS(Table2[[#This Row],[Age]]&lt;=11,"Gen A",Table2[[#This Row],[Age]]&lt;=27,"Gen Z",Table2[[#This Row],[Age]]&lt;=43,"Millenials",Table2[[#This Row],[Age]]&lt;=59,"Gen X",Table2[[#This Row],[Age]]&lt;=78,"Baby Boomers",Table2[[#This Row],[Age]]&lt;=96,"Silent",Table2[[#This Row],[Age]]&gt;=97,"Greatest")</f>
        <v>Gen A</v>
      </c>
      <c r="E855" s="1">
        <v>143047</v>
      </c>
      <c r="F855">
        <v>42</v>
      </c>
      <c r="G855" t="str" cm="1">
        <f t="array" ref="G855">_xlfn.IFS(Table2[[#This Row],[Spending Score (1-100)]]&lt;=25,"Low",Table2[[#This Row],[Spending Score (1-100)]]&lt;=50,"Medium",Table2[[#This Row],[Spending Score (1-100)]]&lt;=75,"High",Table2[[#This Row],[Spending Score (1-100)]]&lt;=100,"Very High")</f>
        <v>Medium</v>
      </c>
      <c r="H855" t="s">
        <v>15</v>
      </c>
      <c r="I855">
        <v>1</v>
      </c>
      <c r="J855" t="str">
        <f>CONCATENATE(Table2[[#This Row],[Work Experience]],"years")</f>
        <v>1years</v>
      </c>
      <c r="K855" t="str">
        <f>CONCATENATE(Table2[[#This Row],[Family Size2]],"members")</f>
        <v>3members</v>
      </c>
      <c r="L855" t="str">
        <f>CONCATENATE(Table2[[#This Row],[Family Size2]],"members")</f>
        <v>3members</v>
      </c>
      <c r="M855">
        <v>3</v>
      </c>
    </row>
    <row r="856" spans="1:13">
      <c r="A856">
        <v>855</v>
      </c>
      <c r="B856" t="s">
        <v>11</v>
      </c>
      <c r="C856">
        <v>22</v>
      </c>
      <c r="D856" t="str" cm="1">
        <f t="array" ref="D856">_xlfn.IFS(Table2[[#This Row],[Age]]&lt;=11,"Gen A",Table2[[#This Row],[Age]]&lt;=27,"Gen Z",Table2[[#This Row],[Age]]&lt;=43,"Millenials",Table2[[#This Row],[Age]]&lt;=59,"Gen X",Table2[[#This Row],[Age]]&lt;=78,"Baby Boomers",Table2[[#This Row],[Age]]&lt;=96,"Silent",Table2[[#This Row],[Age]]&gt;=97,"Greatest")</f>
        <v>Gen Z</v>
      </c>
      <c r="E856" s="1">
        <v>131748</v>
      </c>
      <c r="F856">
        <v>23</v>
      </c>
      <c r="G856" t="str" cm="1">
        <f t="array" ref="G856">_xlfn.IFS(Table2[[#This Row],[Spending Score (1-100)]]&lt;=25,"Low",Table2[[#This Row],[Spending Score (1-100)]]&lt;=50,"Medium",Table2[[#This Row],[Spending Score (1-100)]]&lt;=75,"High",Table2[[#This Row],[Spending Score (1-100)]]&lt;=100,"Very High")</f>
        <v>Low</v>
      </c>
      <c r="H856" t="s">
        <v>14</v>
      </c>
      <c r="I856">
        <v>1</v>
      </c>
      <c r="J856" t="str">
        <f>CONCATENATE(Table2[[#This Row],[Work Experience]],"years")</f>
        <v>1years</v>
      </c>
      <c r="K856" t="str">
        <f>CONCATENATE(Table2[[#This Row],[Family Size2]],"members")</f>
        <v>3members</v>
      </c>
      <c r="L856" t="str">
        <f>CONCATENATE(Table2[[#This Row],[Family Size2]],"members")</f>
        <v>3members</v>
      </c>
      <c r="M856">
        <v>3</v>
      </c>
    </row>
    <row r="857" spans="1:13">
      <c r="A857">
        <v>856</v>
      </c>
      <c r="B857" t="s">
        <v>8</v>
      </c>
      <c r="C857">
        <v>76</v>
      </c>
      <c r="D857" t="str" cm="1">
        <f t="array" ref="D857">_xlfn.IFS(Table2[[#This Row],[Age]]&lt;=11,"Gen A",Table2[[#This Row],[Age]]&lt;=27,"Gen Z",Table2[[#This Row],[Age]]&lt;=43,"Millenials",Table2[[#This Row],[Age]]&lt;=59,"Gen X",Table2[[#This Row],[Age]]&lt;=78,"Baby Boomers",Table2[[#This Row],[Age]]&lt;=96,"Silent",Table2[[#This Row],[Age]]&gt;=97,"Greatest")</f>
        <v>Baby Boomers</v>
      </c>
      <c r="E857" s="1">
        <v>142801</v>
      </c>
      <c r="F857">
        <v>23</v>
      </c>
      <c r="G857" t="str" cm="1">
        <f t="array" ref="G857">_xlfn.IFS(Table2[[#This Row],[Spending Score (1-100)]]&lt;=25,"Low",Table2[[#This Row],[Spending Score (1-100)]]&lt;=50,"Medium",Table2[[#This Row],[Spending Score (1-100)]]&lt;=75,"High",Table2[[#This Row],[Spending Score (1-100)]]&lt;=100,"Very High")</f>
        <v>Low</v>
      </c>
      <c r="H857" t="s">
        <v>12</v>
      </c>
      <c r="I857">
        <v>0</v>
      </c>
      <c r="J857" t="str">
        <f>CONCATENATE(Table2[[#This Row],[Work Experience]],"years")</f>
        <v>0years</v>
      </c>
      <c r="K857" t="str">
        <f>CONCATENATE(Table2[[#This Row],[Family Size2]],"members")</f>
        <v>1members</v>
      </c>
      <c r="L857" t="str">
        <f>CONCATENATE(Table2[[#This Row],[Family Size2]],"members")</f>
        <v>1members</v>
      </c>
      <c r="M857">
        <v>1</v>
      </c>
    </row>
    <row r="858" spans="1:13">
      <c r="A858">
        <v>857</v>
      </c>
      <c r="B858" t="s">
        <v>8</v>
      </c>
      <c r="C858">
        <v>85</v>
      </c>
      <c r="D858" t="str" cm="1">
        <f t="array" ref="D858">_xlfn.IFS(Table2[[#This Row],[Age]]&lt;=11,"Gen A",Table2[[#This Row],[Age]]&lt;=27,"Gen Z",Table2[[#This Row],[Age]]&lt;=43,"Millenials",Table2[[#This Row],[Age]]&lt;=59,"Gen X",Table2[[#This Row],[Age]]&lt;=78,"Baby Boomers",Table2[[#This Row],[Age]]&lt;=96,"Silent",Table2[[#This Row],[Age]]&gt;=97,"Greatest")</f>
        <v>Silent</v>
      </c>
      <c r="E858" s="1">
        <v>142723</v>
      </c>
      <c r="F858">
        <v>46</v>
      </c>
      <c r="G858" t="str" cm="1">
        <f t="array" ref="G858">_xlfn.IFS(Table2[[#This Row],[Spending Score (1-100)]]&lt;=25,"Low",Table2[[#This Row],[Spending Score (1-100)]]&lt;=50,"Medium",Table2[[#This Row],[Spending Score (1-100)]]&lt;=75,"High",Table2[[#This Row],[Spending Score (1-100)]]&lt;=100,"Very High")</f>
        <v>Medium</v>
      </c>
      <c r="H858" t="s">
        <v>10</v>
      </c>
      <c r="I858">
        <v>0</v>
      </c>
      <c r="J858" t="str">
        <f>CONCATENATE(Table2[[#This Row],[Work Experience]],"years")</f>
        <v>0years</v>
      </c>
      <c r="K858" t="str">
        <f>CONCATENATE(Table2[[#This Row],[Family Size2]],"members")</f>
        <v>6members</v>
      </c>
      <c r="L858" t="str">
        <f>CONCATENATE(Table2[[#This Row],[Family Size2]],"members")</f>
        <v>6members</v>
      </c>
      <c r="M858">
        <v>6</v>
      </c>
    </row>
    <row r="859" spans="1:13">
      <c r="A859">
        <v>858</v>
      </c>
      <c r="B859" t="s">
        <v>8</v>
      </c>
      <c r="C859">
        <v>21</v>
      </c>
      <c r="D859" t="str" cm="1">
        <f t="array" ref="D859">_xlfn.IFS(Table2[[#This Row],[Age]]&lt;=11,"Gen A",Table2[[#This Row],[Age]]&lt;=27,"Gen Z",Table2[[#This Row],[Age]]&lt;=43,"Millenials",Table2[[#This Row],[Age]]&lt;=59,"Gen X",Table2[[#This Row],[Age]]&lt;=78,"Baby Boomers",Table2[[#This Row],[Age]]&lt;=96,"Silent",Table2[[#This Row],[Age]]&gt;=97,"Greatest")</f>
        <v>Gen Z</v>
      </c>
      <c r="E859" s="1">
        <v>155151</v>
      </c>
      <c r="F859">
        <v>16</v>
      </c>
      <c r="G859" t="str" cm="1">
        <f t="array" ref="G859">_xlfn.IFS(Table2[[#This Row],[Spending Score (1-100)]]&lt;=25,"Low",Table2[[#This Row],[Spending Score (1-100)]]&lt;=50,"Medium",Table2[[#This Row],[Spending Score (1-100)]]&lt;=75,"High",Table2[[#This Row],[Spending Score (1-100)]]&lt;=100,"Very High")</f>
        <v>Low</v>
      </c>
      <c r="H859" t="s">
        <v>18</v>
      </c>
      <c r="I859">
        <v>14</v>
      </c>
      <c r="J859" t="str">
        <f>CONCATENATE(Table2[[#This Row],[Work Experience]],"years")</f>
        <v>14years</v>
      </c>
      <c r="K859" t="str">
        <f>CONCATENATE(Table2[[#This Row],[Family Size2]],"members")</f>
        <v>3members</v>
      </c>
      <c r="L859" t="str">
        <f>CONCATENATE(Table2[[#This Row],[Family Size2]],"members")</f>
        <v>3members</v>
      </c>
      <c r="M859">
        <v>3</v>
      </c>
    </row>
    <row r="860" spans="1:13">
      <c r="A860">
        <v>859</v>
      </c>
      <c r="B860" t="s">
        <v>11</v>
      </c>
      <c r="C860">
        <v>64</v>
      </c>
      <c r="D860" t="str" cm="1">
        <f t="array" ref="D860">_xlfn.IFS(Table2[[#This Row],[Age]]&lt;=11,"Gen A",Table2[[#This Row],[Age]]&lt;=27,"Gen Z",Table2[[#This Row],[Age]]&lt;=43,"Millenials",Table2[[#This Row],[Age]]&lt;=59,"Gen X",Table2[[#This Row],[Age]]&lt;=78,"Baby Boomers",Table2[[#This Row],[Age]]&lt;=96,"Silent",Table2[[#This Row],[Age]]&gt;=97,"Greatest")</f>
        <v>Baby Boomers</v>
      </c>
      <c r="E860" s="1">
        <v>153607</v>
      </c>
      <c r="F860">
        <v>48</v>
      </c>
      <c r="G860" t="str" cm="1">
        <f t="array" ref="G860">_xlfn.IFS(Table2[[#This Row],[Spending Score (1-100)]]&lt;=25,"Low",Table2[[#This Row],[Spending Score (1-100)]]&lt;=50,"Medium",Table2[[#This Row],[Spending Score (1-100)]]&lt;=75,"High",Table2[[#This Row],[Spending Score (1-100)]]&lt;=100,"Very High")</f>
        <v>Medium</v>
      </c>
      <c r="H860" t="s">
        <v>9</v>
      </c>
      <c r="I860">
        <v>1</v>
      </c>
      <c r="J860" t="str">
        <f>CONCATENATE(Table2[[#This Row],[Work Experience]],"years")</f>
        <v>1years</v>
      </c>
      <c r="K860" t="str">
        <f>CONCATENATE(Table2[[#This Row],[Family Size2]],"members")</f>
        <v>4members</v>
      </c>
      <c r="L860" t="str">
        <f>CONCATENATE(Table2[[#This Row],[Family Size2]],"members")</f>
        <v>4members</v>
      </c>
      <c r="M860">
        <v>4</v>
      </c>
    </row>
    <row r="861" spans="1:13">
      <c r="A861">
        <v>860</v>
      </c>
      <c r="B861" t="s">
        <v>8</v>
      </c>
      <c r="C861">
        <v>94</v>
      </c>
      <c r="D861" t="str" cm="1">
        <f t="array" ref="D861">_xlfn.IFS(Table2[[#This Row],[Age]]&lt;=11,"Gen A",Table2[[#This Row],[Age]]&lt;=27,"Gen Z",Table2[[#This Row],[Age]]&lt;=43,"Millenials",Table2[[#This Row],[Age]]&lt;=59,"Gen X",Table2[[#This Row],[Age]]&lt;=78,"Baby Boomers",Table2[[#This Row],[Age]]&lt;=96,"Silent",Table2[[#This Row],[Age]]&gt;=97,"Greatest")</f>
        <v>Silent</v>
      </c>
      <c r="E861" s="1">
        <v>144192</v>
      </c>
      <c r="F861">
        <v>34</v>
      </c>
      <c r="G861" t="str" cm="1">
        <f t="array" ref="G861">_xlfn.IFS(Table2[[#This Row],[Spending Score (1-100)]]&lt;=25,"Low",Table2[[#This Row],[Spending Score (1-100)]]&lt;=50,"Medium",Table2[[#This Row],[Spending Score (1-100)]]&lt;=75,"High",Table2[[#This Row],[Spending Score (1-100)]]&lt;=100,"Very High")</f>
        <v>Medium</v>
      </c>
      <c r="H861" t="s">
        <v>9</v>
      </c>
      <c r="I861">
        <v>0</v>
      </c>
      <c r="J861" t="str">
        <f>CONCATENATE(Table2[[#This Row],[Work Experience]],"years")</f>
        <v>0years</v>
      </c>
      <c r="K861" t="str">
        <f>CONCATENATE(Table2[[#This Row],[Family Size2]],"members")</f>
        <v>3members</v>
      </c>
      <c r="L861" t="str">
        <f>CONCATENATE(Table2[[#This Row],[Family Size2]],"members")</f>
        <v>3members</v>
      </c>
      <c r="M861">
        <v>3</v>
      </c>
    </row>
    <row r="862" spans="1:13">
      <c r="A862">
        <v>861</v>
      </c>
      <c r="B862" t="s">
        <v>11</v>
      </c>
      <c r="C862">
        <v>83</v>
      </c>
      <c r="D862" t="str" cm="1">
        <f t="array" ref="D862">_xlfn.IFS(Table2[[#This Row],[Age]]&lt;=11,"Gen A",Table2[[#This Row],[Age]]&lt;=27,"Gen Z",Table2[[#This Row],[Age]]&lt;=43,"Millenials",Table2[[#This Row],[Age]]&lt;=59,"Gen X",Table2[[#This Row],[Age]]&lt;=78,"Baby Boomers",Table2[[#This Row],[Age]]&lt;=96,"Silent",Table2[[#This Row],[Age]]&gt;=97,"Greatest")</f>
        <v>Silent</v>
      </c>
      <c r="E862" s="1">
        <v>174159</v>
      </c>
      <c r="F862">
        <v>22</v>
      </c>
      <c r="G862" t="str" cm="1">
        <f t="array" ref="G862">_xlfn.IFS(Table2[[#This Row],[Spending Score (1-100)]]&lt;=25,"Low",Table2[[#This Row],[Spending Score (1-100)]]&lt;=50,"Medium",Table2[[#This Row],[Spending Score (1-100)]]&lt;=75,"High",Table2[[#This Row],[Spending Score (1-100)]]&lt;=100,"Very High")</f>
        <v>Low</v>
      </c>
      <c r="H862" t="s">
        <v>12</v>
      </c>
      <c r="I862">
        <v>4</v>
      </c>
      <c r="J862" t="str">
        <f>CONCATENATE(Table2[[#This Row],[Work Experience]],"years")</f>
        <v>4years</v>
      </c>
      <c r="K862" t="str">
        <f>CONCATENATE(Table2[[#This Row],[Family Size2]],"members")</f>
        <v>4members</v>
      </c>
      <c r="L862" t="str">
        <f>CONCATENATE(Table2[[#This Row],[Family Size2]],"members")</f>
        <v>4members</v>
      </c>
      <c r="M862">
        <v>4</v>
      </c>
    </row>
    <row r="863" spans="1:13">
      <c r="A863">
        <v>862</v>
      </c>
      <c r="B863" t="s">
        <v>11</v>
      </c>
      <c r="C863">
        <v>93</v>
      </c>
      <c r="D863" t="str" cm="1">
        <f t="array" ref="D863">_xlfn.IFS(Table2[[#This Row],[Age]]&lt;=11,"Gen A",Table2[[#This Row],[Age]]&lt;=27,"Gen Z",Table2[[#This Row],[Age]]&lt;=43,"Millenials",Table2[[#This Row],[Age]]&lt;=59,"Gen X",Table2[[#This Row],[Age]]&lt;=78,"Baby Boomers",Table2[[#This Row],[Age]]&lt;=96,"Silent",Table2[[#This Row],[Age]]&gt;=97,"Greatest")</f>
        <v>Silent</v>
      </c>
      <c r="E863" s="1">
        <v>73642</v>
      </c>
      <c r="F863">
        <v>50</v>
      </c>
      <c r="G863" t="str" cm="1">
        <f t="array" ref="G863">_xlfn.IFS(Table2[[#This Row],[Spending Score (1-100)]]&lt;=25,"Low",Table2[[#This Row],[Spending Score (1-100)]]&lt;=50,"Medium",Table2[[#This Row],[Spending Score (1-100)]]&lt;=75,"High",Table2[[#This Row],[Spending Score (1-100)]]&lt;=100,"Very High")</f>
        <v>Medium</v>
      </c>
      <c r="H863" t="s">
        <v>18</v>
      </c>
      <c r="I863">
        <v>0</v>
      </c>
      <c r="J863" t="str">
        <f>CONCATENATE(Table2[[#This Row],[Work Experience]],"years")</f>
        <v>0years</v>
      </c>
      <c r="K863" t="str">
        <f>CONCATENATE(Table2[[#This Row],[Family Size2]],"members")</f>
        <v>3members</v>
      </c>
      <c r="L863" t="str">
        <f>CONCATENATE(Table2[[#This Row],[Family Size2]],"members")</f>
        <v>3members</v>
      </c>
      <c r="M863">
        <v>3</v>
      </c>
    </row>
    <row r="864" spans="1:13">
      <c r="A864">
        <v>863</v>
      </c>
      <c r="B864" t="s">
        <v>11</v>
      </c>
      <c r="C864">
        <v>12</v>
      </c>
      <c r="D864" t="str" cm="1">
        <f t="array" ref="D864">_xlfn.IFS(Table2[[#This Row],[Age]]&lt;=11,"Gen A",Table2[[#This Row],[Age]]&lt;=27,"Gen Z",Table2[[#This Row],[Age]]&lt;=43,"Millenials",Table2[[#This Row],[Age]]&lt;=59,"Gen X",Table2[[#This Row],[Age]]&lt;=78,"Baby Boomers",Table2[[#This Row],[Age]]&lt;=96,"Silent",Table2[[#This Row],[Age]]&gt;=97,"Greatest")</f>
        <v>Gen Z</v>
      </c>
      <c r="E864" s="1">
        <v>170319</v>
      </c>
      <c r="F864">
        <v>46</v>
      </c>
      <c r="G864" t="str" cm="1">
        <f t="array" ref="G864">_xlfn.IFS(Table2[[#This Row],[Spending Score (1-100)]]&lt;=25,"Low",Table2[[#This Row],[Spending Score (1-100)]]&lt;=50,"Medium",Table2[[#This Row],[Spending Score (1-100)]]&lt;=75,"High",Table2[[#This Row],[Spending Score (1-100)]]&lt;=100,"Very High")</f>
        <v>Medium</v>
      </c>
      <c r="H864" t="s">
        <v>14</v>
      </c>
      <c r="I864">
        <v>8</v>
      </c>
      <c r="J864" t="str">
        <f>CONCATENATE(Table2[[#This Row],[Work Experience]],"years")</f>
        <v>8years</v>
      </c>
      <c r="K864" t="str">
        <f>CONCATENATE(Table2[[#This Row],[Family Size2]],"members")</f>
        <v>7members</v>
      </c>
      <c r="L864" t="str">
        <f>CONCATENATE(Table2[[#This Row],[Family Size2]],"members")</f>
        <v>7members</v>
      </c>
      <c r="M864">
        <v>7</v>
      </c>
    </row>
    <row r="865" spans="1:13">
      <c r="A865">
        <v>864</v>
      </c>
      <c r="B865" t="s">
        <v>11</v>
      </c>
      <c r="C865">
        <v>0</v>
      </c>
      <c r="D865" t="str" cm="1">
        <f t="array" ref="D865">_xlfn.IFS(Table2[[#This Row],[Age]]&lt;=11,"Gen A",Table2[[#This Row],[Age]]&lt;=27,"Gen Z",Table2[[#This Row],[Age]]&lt;=43,"Millenials",Table2[[#This Row],[Age]]&lt;=59,"Gen X",Table2[[#This Row],[Age]]&lt;=78,"Baby Boomers",Table2[[#This Row],[Age]]&lt;=96,"Silent",Table2[[#This Row],[Age]]&gt;=97,"Greatest")</f>
        <v>Gen A</v>
      </c>
      <c r="E865" s="1">
        <v>141351</v>
      </c>
      <c r="F865">
        <v>10</v>
      </c>
      <c r="G865" t="str" cm="1">
        <f t="array" ref="G865">_xlfn.IFS(Table2[[#This Row],[Spending Score (1-100)]]&lt;=25,"Low",Table2[[#This Row],[Spending Score (1-100)]]&lt;=50,"Medium",Table2[[#This Row],[Spending Score (1-100)]]&lt;=75,"High",Table2[[#This Row],[Spending Score (1-100)]]&lt;=100,"Very High")</f>
        <v>Low</v>
      </c>
      <c r="H865" t="s">
        <v>10</v>
      </c>
      <c r="I865">
        <v>0</v>
      </c>
      <c r="J865" t="str">
        <f>CONCATENATE(Table2[[#This Row],[Work Experience]],"years")</f>
        <v>0years</v>
      </c>
      <c r="K865" t="str">
        <f>CONCATENATE(Table2[[#This Row],[Family Size2]],"members")</f>
        <v>2members</v>
      </c>
      <c r="L865" t="str">
        <f>CONCATENATE(Table2[[#This Row],[Family Size2]],"members")</f>
        <v>2members</v>
      </c>
      <c r="M865">
        <v>2</v>
      </c>
    </row>
    <row r="866" spans="1:13">
      <c r="A866">
        <v>865</v>
      </c>
      <c r="B866" t="s">
        <v>11</v>
      </c>
      <c r="C866">
        <v>79</v>
      </c>
      <c r="D866" t="str" cm="1">
        <f t="array" ref="D866">_xlfn.IFS(Table2[[#This Row],[Age]]&lt;=11,"Gen A",Table2[[#This Row],[Age]]&lt;=27,"Gen Z",Table2[[#This Row],[Age]]&lt;=43,"Millenials",Table2[[#This Row],[Age]]&lt;=59,"Gen X",Table2[[#This Row],[Age]]&lt;=78,"Baby Boomers",Table2[[#This Row],[Age]]&lt;=96,"Silent",Table2[[#This Row],[Age]]&gt;=97,"Greatest")</f>
        <v>Silent</v>
      </c>
      <c r="E866" s="1">
        <v>167411</v>
      </c>
      <c r="F866">
        <v>9</v>
      </c>
      <c r="G866" t="str" cm="1">
        <f t="array" ref="G866">_xlfn.IFS(Table2[[#This Row],[Spending Score (1-100)]]&lt;=25,"Low",Table2[[#This Row],[Spending Score (1-100)]]&lt;=50,"Medium",Table2[[#This Row],[Spending Score (1-100)]]&lt;=75,"High",Table2[[#This Row],[Spending Score (1-100)]]&lt;=100,"Very High")</f>
        <v>Low</v>
      </c>
      <c r="H866" t="s">
        <v>18</v>
      </c>
      <c r="I866">
        <v>12</v>
      </c>
      <c r="J866" t="str">
        <f>CONCATENATE(Table2[[#This Row],[Work Experience]],"years")</f>
        <v>12years</v>
      </c>
      <c r="K866" t="str">
        <f>CONCATENATE(Table2[[#This Row],[Family Size2]],"members")</f>
        <v>5members</v>
      </c>
      <c r="L866" t="str">
        <f>CONCATENATE(Table2[[#This Row],[Family Size2]],"members")</f>
        <v>5members</v>
      </c>
      <c r="M866">
        <v>5</v>
      </c>
    </row>
    <row r="867" spans="1:13">
      <c r="A867">
        <v>866</v>
      </c>
      <c r="B867" t="s">
        <v>8</v>
      </c>
      <c r="C867">
        <v>90</v>
      </c>
      <c r="D867" t="str" cm="1">
        <f t="array" ref="D867">_xlfn.IFS(Table2[[#This Row],[Age]]&lt;=11,"Gen A",Table2[[#This Row],[Age]]&lt;=27,"Gen Z",Table2[[#This Row],[Age]]&lt;=43,"Millenials",Table2[[#This Row],[Age]]&lt;=59,"Gen X",Table2[[#This Row],[Age]]&lt;=78,"Baby Boomers",Table2[[#This Row],[Age]]&lt;=96,"Silent",Table2[[#This Row],[Age]]&gt;=97,"Greatest")</f>
        <v>Silent</v>
      </c>
      <c r="E867" s="1">
        <v>58289</v>
      </c>
      <c r="F867">
        <v>49</v>
      </c>
      <c r="G867" t="str" cm="1">
        <f t="array" ref="G867">_xlfn.IFS(Table2[[#This Row],[Spending Score (1-100)]]&lt;=25,"Low",Table2[[#This Row],[Spending Score (1-100)]]&lt;=50,"Medium",Table2[[#This Row],[Spending Score (1-100)]]&lt;=75,"High",Table2[[#This Row],[Spending Score (1-100)]]&lt;=100,"Very High")</f>
        <v>Medium</v>
      </c>
      <c r="H867" t="s">
        <v>14</v>
      </c>
      <c r="I867">
        <v>5</v>
      </c>
      <c r="J867" t="str">
        <f>CONCATENATE(Table2[[#This Row],[Work Experience]],"years")</f>
        <v>5years</v>
      </c>
      <c r="K867" t="str">
        <f>CONCATENATE(Table2[[#This Row],[Family Size2]],"members")</f>
        <v>6members</v>
      </c>
      <c r="L867" t="str">
        <f>CONCATENATE(Table2[[#This Row],[Family Size2]],"members")</f>
        <v>6members</v>
      </c>
      <c r="M867">
        <v>6</v>
      </c>
    </row>
    <row r="868" spans="1:13">
      <c r="A868">
        <v>867</v>
      </c>
      <c r="B868" t="s">
        <v>11</v>
      </c>
      <c r="C868">
        <v>45</v>
      </c>
      <c r="D868" t="str" cm="1">
        <f t="array" ref="D868">_xlfn.IFS(Table2[[#This Row],[Age]]&lt;=11,"Gen A",Table2[[#This Row],[Age]]&lt;=27,"Gen Z",Table2[[#This Row],[Age]]&lt;=43,"Millenials",Table2[[#This Row],[Age]]&lt;=59,"Gen X",Table2[[#This Row],[Age]]&lt;=78,"Baby Boomers",Table2[[#This Row],[Age]]&lt;=96,"Silent",Table2[[#This Row],[Age]]&gt;=97,"Greatest")</f>
        <v>Gen X</v>
      </c>
      <c r="E868" s="1">
        <v>79801</v>
      </c>
      <c r="F868">
        <v>77</v>
      </c>
      <c r="G868" t="str" cm="1">
        <f t="array" ref="G868">_xlfn.IFS(Table2[[#This Row],[Spending Score (1-100)]]&lt;=25,"Low",Table2[[#This Row],[Spending Score (1-100)]]&lt;=50,"Medium",Table2[[#This Row],[Spending Score (1-100)]]&lt;=75,"High",Table2[[#This Row],[Spending Score (1-100)]]&lt;=100,"Very High")</f>
        <v>Very High</v>
      </c>
      <c r="H868" t="s">
        <v>16</v>
      </c>
      <c r="I868">
        <v>0</v>
      </c>
      <c r="J868" t="str">
        <f>CONCATENATE(Table2[[#This Row],[Work Experience]],"years")</f>
        <v>0years</v>
      </c>
      <c r="K868" t="str">
        <f>CONCATENATE(Table2[[#This Row],[Family Size2]],"members")</f>
        <v>2members</v>
      </c>
      <c r="L868" t="str">
        <f>CONCATENATE(Table2[[#This Row],[Family Size2]],"members")</f>
        <v>2members</v>
      </c>
      <c r="M868">
        <v>2</v>
      </c>
    </row>
    <row r="869" spans="1:13">
      <c r="A869">
        <v>868</v>
      </c>
      <c r="B869" t="s">
        <v>11</v>
      </c>
      <c r="C869">
        <v>82</v>
      </c>
      <c r="D869" t="str" cm="1">
        <f t="array" ref="D869">_xlfn.IFS(Table2[[#This Row],[Age]]&lt;=11,"Gen A",Table2[[#This Row],[Age]]&lt;=27,"Gen Z",Table2[[#This Row],[Age]]&lt;=43,"Millenials",Table2[[#This Row],[Age]]&lt;=59,"Gen X",Table2[[#This Row],[Age]]&lt;=78,"Baby Boomers",Table2[[#This Row],[Age]]&lt;=96,"Silent",Table2[[#This Row],[Age]]&gt;=97,"Greatest")</f>
        <v>Silent</v>
      </c>
      <c r="E869" s="1">
        <v>146118</v>
      </c>
      <c r="F869">
        <v>52</v>
      </c>
      <c r="G869" t="str" cm="1">
        <f t="array" ref="G869">_xlfn.IFS(Table2[[#This Row],[Spending Score (1-100)]]&lt;=25,"Low",Table2[[#This Row],[Spending Score (1-100)]]&lt;=50,"Medium",Table2[[#This Row],[Spending Score (1-100)]]&lt;=75,"High",Table2[[#This Row],[Spending Score (1-100)]]&lt;=100,"Very High")</f>
        <v>High</v>
      </c>
      <c r="H869" t="s">
        <v>18</v>
      </c>
      <c r="I869">
        <v>8</v>
      </c>
      <c r="J869" t="str">
        <f>CONCATENATE(Table2[[#This Row],[Work Experience]],"years")</f>
        <v>8years</v>
      </c>
      <c r="K869" t="str">
        <f>CONCATENATE(Table2[[#This Row],[Family Size2]],"members")</f>
        <v>7members</v>
      </c>
      <c r="L869" t="str">
        <f>CONCATENATE(Table2[[#This Row],[Family Size2]],"members")</f>
        <v>7members</v>
      </c>
      <c r="M869">
        <v>7</v>
      </c>
    </row>
    <row r="870" spans="1:13">
      <c r="A870">
        <v>869</v>
      </c>
      <c r="B870" t="s">
        <v>11</v>
      </c>
      <c r="C870">
        <v>57</v>
      </c>
      <c r="D870" t="str" cm="1">
        <f t="array" ref="D870">_xlfn.IFS(Table2[[#This Row],[Age]]&lt;=11,"Gen A",Table2[[#This Row],[Age]]&lt;=27,"Gen Z",Table2[[#This Row],[Age]]&lt;=43,"Millenials",Table2[[#This Row],[Age]]&lt;=59,"Gen X",Table2[[#This Row],[Age]]&lt;=78,"Baby Boomers",Table2[[#This Row],[Age]]&lt;=96,"Silent",Table2[[#This Row],[Age]]&gt;=97,"Greatest")</f>
        <v>Gen X</v>
      </c>
      <c r="E870" s="1">
        <v>57337</v>
      </c>
      <c r="F870">
        <v>14</v>
      </c>
      <c r="G870" t="str" cm="1">
        <f t="array" ref="G870">_xlfn.IFS(Table2[[#This Row],[Spending Score (1-100)]]&lt;=25,"Low",Table2[[#This Row],[Spending Score (1-100)]]&lt;=50,"Medium",Table2[[#This Row],[Spending Score (1-100)]]&lt;=75,"High",Table2[[#This Row],[Spending Score (1-100)]]&lt;=100,"Very High")</f>
        <v>Low</v>
      </c>
      <c r="H870" t="s">
        <v>9</v>
      </c>
      <c r="I870">
        <v>1</v>
      </c>
      <c r="J870" t="str">
        <f>CONCATENATE(Table2[[#This Row],[Work Experience]],"years")</f>
        <v>1years</v>
      </c>
      <c r="K870" t="str">
        <f>CONCATENATE(Table2[[#This Row],[Family Size2]],"members")</f>
        <v>4members</v>
      </c>
      <c r="L870" t="str">
        <f>CONCATENATE(Table2[[#This Row],[Family Size2]],"members")</f>
        <v>4members</v>
      </c>
      <c r="M870">
        <v>4</v>
      </c>
    </row>
    <row r="871" spans="1:13">
      <c r="A871">
        <v>870</v>
      </c>
      <c r="B871" t="s">
        <v>11</v>
      </c>
      <c r="C871">
        <v>43</v>
      </c>
      <c r="D871" t="str" cm="1">
        <f t="array" ref="D871">_xlfn.IFS(Table2[[#This Row],[Age]]&lt;=11,"Gen A",Table2[[#This Row],[Age]]&lt;=27,"Gen Z",Table2[[#This Row],[Age]]&lt;=43,"Millenials",Table2[[#This Row],[Age]]&lt;=59,"Gen X",Table2[[#This Row],[Age]]&lt;=78,"Baby Boomers",Table2[[#This Row],[Age]]&lt;=96,"Silent",Table2[[#This Row],[Age]]&gt;=97,"Greatest")</f>
        <v>Millenials</v>
      </c>
      <c r="E871" s="1">
        <v>113575</v>
      </c>
      <c r="F871">
        <v>6</v>
      </c>
      <c r="G871" t="str" cm="1">
        <f t="array" ref="G871">_xlfn.IFS(Table2[[#This Row],[Spending Score (1-100)]]&lt;=25,"Low",Table2[[#This Row],[Spending Score (1-100)]]&lt;=50,"Medium",Table2[[#This Row],[Spending Score (1-100)]]&lt;=75,"High",Table2[[#This Row],[Spending Score (1-100)]]&lt;=100,"Very High")</f>
        <v>Low</v>
      </c>
      <c r="H871" t="s">
        <v>13</v>
      </c>
      <c r="I871">
        <v>1</v>
      </c>
      <c r="J871" t="str">
        <f>CONCATENATE(Table2[[#This Row],[Work Experience]],"years")</f>
        <v>1years</v>
      </c>
      <c r="K871" t="str">
        <f>CONCATENATE(Table2[[#This Row],[Family Size2]],"members")</f>
        <v>2members</v>
      </c>
      <c r="L871" t="str">
        <f>CONCATENATE(Table2[[#This Row],[Family Size2]],"members")</f>
        <v>2members</v>
      </c>
      <c r="M871">
        <v>2</v>
      </c>
    </row>
    <row r="872" spans="1:13">
      <c r="A872">
        <v>871</v>
      </c>
      <c r="B872" t="s">
        <v>8</v>
      </c>
      <c r="C872">
        <v>63</v>
      </c>
      <c r="D872" t="str" cm="1">
        <f t="array" ref="D872">_xlfn.IFS(Table2[[#This Row],[Age]]&lt;=11,"Gen A",Table2[[#This Row],[Age]]&lt;=27,"Gen Z",Table2[[#This Row],[Age]]&lt;=43,"Millenials",Table2[[#This Row],[Age]]&lt;=59,"Gen X",Table2[[#This Row],[Age]]&lt;=78,"Baby Boomers",Table2[[#This Row],[Age]]&lt;=96,"Silent",Table2[[#This Row],[Age]]&gt;=97,"Greatest")</f>
        <v>Baby Boomers</v>
      </c>
      <c r="E872" s="1">
        <v>122658</v>
      </c>
      <c r="F872">
        <v>65</v>
      </c>
      <c r="G872" t="str" cm="1">
        <f t="array" ref="G872">_xlfn.IFS(Table2[[#This Row],[Spending Score (1-100)]]&lt;=25,"Low",Table2[[#This Row],[Spending Score (1-100)]]&lt;=50,"Medium",Table2[[#This Row],[Spending Score (1-100)]]&lt;=75,"High",Table2[[#This Row],[Spending Score (1-100)]]&lt;=100,"Very High")</f>
        <v>High</v>
      </c>
      <c r="H872" t="s">
        <v>10</v>
      </c>
      <c r="I872">
        <v>6</v>
      </c>
      <c r="J872" t="str">
        <f>CONCATENATE(Table2[[#This Row],[Work Experience]],"years")</f>
        <v>6years</v>
      </c>
      <c r="K872" t="str">
        <f>CONCATENATE(Table2[[#This Row],[Family Size2]],"members")</f>
        <v>2members</v>
      </c>
      <c r="L872" t="str">
        <f>CONCATENATE(Table2[[#This Row],[Family Size2]],"members")</f>
        <v>2members</v>
      </c>
      <c r="M872">
        <v>2</v>
      </c>
    </row>
    <row r="873" spans="1:13">
      <c r="A873">
        <v>872</v>
      </c>
      <c r="B873" t="s">
        <v>11</v>
      </c>
      <c r="C873">
        <v>62</v>
      </c>
      <c r="D873" t="str" cm="1">
        <f t="array" ref="D873">_xlfn.IFS(Table2[[#This Row],[Age]]&lt;=11,"Gen A",Table2[[#This Row],[Age]]&lt;=27,"Gen Z",Table2[[#This Row],[Age]]&lt;=43,"Millenials",Table2[[#This Row],[Age]]&lt;=59,"Gen X",Table2[[#This Row],[Age]]&lt;=78,"Baby Boomers",Table2[[#This Row],[Age]]&lt;=96,"Silent",Table2[[#This Row],[Age]]&gt;=97,"Greatest")</f>
        <v>Baby Boomers</v>
      </c>
      <c r="E873" s="1">
        <v>151836</v>
      </c>
      <c r="F873">
        <v>13</v>
      </c>
      <c r="G873" t="str" cm="1">
        <f t="array" ref="G873">_xlfn.IFS(Table2[[#This Row],[Spending Score (1-100)]]&lt;=25,"Low",Table2[[#This Row],[Spending Score (1-100)]]&lt;=50,"Medium",Table2[[#This Row],[Spending Score (1-100)]]&lt;=75,"High",Table2[[#This Row],[Spending Score (1-100)]]&lt;=100,"Very High")</f>
        <v>Low</v>
      </c>
      <c r="H873" t="s">
        <v>14</v>
      </c>
      <c r="I873">
        <v>0</v>
      </c>
      <c r="J873" t="str">
        <f>CONCATENATE(Table2[[#This Row],[Work Experience]],"years")</f>
        <v>0years</v>
      </c>
      <c r="K873" t="str">
        <f>CONCATENATE(Table2[[#This Row],[Family Size2]],"members")</f>
        <v>6members</v>
      </c>
      <c r="L873" t="str">
        <f>CONCATENATE(Table2[[#This Row],[Family Size2]],"members")</f>
        <v>6members</v>
      </c>
      <c r="M873">
        <v>6</v>
      </c>
    </row>
    <row r="874" spans="1:13">
      <c r="A874">
        <v>873</v>
      </c>
      <c r="B874" t="s">
        <v>11</v>
      </c>
      <c r="C874">
        <v>43</v>
      </c>
      <c r="D874" t="str" cm="1">
        <f t="array" ref="D874">_xlfn.IFS(Table2[[#This Row],[Age]]&lt;=11,"Gen A",Table2[[#This Row],[Age]]&lt;=27,"Gen Z",Table2[[#This Row],[Age]]&lt;=43,"Millenials",Table2[[#This Row],[Age]]&lt;=59,"Gen X",Table2[[#This Row],[Age]]&lt;=78,"Baby Boomers",Table2[[#This Row],[Age]]&lt;=96,"Silent",Table2[[#This Row],[Age]]&gt;=97,"Greatest")</f>
        <v>Millenials</v>
      </c>
      <c r="E874" s="1">
        <v>185900</v>
      </c>
      <c r="F874">
        <v>80</v>
      </c>
      <c r="G874" t="str" cm="1">
        <f t="array" ref="G874">_xlfn.IFS(Table2[[#This Row],[Spending Score (1-100)]]&lt;=25,"Low",Table2[[#This Row],[Spending Score (1-100)]]&lt;=50,"Medium",Table2[[#This Row],[Spending Score (1-100)]]&lt;=75,"High",Table2[[#This Row],[Spending Score (1-100)]]&lt;=100,"Very High")</f>
        <v>Very High</v>
      </c>
      <c r="H874" t="s">
        <v>17</v>
      </c>
      <c r="I874">
        <v>9</v>
      </c>
      <c r="J874" t="str">
        <f>CONCATENATE(Table2[[#This Row],[Work Experience]],"years")</f>
        <v>9years</v>
      </c>
      <c r="K874" t="str">
        <f>CONCATENATE(Table2[[#This Row],[Family Size2]],"members")</f>
        <v>4members</v>
      </c>
      <c r="L874" t="str">
        <f>CONCATENATE(Table2[[#This Row],[Family Size2]],"members")</f>
        <v>4members</v>
      </c>
      <c r="M874">
        <v>4</v>
      </c>
    </row>
    <row r="875" spans="1:13">
      <c r="A875">
        <v>874</v>
      </c>
      <c r="B875" t="s">
        <v>11</v>
      </c>
      <c r="C875">
        <v>34</v>
      </c>
      <c r="D875" t="str" cm="1">
        <f t="array" ref="D875">_xlfn.IFS(Table2[[#This Row],[Age]]&lt;=11,"Gen A",Table2[[#This Row],[Age]]&lt;=27,"Gen Z",Table2[[#This Row],[Age]]&lt;=43,"Millenials",Table2[[#This Row],[Age]]&lt;=59,"Gen X",Table2[[#This Row],[Age]]&lt;=78,"Baby Boomers",Table2[[#This Row],[Age]]&lt;=96,"Silent",Table2[[#This Row],[Age]]&gt;=97,"Greatest")</f>
        <v>Millenials</v>
      </c>
      <c r="E875" s="1">
        <v>94029</v>
      </c>
      <c r="F875">
        <v>98</v>
      </c>
      <c r="G875" t="str" cm="1">
        <f t="array" ref="G875">_xlfn.IFS(Table2[[#This Row],[Spending Score (1-100)]]&lt;=25,"Low",Table2[[#This Row],[Spending Score (1-100)]]&lt;=50,"Medium",Table2[[#This Row],[Spending Score (1-100)]]&lt;=75,"High",Table2[[#This Row],[Spending Score (1-100)]]&lt;=100,"Very High")</f>
        <v>Very High</v>
      </c>
      <c r="H875" t="s">
        <v>9</v>
      </c>
      <c r="I875">
        <v>1</v>
      </c>
      <c r="J875" t="str">
        <f>CONCATENATE(Table2[[#This Row],[Work Experience]],"years")</f>
        <v>1years</v>
      </c>
      <c r="K875" t="str">
        <f>CONCATENATE(Table2[[#This Row],[Family Size2]],"members")</f>
        <v>4members</v>
      </c>
      <c r="L875" t="str">
        <f>CONCATENATE(Table2[[#This Row],[Family Size2]],"members")</f>
        <v>4members</v>
      </c>
      <c r="M875">
        <v>4</v>
      </c>
    </row>
    <row r="876" spans="1:13">
      <c r="A876">
        <v>875</v>
      </c>
      <c r="B876" t="s">
        <v>11</v>
      </c>
      <c r="C876">
        <v>30</v>
      </c>
      <c r="D876" t="str" cm="1">
        <f t="array" ref="D876">_xlfn.IFS(Table2[[#This Row],[Age]]&lt;=11,"Gen A",Table2[[#This Row],[Age]]&lt;=27,"Gen Z",Table2[[#This Row],[Age]]&lt;=43,"Millenials",Table2[[#This Row],[Age]]&lt;=59,"Gen X",Table2[[#This Row],[Age]]&lt;=78,"Baby Boomers",Table2[[#This Row],[Age]]&lt;=96,"Silent",Table2[[#This Row],[Age]]&gt;=97,"Greatest")</f>
        <v>Millenials</v>
      </c>
      <c r="E876" s="1">
        <v>157290</v>
      </c>
      <c r="F876">
        <v>22</v>
      </c>
      <c r="G876" t="str" cm="1">
        <f t="array" ref="G876">_xlfn.IFS(Table2[[#This Row],[Spending Score (1-100)]]&lt;=25,"Low",Table2[[#This Row],[Spending Score (1-100)]]&lt;=50,"Medium",Table2[[#This Row],[Spending Score (1-100)]]&lt;=75,"High",Table2[[#This Row],[Spending Score (1-100)]]&lt;=100,"Very High")</f>
        <v>Low</v>
      </c>
      <c r="H876" t="s">
        <v>14</v>
      </c>
      <c r="I876">
        <v>2</v>
      </c>
      <c r="J876" t="str">
        <f>CONCATENATE(Table2[[#This Row],[Work Experience]],"years")</f>
        <v>2years</v>
      </c>
      <c r="K876" t="str">
        <f>CONCATENATE(Table2[[#This Row],[Family Size2]],"members")</f>
        <v>2members</v>
      </c>
      <c r="L876" t="str">
        <f>CONCATENATE(Table2[[#This Row],[Family Size2]],"members")</f>
        <v>2members</v>
      </c>
      <c r="M876">
        <v>2</v>
      </c>
    </row>
    <row r="877" spans="1:13">
      <c r="A877">
        <v>876</v>
      </c>
      <c r="B877" t="s">
        <v>8</v>
      </c>
      <c r="C877">
        <v>97</v>
      </c>
      <c r="D877" t="str" cm="1">
        <f t="array" ref="D877">_xlfn.IFS(Table2[[#This Row],[Age]]&lt;=11,"Gen A",Table2[[#This Row],[Age]]&lt;=27,"Gen Z",Table2[[#This Row],[Age]]&lt;=43,"Millenials",Table2[[#This Row],[Age]]&lt;=59,"Gen X",Table2[[#This Row],[Age]]&lt;=78,"Baby Boomers",Table2[[#This Row],[Age]]&lt;=96,"Silent",Table2[[#This Row],[Age]]&gt;=97,"Greatest")</f>
        <v>Greatest</v>
      </c>
      <c r="E877" s="1">
        <v>175996</v>
      </c>
      <c r="F877">
        <v>42</v>
      </c>
      <c r="G877" t="str" cm="1">
        <f t="array" ref="G877">_xlfn.IFS(Table2[[#This Row],[Spending Score (1-100)]]&lt;=25,"Low",Table2[[#This Row],[Spending Score (1-100)]]&lt;=50,"Medium",Table2[[#This Row],[Spending Score (1-100)]]&lt;=75,"High",Table2[[#This Row],[Spending Score (1-100)]]&lt;=100,"Very High")</f>
        <v>Medium</v>
      </c>
      <c r="H877" t="s">
        <v>13</v>
      </c>
      <c r="I877">
        <v>10</v>
      </c>
      <c r="J877" t="str">
        <f>CONCATENATE(Table2[[#This Row],[Work Experience]],"years")</f>
        <v>10years</v>
      </c>
      <c r="K877" t="str">
        <f>CONCATENATE(Table2[[#This Row],[Family Size2]],"members")</f>
        <v>4members</v>
      </c>
      <c r="L877" t="str">
        <f>CONCATENATE(Table2[[#This Row],[Family Size2]],"members")</f>
        <v>4members</v>
      </c>
      <c r="M877">
        <v>4</v>
      </c>
    </row>
    <row r="878" spans="1:13">
      <c r="A878">
        <v>877</v>
      </c>
      <c r="B878" t="s">
        <v>8</v>
      </c>
      <c r="C878">
        <v>68</v>
      </c>
      <c r="D878" t="str" cm="1">
        <f t="array" ref="D878">_xlfn.IFS(Table2[[#This Row],[Age]]&lt;=11,"Gen A",Table2[[#This Row],[Age]]&lt;=27,"Gen Z",Table2[[#This Row],[Age]]&lt;=43,"Millenials",Table2[[#This Row],[Age]]&lt;=59,"Gen X",Table2[[#This Row],[Age]]&lt;=78,"Baby Boomers",Table2[[#This Row],[Age]]&lt;=96,"Silent",Table2[[#This Row],[Age]]&gt;=97,"Greatest")</f>
        <v>Baby Boomers</v>
      </c>
      <c r="E878" s="1">
        <v>102016</v>
      </c>
      <c r="F878">
        <v>37</v>
      </c>
      <c r="G878" t="str" cm="1">
        <f t="array" ref="G878">_xlfn.IFS(Table2[[#This Row],[Spending Score (1-100)]]&lt;=25,"Low",Table2[[#This Row],[Spending Score (1-100)]]&lt;=50,"Medium",Table2[[#This Row],[Spending Score (1-100)]]&lt;=75,"High",Table2[[#This Row],[Spending Score (1-100)]]&lt;=100,"Very High")</f>
        <v>Medium</v>
      </c>
      <c r="H878" t="s">
        <v>14</v>
      </c>
      <c r="I878">
        <v>0</v>
      </c>
      <c r="J878" t="str">
        <f>CONCATENATE(Table2[[#This Row],[Work Experience]],"years")</f>
        <v>0years</v>
      </c>
      <c r="K878" t="str">
        <f>CONCATENATE(Table2[[#This Row],[Family Size2]],"members")</f>
        <v>4members</v>
      </c>
      <c r="L878" t="str">
        <f>CONCATENATE(Table2[[#This Row],[Family Size2]],"members")</f>
        <v>4members</v>
      </c>
      <c r="M878">
        <v>4</v>
      </c>
    </row>
    <row r="879" spans="1:13">
      <c r="A879">
        <v>878</v>
      </c>
      <c r="B879" t="s">
        <v>8</v>
      </c>
      <c r="C879">
        <v>16</v>
      </c>
      <c r="D879" t="str" cm="1">
        <f t="array" ref="D879">_xlfn.IFS(Table2[[#This Row],[Age]]&lt;=11,"Gen A",Table2[[#This Row],[Age]]&lt;=27,"Gen Z",Table2[[#This Row],[Age]]&lt;=43,"Millenials",Table2[[#This Row],[Age]]&lt;=59,"Gen X",Table2[[#This Row],[Age]]&lt;=78,"Baby Boomers",Table2[[#This Row],[Age]]&lt;=96,"Silent",Table2[[#This Row],[Age]]&gt;=97,"Greatest")</f>
        <v>Gen Z</v>
      </c>
      <c r="E879" s="1">
        <v>77902</v>
      </c>
      <c r="F879">
        <v>67</v>
      </c>
      <c r="G879" t="str" cm="1">
        <f t="array" ref="G879">_xlfn.IFS(Table2[[#This Row],[Spending Score (1-100)]]&lt;=25,"Low",Table2[[#This Row],[Spending Score (1-100)]]&lt;=50,"Medium",Table2[[#This Row],[Spending Score (1-100)]]&lt;=75,"High",Table2[[#This Row],[Spending Score (1-100)]]&lt;=100,"Very High")</f>
        <v>High</v>
      </c>
      <c r="H879" t="s">
        <v>14</v>
      </c>
      <c r="I879">
        <v>1</v>
      </c>
      <c r="J879" t="str">
        <f>CONCATENATE(Table2[[#This Row],[Work Experience]],"years")</f>
        <v>1years</v>
      </c>
      <c r="K879" t="str">
        <f>CONCATENATE(Table2[[#This Row],[Family Size2]],"members")</f>
        <v>2members</v>
      </c>
      <c r="L879" t="str">
        <f>CONCATENATE(Table2[[#This Row],[Family Size2]],"members")</f>
        <v>2members</v>
      </c>
      <c r="M879">
        <v>2</v>
      </c>
    </row>
    <row r="880" spans="1:13">
      <c r="A880">
        <v>879</v>
      </c>
      <c r="B880" t="s">
        <v>11</v>
      </c>
      <c r="C880">
        <v>15</v>
      </c>
      <c r="D880" t="str" cm="1">
        <f t="array" ref="D880">_xlfn.IFS(Table2[[#This Row],[Age]]&lt;=11,"Gen A",Table2[[#This Row],[Age]]&lt;=27,"Gen Z",Table2[[#This Row],[Age]]&lt;=43,"Millenials",Table2[[#This Row],[Age]]&lt;=59,"Gen X",Table2[[#This Row],[Age]]&lt;=78,"Baby Boomers",Table2[[#This Row],[Age]]&lt;=96,"Silent",Table2[[#This Row],[Age]]&gt;=97,"Greatest")</f>
        <v>Gen Z</v>
      </c>
      <c r="E880" s="1">
        <v>81138</v>
      </c>
      <c r="F880">
        <v>86</v>
      </c>
      <c r="G880" t="str" cm="1">
        <f t="array" ref="G880">_xlfn.IFS(Table2[[#This Row],[Spending Score (1-100)]]&lt;=25,"Low",Table2[[#This Row],[Spending Score (1-100)]]&lt;=50,"Medium",Table2[[#This Row],[Spending Score (1-100)]]&lt;=75,"High",Table2[[#This Row],[Spending Score (1-100)]]&lt;=100,"Very High")</f>
        <v>Very High</v>
      </c>
      <c r="H880" t="s">
        <v>9</v>
      </c>
      <c r="I880">
        <v>9</v>
      </c>
      <c r="J880" t="str">
        <f>CONCATENATE(Table2[[#This Row],[Work Experience]],"years")</f>
        <v>9years</v>
      </c>
      <c r="K880" t="str">
        <f>CONCATENATE(Table2[[#This Row],[Family Size2]],"members")</f>
        <v>7members</v>
      </c>
      <c r="L880" t="str">
        <f>CONCATENATE(Table2[[#This Row],[Family Size2]],"members")</f>
        <v>7members</v>
      </c>
      <c r="M880">
        <v>7</v>
      </c>
    </row>
    <row r="881" spans="1:13">
      <c r="A881">
        <v>880</v>
      </c>
      <c r="B881" t="s">
        <v>8</v>
      </c>
      <c r="C881">
        <v>25</v>
      </c>
      <c r="D881" t="str" cm="1">
        <f t="array" ref="D881">_xlfn.IFS(Table2[[#This Row],[Age]]&lt;=11,"Gen A",Table2[[#This Row],[Age]]&lt;=27,"Gen Z",Table2[[#This Row],[Age]]&lt;=43,"Millenials",Table2[[#This Row],[Age]]&lt;=59,"Gen X",Table2[[#This Row],[Age]]&lt;=78,"Baby Boomers",Table2[[#This Row],[Age]]&lt;=96,"Silent",Table2[[#This Row],[Age]]&gt;=97,"Greatest")</f>
        <v>Gen Z</v>
      </c>
      <c r="E881" s="1">
        <v>128258</v>
      </c>
      <c r="F881">
        <v>48</v>
      </c>
      <c r="G881" t="str" cm="1">
        <f t="array" ref="G881">_xlfn.IFS(Table2[[#This Row],[Spending Score (1-100)]]&lt;=25,"Low",Table2[[#This Row],[Spending Score (1-100)]]&lt;=50,"Medium",Table2[[#This Row],[Spending Score (1-100)]]&lt;=75,"High",Table2[[#This Row],[Spending Score (1-100)]]&lt;=100,"Very High")</f>
        <v>Medium</v>
      </c>
      <c r="H881" t="s">
        <v>15</v>
      </c>
      <c r="I881">
        <v>0</v>
      </c>
      <c r="J881" t="str">
        <f>CONCATENATE(Table2[[#This Row],[Work Experience]],"years")</f>
        <v>0years</v>
      </c>
      <c r="K881" t="str">
        <f>CONCATENATE(Table2[[#This Row],[Family Size2]],"members")</f>
        <v>2members</v>
      </c>
      <c r="L881" t="str">
        <f>CONCATENATE(Table2[[#This Row],[Family Size2]],"members")</f>
        <v>2members</v>
      </c>
      <c r="M881">
        <v>2</v>
      </c>
    </row>
    <row r="882" spans="1:13">
      <c r="A882">
        <v>881</v>
      </c>
      <c r="B882" t="s">
        <v>11</v>
      </c>
      <c r="C882">
        <v>29</v>
      </c>
      <c r="D882" t="str" cm="1">
        <f t="array" ref="D882">_xlfn.IFS(Table2[[#This Row],[Age]]&lt;=11,"Gen A",Table2[[#This Row],[Age]]&lt;=27,"Gen Z",Table2[[#This Row],[Age]]&lt;=43,"Millenials",Table2[[#This Row],[Age]]&lt;=59,"Gen X",Table2[[#This Row],[Age]]&lt;=78,"Baby Boomers",Table2[[#This Row],[Age]]&lt;=96,"Silent",Table2[[#This Row],[Age]]&gt;=97,"Greatest")</f>
        <v>Millenials</v>
      </c>
      <c r="E882" s="1">
        <v>62475</v>
      </c>
      <c r="F882">
        <v>24</v>
      </c>
      <c r="G882" t="str" cm="1">
        <f t="array" ref="G882">_xlfn.IFS(Table2[[#This Row],[Spending Score (1-100)]]&lt;=25,"Low",Table2[[#This Row],[Spending Score (1-100)]]&lt;=50,"Medium",Table2[[#This Row],[Spending Score (1-100)]]&lt;=75,"High",Table2[[#This Row],[Spending Score (1-100)]]&lt;=100,"Very High")</f>
        <v>Low</v>
      </c>
      <c r="H882" t="s">
        <v>14</v>
      </c>
      <c r="I882">
        <v>6</v>
      </c>
      <c r="J882" t="str">
        <f>CONCATENATE(Table2[[#This Row],[Work Experience]],"years")</f>
        <v>6years</v>
      </c>
      <c r="K882" t="str">
        <f>CONCATENATE(Table2[[#This Row],[Family Size2]],"members")</f>
        <v>4members</v>
      </c>
      <c r="L882" t="str">
        <f>CONCATENATE(Table2[[#This Row],[Family Size2]],"members")</f>
        <v>4members</v>
      </c>
      <c r="M882">
        <v>4</v>
      </c>
    </row>
    <row r="883" spans="1:13">
      <c r="A883">
        <v>882</v>
      </c>
      <c r="B883" t="s">
        <v>11</v>
      </c>
      <c r="C883">
        <v>85</v>
      </c>
      <c r="D883" t="str" cm="1">
        <f t="array" ref="D883">_xlfn.IFS(Table2[[#This Row],[Age]]&lt;=11,"Gen A",Table2[[#This Row],[Age]]&lt;=27,"Gen Z",Table2[[#This Row],[Age]]&lt;=43,"Millenials",Table2[[#This Row],[Age]]&lt;=59,"Gen X",Table2[[#This Row],[Age]]&lt;=78,"Baby Boomers",Table2[[#This Row],[Age]]&lt;=96,"Silent",Table2[[#This Row],[Age]]&gt;=97,"Greatest")</f>
        <v>Silent</v>
      </c>
      <c r="E883" s="1">
        <v>82854</v>
      </c>
      <c r="F883">
        <v>75</v>
      </c>
      <c r="G883" t="str" cm="1">
        <f t="array" ref="G883">_xlfn.IFS(Table2[[#This Row],[Spending Score (1-100)]]&lt;=25,"Low",Table2[[#This Row],[Spending Score (1-100)]]&lt;=50,"Medium",Table2[[#This Row],[Spending Score (1-100)]]&lt;=75,"High",Table2[[#This Row],[Spending Score (1-100)]]&lt;=100,"Very High")</f>
        <v>High</v>
      </c>
      <c r="H883" t="s">
        <v>14</v>
      </c>
      <c r="I883">
        <v>6</v>
      </c>
      <c r="J883" t="str">
        <f>CONCATENATE(Table2[[#This Row],[Work Experience]],"years")</f>
        <v>6years</v>
      </c>
      <c r="K883" t="str">
        <f>CONCATENATE(Table2[[#This Row],[Family Size2]],"members")</f>
        <v>4members</v>
      </c>
      <c r="L883" t="str">
        <f>CONCATENATE(Table2[[#This Row],[Family Size2]],"members")</f>
        <v>4members</v>
      </c>
      <c r="M883">
        <v>4</v>
      </c>
    </row>
    <row r="884" spans="1:13">
      <c r="A884">
        <v>883</v>
      </c>
      <c r="B884" t="s">
        <v>11</v>
      </c>
      <c r="C884">
        <v>30</v>
      </c>
      <c r="D884" t="str" cm="1">
        <f t="array" ref="D884">_xlfn.IFS(Table2[[#This Row],[Age]]&lt;=11,"Gen A",Table2[[#This Row],[Age]]&lt;=27,"Gen Z",Table2[[#This Row],[Age]]&lt;=43,"Millenials",Table2[[#This Row],[Age]]&lt;=59,"Gen X",Table2[[#This Row],[Age]]&lt;=78,"Baby Boomers",Table2[[#This Row],[Age]]&lt;=96,"Silent",Table2[[#This Row],[Age]]&gt;=97,"Greatest")</f>
        <v>Millenials</v>
      </c>
      <c r="E884" s="1">
        <v>59284</v>
      </c>
      <c r="F884">
        <v>38</v>
      </c>
      <c r="G884" t="str" cm="1">
        <f t="array" ref="G884">_xlfn.IFS(Table2[[#This Row],[Spending Score (1-100)]]&lt;=25,"Low",Table2[[#This Row],[Spending Score (1-100)]]&lt;=50,"Medium",Table2[[#This Row],[Spending Score (1-100)]]&lt;=75,"High",Table2[[#This Row],[Spending Score (1-100)]]&lt;=100,"Very High")</f>
        <v>Medium</v>
      </c>
      <c r="H884" t="s">
        <v>16</v>
      </c>
      <c r="I884">
        <v>7</v>
      </c>
      <c r="J884" t="str">
        <f>CONCATENATE(Table2[[#This Row],[Work Experience]],"years")</f>
        <v>7years</v>
      </c>
      <c r="K884" t="str">
        <f>CONCATENATE(Table2[[#This Row],[Family Size2]],"members")</f>
        <v>7members</v>
      </c>
      <c r="L884" t="str">
        <f>CONCATENATE(Table2[[#This Row],[Family Size2]],"members")</f>
        <v>7members</v>
      </c>
      <c r="M884">
        <v>7</v>
      </c>
    </row>
    <row r="885" spans="1:13">
      <c r="A885">
        <v>884</v>
      </c>
      <c r="B885" t="s">
        <v>11</v>
      </c>
      <c r="C885">
        <v>13</v>
      </c>
      <c r="D885" t="str" cm="1">
        <f t="array" ref="D885">_xlfn.IFS(Table2[[#This Row],[Age]]&lt;=11,"Gen A",Table2[[#This Row],[Age]]&lt;=27,"Gen Z",Table2[[#This Row],[Age]]&lt;=43,"Millenials",Table2[[#This Row],[Age]]&lt;=59,"Gen X",Table2[[#This Row],[Age]]&lt;=78,"Baby Boomers",Table2[[#This Row],[Age]]&lt;=96,"Silent",Table2[[#This Row],[Age]]&gt;=97,"Greatest")</f>
        <v>Gen Z</v>
      </c>
      <c r="E885" s="1">
        <v>141580</v>
      </c>
      <c r="F885">
        <v>92</v>
      </c>
      <c r="G885" t="str" cm="1">
        <f t="array" ref="G885">_xlfn.IFS(Table2[[#This Row],[Spending Score (1-100)]]&lt;=25,"Low",Table2[[#This Row],[Spending Score (1-100)]]&lt;=50,"Medium",Table2[[#This Row],[Spending Score (1-100)]]&lt;=75,"High",Table2[[#This Row],[Spending Score (1-100)]]&lt;=100,"Very High")</f>
        <v>Very High</v>
      </c>
      <c r="H885" t="s">
        <v>9</v>
      </c>
      <c r="I885">
        <v>0</v>
      </c>
      <c r="J885" t="str">
        <f>CONCATENATE(Table2[[#This Row],[Work Experience]],"years")</f>
        <v>0years</v>
      </c>
      <c r="K885" t="str">
        <f>CONCATENATE(Table2[[#This Row],[Family Size2]],"members")</f>
        <v>4members</v>
      </c>
      <c r="L885" t="str">
        <f>CONCATENATE(Table2[[#This Row],[Family Size2]],"members")</f>
        <v>4members</v>
      </c>
      <c r="M885">
        <v>4</v>
      </c>
    </row>
    <row r="886" spans="1:13">
      <c r="A886">
        <v>885</v>
      </c>
      <c r="B886" t="s">
        <v>11</v>
      </c>
      <c r="C886">
        <v>88</v>
      </c>
      <c r="D886" t="str" cm="1">
        <f t="array" ref="D886">_xlfn.IFS(Table2[[#This Row],[Age]]&lt;=11,"Gen A",Table2[[#This Row],[Age]]&lt;=27,"Gen Z",Table2[[#This Row],[Age]]&lt;=43,"Millenials",Table2[[#This Row],[Age]]&lt;=59,"Gen X",Table2[[#This Row],[Age]]&lt;=78,"Baby Boomers",Table2[[#This Row],[Age]]&lt;=96,"Silent",Table2[[#This Row],[Age]]&gt;=97,"Greatest")</f>
        <v>Silent</v>
      </c>
      <c r="E886" s="1">
        <v>171362</v>
      </c>
      <c r="F886">
        <v>90</v>
      </c>
      <c r="G886" t="str" cm="1">
        <f t="array" ref="G886">_xlfn.IFS(Table2[[#This Row],[Spending Score (1-100)]]&lt;=25,"Low",Table2[[#This Row],[Spending Score (1-100)]]&lt;=50,"Medium",Table2[[#This Row],[Spending Score (1-100)]]&lt;=75,"High",Table2[[#This Row],[Spending Score (1-100)]]&lt;=100,"Very High")</f>
        <v>Very High</v>
      </c>
      <c r="H886" t="s">
        <v>15</v>
      </c>
      <c r="I886">
        <v>6</v>
      </c>
      <c r="J886" t="str">
        <f>CONCATENATE(Table2[[#This Row],[Work Experience]],"years")</f>
        <v>6years</v>
      </c>
      <c r="K886" t="str">
        <f>CONCATENATE(Table2[[#This Row],[Family Size2]],"members")</f>
        <v>4members</v>
      </c>
      <c r="L886" t="str">
        <f>CONCATENATE(Table2[[#This Row],[Family Size2]],"members")</f>
        <v>4members</v>
      </c>
      <c r="M886">
        <v>4</v>
      </c>
    </row>
    <row r="887" spans="1:13">
      <c r="A887">
        <v>886</v>
      </c>
      <c r="B887" t="s">
        <v>8</v>
      </c>
      <c r="C887">
        <v>5</v>
      </c>
      <c r="D887" t="str" cm="1">
        <f t="array" ref="D887">_xlfn.IFS(Table2[[#This Row],[Age]]&lt;=11,"Gen A",Table2[[#This Row],[Age]]&lt;=27,"Gen Z",Table2[[#This Row],[Age]]&lt;=43,"Millenials",Table2[[#This Row],[Age]]&lt;=59,"Gen X",Table2[[#This Row],[Age]]&lt;=78,"Baby Boomers",Table2[[#This Row],[Age]]&lt;=96,"Silent",Table2[[#This Row],[Age]]&gt;=97,"Greatest")</f>
        <v>Gen A</v>
      </c>
      <c r="E887" s="1">
        <v>78274</v>
      </c>
      <c r="F887">
        <v>65</v>
      </c>
      <c r="G887" t="str" cm="1">
        <f t="array" ref="G887">_xlfn.IFS(Table2[[#This Row],[Spending Score (1-100)]]&lt;=25,"Low",Table2[[#This Row],[Spending Score (1-100)]]&lt;=50,"Medium",Table2[[#This Row],[Spending Score (1-100)]]&lt;=75,"High",Table2[[#This Row],[Spending Score (1-100)]]&lt;=100,"Very High")</f>
        <v>High</v>
      </c>
      <c r="H887" t="s">
        <v>14</v>
      </c>
      <c r="I887">
        <v>9</v>
      </c>
      <c r="J887" t="str">
        <f>CONCATENATE(Table2[[#This Row],[Work Experience]],"years")</f>
        <v>9years</v>
      </c>
      <c r="K887" t="str">
        <f>CONCATENATE(Table2[[#This Row],[Family Size2]],"members")</f>
        <v>2members</v>
      </c>
      <c r="L887" t="str">
        <f>CONCATENATE(Table2[[#This Row],[Family Size2]],"members")</f>
        <v>2members</v>
      </c>
      <c r="M887">
        <v>2</v>
      </c>
    </row>
    <row r="888" spans="1:13">
      <c r="A888">
        <v>887</v>
      </c>
      <c r="B888" t="s">
        <v>11</v>
      </c>
      <c r="C888">
        <v>95</v>
      </c>
      <c r="D888" t="str" cm="1">
        <f t="array" ref="D888">_xlfn.IFS(Table2[[#This Row],[Age]]&lt;=11,"Gen A",Table2[[#This Row],[Age]]&lt;=27,"Gen Z",Table2[[#This Row],[Age]]&lt;=43,"Millenials",Table2[[#This Row],[Age]]&lt;=59,"Gen X",Table2[[#This Row],[Age]]&lt;=78,"Baby Boomers",Table2[[#This Row],[Age]]&lt;=96,"Silent",Table2[[#This Row],[Age]]&gt;=97,"Greatest")</f>
        <v>Silent</v>
      </c>
      <c r="E888" s="1">
        <v>76646</v>
      </c>
      <c r="F888">
        <v>61</v>
      </c>
      <c r="G888" t="str" cm="1">
        <f t="array" ref="G888">_xlfn.IFS(Table2[[#This Row],[Spending Score (1-100)]]&lt;=25,"Low",Table2[[#This Row],[Spending Score (1-100)]]&lt;=50,"Medium",Table2[[#This Row],[Spending Score (1-100)]]&lt;=75,"High",Table2[[#This Row],[Spending Score (1-100)]]&lt;=100,"Very High")</f>
        <v>High</v>
      </c>
      <c r="H888" t="s">
        <v>14</v>
      </c>
      <c r="I888">
        <v>0</v>
      </c>
      <c r="J888" t="str">
        <f>CONCATENATE(Table2[[#This Row],[Work Experience]],"years")</f>
        <v>0years</v>
      </c>
      <c r="K888" t="str">
        <f>CONCATENATE(Table2[[#This Row],[Family Size2]],"members")</f>
        <v>1members</v>
      </c>
      <c r="L888" t="str">
        <f>CONCATENATE(Table2[[#This Row],[Family Size2]],"members")</f>
        <v>1members</v>
      </c>
      <c r="M888">
        <v>1</v>
      </c>
    </row>
    <row r="889" spans="1:13">
      <c r="A889">
        <v>888</v>
      </c>
      <c r="B889" t="s">
        <v>11</v>
      </c>
      <c r="C889">
        <v>92</v>
      </c>
      <c r="D889" t="str" cm="1">
        <f t="array" ref="D889">_xlfn.IFS(Table2[[#This Row],[Age]]&lt;=11,"Gen A",Table2[[#This Row],[Age]]&lt;=27,"Gen Z",Table2[[#This Row],[Age]]&lt;=43,"Millenials",Table2[[#This Row],[Age]]&lt;=59,"Gen X",Table2[[#This Row],[Age]]&lt;=78,"Baby Boomers",Table2[[#This Row],[Age]]&lt;=96,"Silent",Table2[[#This Row],[Age]]&gt;=97,"Greatest")</f>
        <v>Silent</v>
      </c>
      <c r="E889" s="1">
        <v>78308</v>
      </c>
      <c r="F889">
        <v>66</v>
      </c>
      <c r="G889" t="str" cm="1">
        <f t="array" ref="G889">_xlfn.IFS(Table2[[#This Row],[Spending Score (1-100)]]&lt;=25,"Low",Table2[[#This Row],[Spending Score (1-100)]]&lt;=50,"Medium",Table2[[#This Row],[Spending Score (1-100)]]&lt;=75,"High",Table2[[#This Row],[Spending Score (1-100)]]&lt;=100,"Very High")</f>
        <v>High</v>
      </c>
      <c r="H889" t="s">
        <v>15</v>
      </c>
      <c r="I889">
        <v>5</v>
      </c>
      <c r="J889" t="str">
        <f>CONCATENATE(Table2[[#This Row],[Work Experience]],"years")</f>
        <v>5years</v>
      </c>
      <c r="K889" t="str">
        <f>CONCATENATE(Table2[[#This Row],[Family Size2]],"members")</f>
        <v>2members</v>
      </c>
      <c r="L889" t="str">
        <f>CONCATENATE(Table2[[#This Row],[Family Size2]],"members")</f>
        <v>2members</v>
      </c>
      <c r="M889">
        <v>2</v>
      </c>
    </row>
    <row r="890" spans="1:13">
      <c r="A890">
        <v>889</v>
      </c>
      <c r="B890" t="s">
        <v>11</v>
      </c>
      <c r="C890">
        <v>63</v>
      </c>
      <c r="D890" t="str" cm="1">
        <f t="array" ref="D890">_xlfn.IFS(Table2[[#This Row],[Age]]&lt;=11,"Gen A",Table2[[#This Row],[Age]]&lt;=27,"Gen Z",Table2[[#This Row],[Age]]&lt;=43,"Millenials",Table2[[#This Row],[Age]]&lt;=59,"Gen X",Table2[[#This Row],[Age]]&lt;=78,"Baby Boomers",Table2[[#This Row],[Age]]&lt;=96,"Silent",Table2[[#This Row],[Age]]&gt;=97,"Greatest")</f>
        <v>Baby Boomers</v>
      </c>
      <c r="E890" s="1">
        <v>78971</v>
      </c>
      <c r="F890">
        <v>89</v>
      </c>
      <c r="G890" t="str" cm="1">
        <f t="array" ref="G890">_xlfn.IFS(Table2[[#This Row],[Spending Score (1-100)]]&lt;=25,"Low",Table2[[#This Row],[Spending Score (1-100)]]&lt;=50,"Medium",Table2[[#This Row],[Spending Score (1-100)]]&lt;=75,"High",Table2[[#This Row],[Spending Score (1-100)]]&lt;=100,"Very High")</f>
        <v>Very High</v>
      </c>
      <c r="H890" t="s">
        <v>10</v>
      </c>
      <c r="I890">
        <v>1</v>
      </c>
      <c r="J890" t="str">
        <f>CONCATENATE(Table2[[#This Row],[Work Experience]],"years")</f>
        <v>1years</v>
      </c>
      <c r="K890" t="str">
        <f>CONCATENATE(Table2[[#This Row],[Family Size2]],"members")</f>
        <v>2members</v>
      </c>
      <c r="L890" t="str">
        <f>CONCATENATE(Table2[[#This Row],[Family Size2]],"members")</f>
        <v>2members</v>
      </c>
      <c r="M890">
        <v>2</v>
      </c>
    </row>
    <row r="891" spans="1:13">
      <c r="A891">
        <v>890</v>
      </c>
      <c r="B891" t="s">
        <v>11</v>
      </c>
      <c r="C891">
        <v>75</v>
      </c>
      <c r="D891" t="str" cm="1">
        <f t="array" ref="D891">_xlfn.IFS(Table2[[#This Row],[Age]]&lt;=11,"Gen A",Table2[[#This Row],[Age]]&lt;=27,"Gen Z",Table2[[#This Row],[Age]]&lt;=43,"Millenials",Table2[[#This Row],[Age]]&lt;=59,"Gen X",Table2[[#This Row],[Age]]&lt;=78,"Baby Boomers",Table2[[#This Row],[Age]]&lt;=96,"Silent",Table2[[#This Row],[Age]]&gt;=97,"Greatest")</f>
        <v>Baby Boomers</v>
      </c>
      <c r="E891" s="1">
        <v>65528</v>
      </c>
      <c r="F891">
        <v>73</v>
      </c>
      <c r="G891" t="str" cm="1">
        <f t="array" ref="G891">_xlfn.IFS(Table2[[#This Row],[Spending Score (1-100)]]&lt;=25,"Low",Table2[[#This Row],[Spending Score (1-100)]]&lt;=50,"Medium",Table2[[#This Row],[Spending Score (1-100)]]&lt;=75,"High",Table2[[#This Row],[Spending Score (1-100)]]&lt;=100,"Very High")</f>
        <v>High</v>
      </c>
      <c r="H891" t="s">
        <v>18</v>
      </c>
      <c r="I891">
        <v>1</v>
      </c>
      <c r="J891" t="str">
        <f>CONCATENATE(Table2[[#This Row],[Work Experience]],"years")</f>
        <v>1years</v>
      </c>
      <c r="K891" t="str">
        <f>CONCATENATE(Table2[[#This Row],[Family Size2]],"members")</f>
        <v>5members</v>
      </c>
      <c r="L891" t="str">
        <f>CONCATENATE(Table2[[#This Row],[Family Size2]],"members")</f>
        <v>5members</v>
      </c>
      <c r="M891">
        <v>5</v>
      </c>
    </row>
    <row r="892" spans="1:13">
      <c r="A892">
        <v>891</v>
      </c>
      <c r="B892" t="s">
        <v>8</v>
      </c>
      <c r="C892">
        <v>67</v>
      </c>
      <c r="D892" t="str" cm="1">
        <f t="array" ref="D892">_xlfn.IFS(Table2[[#This Row],[Age]]&lt;=11,"Gen A",Table2[[#This Row],[Age]]&lt;=27,"Gen Z",Table2[[#This Row],[Age]]&lt;=43,"Millenials",Table2[[#This Row],[Age]]&lt;=59,"Gen X",Table2[[#This Row],[Age]]&lt;=78,"Baby Boomers",Table2[[#This Row],[Age]]&lt;=96,"Silent",Table2[[#This Row],[Age]]&gt;=97,"Greatest")</f>
        <v>Baby Boomers</v>
      </c>
      <c r="E892" s="1">
        <v>94199</v>
      </c>
      <c r="F892">
        <v>71</v>
      </c>
      <c r="G892" t="str" cm="1">
        <f t="array" ref="G892">_xlfn.IFS(Table2[[#This Row],[Spending Score (1-100)]]&lt;=25,"Low",Table2[[#This Row],[Spending Score (1-100)]]&lt;=50,"Medium",Table2[[#This Row],[Spending Score (1-100)]]&lt;=75,"High",Table2[[#This Row],[Spending Score (1-100)]]&lt;=100,"Very High")</f>
        <v>High</v>
      </c>
      <c r="H892" t="s">
        <v>14</v>
      </c>
      <c r="I892">
        <v>5</v>
      </c>
      <c r="J892" t="str">
        <f>CONCATENATE(Table2[[#This Row],[Work Experience]],"years")</f>
        <v>5years</v>
      </c>
      <c r="K892" t="str">
        <f>CONCATENATE(Table2[[#This Row],[Family Size2]],"members")</f>
        <v>7members</v>
      </c>
      <c r="L892" t="str">
        <f>CONCATENATE(Table2[[#This Row],[Family Size2]],"members")</f>
        <v>7members</v>
      </c>
      <c r="M892">
        <v>7</v>
      </c>
    </row>
    <row r="893" spans="1:13">
      <c r="A893">
        <v>892</v>
      </c>
      <c r="B893" t="s">
        <v>11</v>
      </c>
      <c r="C893">
        <v>58</v>
      </c>
      <c r="D893" t="str" cm="1">
        <f t="array" ref="D893">_xlfn.IFS(Table2[[#This Row],[Age]]&lt;=11,"Gen A",Table2[[#This Row],[Age]]&lt;=27,"Gen Z",Table2[[#This Row],[Age]]&lt;=43,"Millenials",Table2[[#This Row],[Age]]&lt;=59,"Gen X",Table2[[#This Row],[Age]]&lt;=78,"Baby Boomers",Table2[[#This Row],[Age]]&lt;=96,"Silent",Table2[[#This Row],[Age]]&gt;=97,"Greatest")</f>
        <v>Gen X</v>
      </c>
      <c r="E893" s="1">
        <v>135705</v>
      </c>
      <c r="F893">
        <v>48</v>
      </c>
      <c r="G893" t="str" cm="1">
        <f t="array" ref="G893">_xlfn.IFS(Table2[[#This Row],[Spending Score (1-100)]]&lt;=25,"Low",Table2[[#This Row],[Spending Score (1-100)]]&lt;=50,"Medium",Table2[[#This Row],[Spending Score (1-100)]]&lt;=75,"High",Table2[[#This Row],[Spending Score (1-100)]]&lt;=100,"Very High")</f>
        <v>Medium</v>
      </c>
      <c r="H893" t="s">
        <v>10</v>
      </c>
      <c r="I893">
        <v>8</v>
      </c>
      <c r="J893" t="str">
        <f>CONCATENATE(Table2[[#This Row],[Work Experience]],"years")</f>
        <v>8years</v>
      </c>
      <c r="K893" t="str">
        <f>CONCATENATE(Table2[[#This Row],[Family Size2]],"members")</f>
        <v>7members</v>
      </c>
      <c r="L893" t="str">
        <f>CONCATENATE(Table2[[#This Row],[Family Size2]],"members")</f>
        <v>7members</v>
      </c>
      <c r="M893">
        <v>7</v>
      </c>
    </row>
    <row r="894" spans="1:13">
      <c r="A894">
        <v>893</v>
      </c>
      <c r="B894" t="s">
        <v>8</v>
      </c>
      <c r="C894">
        <v>52</v>
      </c>
      <c r="D894" t="str" cm="1">
        <f t="array" ref="D894">_xlfn.IFS(Table2[[#This Row],[Age]]&lt;=11,"Gen A",Table2[[#This Row],[Age]]&lt;=27,"Gen Z",Table2[[#This Row],[Age]]&lt;=43,"Millenials",Table2[[#This Row],[Age]]&lt;=59,"Gen X",Table2[[#This Row],[Age]]&lt;=78,"Baby Boomers",Table2[[#This Row],[Age]]&lt;=96,"Silent",Table2[[#This Row],[Age]]&gt;=97,"Greatest")</f>
        <v>Gen X</v>
      </c>
      <c r="E894" s="1">
        <v>130573</v>
      </c>
      <c r="F894">
        <v>31</v>
      </c>
      <c r="G894" t="str" cm="1">
        <f t="array" ref="G894">_xlfn.IFS(Table2[[#This Row],[Spending Score (1-100)]]&lt;=25,"Low",Table2[[#This Row],[Spending Score (1-100)]]&lt;=50,"Medium",Table2[[#This Row],[Spending Score (1-100)]]&lt;=75,"High",Table2[[#This Row],[Spending Score (1-100)]]&lt;=100,"Very High")</f>
        <v>Medium</v>
      </c>
      <c r="H894" t="s">
        <v>13</v>
      </c>
      <c r="I894">
        <v>8</v>
      </c>
      <c r="J894" t="str">
        <f>CONCATENATE(Table2[[#This Row],[Work Experience]],"years")</f>
        <v>8years</v>
      </c>
      <c r="K894" t="str">
        <f>CONCATENATE(Table2[[#This Row],[Family Size2]],"members")</f>
        <v>3members</v>
      </c>
      <c r="L894" t="str">
        <f>CONCATENATE(Table2[[#This Row],[Family Size2]],"members")</f>
        <v>3members</v>
      </c>
      <c r="M894">
        <v>3</v>
      </c>
    </row>
    <row r="895" spans="1:13">
      <c r="A895">
        <v>894</v>
      </c>
      <c r="B895" t="s">
        <v>11</v>
      </c>
      <c r="C895">
        <v>85</v>
      </c>
      <c r="D895" t="str" cm="1">
        <f t="array" ref="D895">_xlfn.IFS(Table2[[#This Row],[Age]]&lt;=11,"Gen A",Table2[[#This Row],[Age]]&lt;=27,"Gen Z",Table2[[#This Row],[Age]]&lt;=43,"Millenials",Table2[[#This Row],[Age]]&lt;=59,"Gen X",Table2[[#This Row],[Age]]&lt;=78,"Baby Boomers",Table2[[#This Row],[Age]]&lt;=96,"Silent",Table2[[#This Row],[Age]]&gt;=97,"Greatest")</f>
        <v>Silent</v>
      </c>
      <c r="E895" s="1">
        <v>152303</v>
      </c>
      <c r="F895">
        <v>68</v>
      </c>
      <c r="G895" t="str" cm="1">
        <f t="array" ref="G895">_xlfn.IFS(Table2[[#This Row],[Spending Score (1-100)]]&lt;=25,"Low",Table2[[#This Row],[Spending Score (1-100)]]&lt;=50,"Medium",Table2[[#This Row],[Spending Score (1-100)]]&lt;=75,"High",Table2[[#This Row],[Spending Score (1-100)]]&lt;=100,"Very High")</f>
        <v>High</v>
      </c>
      <c r="H895" t="s">
        <v>14</v>
      </c>
      <c r="I895">
        <v>1</v>
      </c>
      <c r="J895" t="str">
        <f>CONCATENATE(Table2[[#This Row],[Work Experience]],"years")</f>
        <v>1years</v>
      </c>
      <c r="K895" t="str">
        <f>CONCATENATE(Table2[[#This Row],[Family Size2]],"members")</f>
        <v>5members</v>
      </c>
      <c r="L895" t="str">
        <f>CONCATENATE(Table2[[#This Row],[Family Size2]],"members")</f>
        <v>5members</v>
      </c>
      <c r="M895">
        <v>5</v>
      </c>
    </row>
    <row r="896" spans="1:13">
      <c r="A896">
        <v>895</v>
      </c>
      <c r="B896" t="s">
        <v>11</v>
      </c>
      <c r="C896">
        <v>31</v>
      </c>
      <c r="D896" t="str" cm="1">
        <f t="array" ref="D896">_xlfn.IFS(Table2[[#This Row],[Age]]&lt;=11,"Gen A",Table2[[#This Row],[Age]]&lt;=27,"Gen Z",Table2[[#This Row],[Age]]&lt;=43,"Millenials",Table2[[#This Row],[Age]]&lt;=59,"Gen X",Table2[[#This Row],[Age]]&lt;=78,"Baby Boomers",Table2[[#This Row],[Age]]&lt;=96,"Silent",Table2[[#This Row],[Age]]&gt;=97,"Greatest")</f>
        <v>Millenials</v>
      </c>
      <c r="E896" s="1">
        <v>144582</v>
      </c>
      <c r="F896">
        <v>89</v>
      </c>
      <c r="G896" t="str" cm="1">
        <f t="array" ref="G896">_xlfn.IFS(Table2[[#This Row],[Spending Score (1-100)]]&lt;=25,"Low",Table2[[#This Row],[Spending Score (1-100)]]&lt;=50,"Medium",Table2[[#This Row],[Spending Score (1-100)]]&lt;=75,"High",Table2[[#This Row],[Spending Score (1-100)]]&lt;=100,"Very High")</f>
        <v>Very High</v>
      </c>
      <c r="H896" t="s">
        <v>16</v>
      </c>
      <c r="I896">
        <v>1</v>
      </c>
      <c r="J896" t="str">
        <f>CONCATENATE(Table2[[#This Row],[Work Experience]],"years")</f>
        <v>1years</v>
      </c>
      <c r="K896" t="str">
        <f>CONCATENATE(Table2[[#This Row],[Family Size2]],"members")</f>
        <v>1members</v>
      </c>
      <c r="L896" t="str">
        <f>CONCATENATE(Table2[[#This Row],[Family Size2]],"members")</f>
        <v>1members</v>
      </c>
      <c r="M896">
        <v>1</v>
      </c>
    </row>
    <row r="897" spans="1:13">
      <c r="A897">
        <v>896</v>
      </c>
      <c r="B897" t="s">
        <v>11</v>
      </c>
      <c r="C897">
        <v>84</v>
      </c>
      <c r="D897" t="str" cm="1">
        <f t="array" ref="D897">_xlfn.IFS(Table2[[#This Row],[Age]]&lt;=11,"Gen A",Table2[[#This Row],[Age]]&lt;=27,"Gen Z",Table2[[#This Row],[Age]]&lt;=43,"Millenials",Table2[[#This Row],[Age]]&lt;=59,"Gen X",Table2[[#This Row],[Age]]&lt;=78,"Baby Boomers",Table2[[#This Row],[Age]]&lt;=96,"Silent",Table2[[#This Row],[Age]]&gt;=97,"Greatest")</f>
        <v>Silent</v>
      </c>
      <c r="E897" s="1">
        <v>93288</v>
      </c>
      <c r="F897">
        <v>60</v>
      </c>
      <c r="G897" t="str" cm="1">
        <f t="array" ref="G897">_xlfn.IFS(Table2[[#This Row],[Spending Score (1-100)]]&lt;=25,"Low",Table2[[#This Row],[Spending Score (1-100)]]&lt;=50,"Medium",Table2[[#This Row],[Spending Score (1-100)]]&lt;=75,"High",Table2[[#This Row],[Spending Score (1-100)]]&lt;=100,"Very High")</f>
        <v>High</v>
      </c>
      <c r="H897" t="s">
        <v>14</v>
      </c>
      <c r="I897">
        <v>10</v>
      </c>
      <c r="J897" t="str">
        <f>CONCATENATE(Table2[[#This Row],[Work Experience]],"years")</f>
        <v>10years</v>
      </c>
      <c r="K897" t="str">
        <f>CONCATENATE(Table2[[#This Row],[Family Size2]],"members")</f>
        <v>6members</v>
      </c>
      <c r="L897" t="str">
        <f>CONCATENATE(Table2[[#This Row],[Family Size2]],"members")</f>
        <v>6members</v>
      </c>
      <c r="M897">
        <v>6</v>
      </c>
    </row>
    <row r="898" spans="1:13">
      <c r="A898">
        <v>897</v>
      </c>
      <c r="B898" t="s">
        <v>11</v>
      </c>
      <c r="C898">
        <v>93</v>
      </c>
      <c r="D898" t="str" cm="1">
        <f t="array" ref="D898">_xlfn.IFS(Table2[[#This Row],[Age]]&lt;=11,"Gen A",Table2[[#This Row],[Age]]&lt;=27,"Gen Z",Table2[[#This Row],[Age]]&lt;=43,"Millenials",Table2[[#This Row],[Age]]&lt;=59,"Gen X",Table2[[#This Row],[Age]]&lt;=78,"Baby Boomers",Table2[[#This Row],[Age]]&lt;=96,"Silent",Table2[[#This Row],[Age]]&gt;=97,"Greatest")</f>
        <v>Silent</v>
      </c>
      <c r="E898" s="1">
        <v>88192</v>
      </c>
      <c r="F898">
        <v>3</v>
      </c>
      <c r="G898" t="str" cm="1">
        <f t="array" ref="G898">_xlfn.IFS(Table2[[#This Row],[Spending Score (1-100)]]&lt;=25,"Low",Table2[[#This Row],[Spending Score (1-100)]]&lt;=50,"Medium",Table2[[#This Row],[Spending Score (1-100)]]&lt;=75,"High",Table2[[#This Row],[Spending Score (1-100)]]&lt;=100,"Very High")</f>
        <v>Low</v>
      </c>
      <c r="H898" t="s">
        <v>18</v>
      </c>
      <c r="I898">
        <v>10</v>
      </c>
      <c r="J898" t="str">
        <f>CONCATENATE(Table2[[#This Row],[Work Experience]],"years")</f>
        <v>10years</v>
      </c>
      <c r="K898" t="str">
        <f>CONCATENATE(Table2[[#This Row],[Family Size2]],"members")</f>
        <v>2members</v>
      </c>
      <c r="L898" t="str">
        <f>CONCATENATE(Table2[[#This Row],[Family Size2]],"members")</f>
        <v>2members</v>
      </c>
      <c r="M898">
        <v>2</v>
      </c>
    </row>
    <row r="899" spans="1:13">
      <c r="A899">
        <v>898</v>
      </c>
      <c r="B899" t="s">
        <v>8</v>
      </c>
      <c r="C899">
        <v>18</v>
      </c>
      <c r="D899" t="str" cm="1">
        <f t="array" ref="D899">_xlfn.IFS(Table2[[#This Row],[Age]]&lt;=11,"Gen A",Table2[[#This Row],[Age]]&lt;=27,"Gen Z",Table2[[#This Row],[Age]]&lt;=43,"Millenials",Table2[[#This Row],[Age]]&lt;=59,"Gen X",Table2[[#This Row],[Age]]&lt;=78,"Baby Boomers",Table2[[#This Row],[Age]]&lt;=96,"Silent",Table2[[#This Row],[Age]]&gt;=97,"Greatest")</f>
        <v>Gen Z</v>
      </c>
      <c r="E899" s="1">
        <v>62362</v>
      </c>
      <c r="F899">
        <v>81</v>
      </c>
      <c r="G899" t="str" cm="1">
        <f t="array" ref="G899">_xlfn.IFS(Table2[[#This Row],[Spending Score (1-100)]]&lt;=25,"Low",Table2[[#This Row],[Spending Score (1-100)]]&lt;=50,"Medium",Table2[[#This Row],[Spending Score (1-100)]]&lt;=75,"High",Table2[[#This Row],[Spending Score (1-100)]]&lt;=100,"Very High")</f>
        <v>Very High</v>
      </c>
      <c r="H899" t="s">
        <v>12</v>
      </c>
      <c r="I899">
        <v>7</v>
      </c>
      <c r="J899" t="str">
        <f>CONCATENATE(Table2[[#This Row],[Work Experience]],"years")</f>
        <v>7years</v>
      </c>
      <c r="K899" t="str">
        <f>CONCATENATE(Table2[[#This Row],[Family Size2]],"members")</f>
        <v>3members</v>
      </c>
      <c r="L899" t="str">
        <f>CONCATENATE(Table2[[#This Row],[Family Size2]],"members")</f>
        <v>3members</v>
      </c>
      <c r="M899">
        <v>3</v>
      </c>
    </row>
    <row r="900" spans="1:13">
      <c r="A900">
        <v>899</v>
      </c>
      <c r="B900" t="s">
        <v>8</v>
      </c>
      <c r="C900">
        <v>73</v>
      </c>
      <c r="D900" t="str" cm="1">
        <f t="array" ref="D900">_xlfn.IFS(Table2[[#This Row],[Age]]&lt;=11,"Gen A",Table2[[#This Row],[Age]]&lt;=27,"Gen Z",Table2[[#This Row],[Age]]&lt;=43,"Millenials",Table2[[#This Row],[Age]]&lt;=59,"Gen X",Table2[[#This Row],[Age]]&lt;=78,"Baby Boomers",Table2[[#This Row],[Age]]&lt;=96,"Silent",Table2[[#This Row],[Age]]&gt;=97,"Greatest")</f>
        <v>Baby Boomers</v>
      </c>
      <c r="E900" s="1">
        <v>74350</v>
      </c>
      <c r="F900">
        <v>39</v>
      </c>
      <c r="G900" t="str" cm="1">
        <f t="array" ref="G900">_xlfn.IFS(Table2[[#This Row],[Spending Score (1-100)]]&lt;=25,"Low",Table2[[#This Row],[Spending Score (1-100)]]&lt;=50,"Medium",Table2[[#This Row],[Spending Score (1-100)]]&lt;=75,"High",Table2[[#This Row],[Spending Score (1-100)]]&lt;=100,"Very High")</f>
        <v>Medium</v>
      </c>
      <c r="H900" t="s">
        <v>12</v>
      </c>
      <c r="I900">
        <v>10</v>
      </c>
      <c r="J900" t="str">
        <f>CONCATENATE(Table2[[#This Row],[Work Experience]],"years")</f>
        <v>10years</v>
      </c>
      <c r="K900" t="str">
        <f>CONCATENATE(Table2[[#This Row],[Family Size2]],"members")</f>
        <v>1members</v>
      </c>
      <c r="L900" t="str">
        <f>CONCATENATE(Table2[[#This Row],[Family Size2]],"members")</f>
        <v>1members</v>
      </c>
      <c r="M900">
        <v>1</v>
      </c>
    </row>
    <row r="901" spans="1:13">
      <c r="A901">
        <v>900</v>
      </c>
      <c r="B901" t="s">
        <v>8</v>
      </c>
      <c r="C901">
        <v>3</v>
      </c>
      <c r="D901" t="str" cm="1">
        <f t="array" ref="D901">_xlfn.IFS(Table2[[#This Row],[Age]]&lt;=11,"Gen A",Table2[[#This Row],[Age]]&lt;=27,"Gen Z",Table2[[#This Row],[Age]]&lt;=43,"Millenials",Table2[[#This Row],[Age]]&lt;=59,"Gen X",Table2[[#This Row],[Age]]&lt;=78,"Baby Boomers",Table2[[#This Row],[Age]]&lt;=96,"Silent",Table2[[#This Row],[Age]]&gt;=97,"Greatest")</f>
        <v>Gen A</v>
      </c>
      <c r="E901" s="1">
        <v>144103</v>
      </c>
      <c r="F901">
        <v>42</v>
      </c>
      <c r="G901" t="str" cm="1">
        <f t="array" ref="G901">_xlfn.IFS(Table2[[#This Row],[Spending Score (1-100)]]&lt;=25,"Low",Table2[[#This Row],[Spending Score (1-100)]]&lt;=50,"Medium",Table2[[#This Row],[Spending Score (1-100)]]&lt;=75,"High",Table2[[#This Row],[Spending Score (1-100)]]&lt;=100,"Very High")</f>
        <v>Medium</v>
      </c>
      <c r="H901" t="s">
        <v>9</v>
      </c>
      <c r="I901">
        <v>8</v>
      </c>
      <c r="J901" t="str">
        <f>CONCATENATE(Table2[[#This Row],[Work Experience]],"years")</f>
        <v>8years</v>
      </c>
      <c r="K901" t="str">
        <f>CONCATENATE(Table2[[#This Row],[Family Size2]],"members")</f>
        <v>7members</v>
      </c>
      <c r="L901" t="str">
        <f>CONCATENATE(Table2[[#This Row],[Family Size2]],"members")</f>
        <v>7members</v>
      </c>
      <c r="M901">
        <v>7</v>
      </c>
    </row>
    <row r="902" spans="1:13">
      <c r="A902">
        <v>901</v>
      </c>
      <c r="B902" t="s">
        <v>8</v>
      </c>
      <c r="C902">
        <v>1</v>
      </c>
      <c r="D902" t="str" cm="1">
        <f t="array" ref="D902">_xlfn.IFS(Table2[[#This Row],[Age]]&lt;=11,"Gen A",Table2[[#This Row],[Age]]&lt;=27,"Gen Z",Table2[[#This Row],[Age]]&lt;=43,"Millenials",Table2[[#This Row],[Age]]&lt;=59,"Gen X",Table2[[#This Row],[Age]]&lt;=78,"Baby Boomers",Table2[[#This Row],[Age]]&lt;=96,"Silent",Table2[[#This Row],[Age]]&gt;=97,"Greatest")</f>
        <v>Gen A</v>
      </c>
      <c r="E902" s="1">
        <v>75518</v>
      </c>
      <c r="F902">
        <v>17</v>
      </c>
      <c r="G902" t="str" cm="1">
        <f t="array" ref="G902">_xlfn.IFS(Table2[[#This Row],[Spending Score (1-100)]]&lt;=25,"Low",Table2[[#This Row],[Spending Score (1-100)]]&lt;=50,"Medium",Table2[[#This Row],[Spending Score (1-100)]]&lt;=75,"High",Table2[[#This Row],[Spending Score (1-100)]]&lt;=100,"Very High")</f>
        <v>Low</v>
      </c>
      <c r="H902" t="s">
        <v>12</v>
      </c>
      <c r="I902">
        <v>7</v>
      </c>
      <c r="J902" t="str">
        <f>CONCATENATE(Table2[[#This Row],[Work Experience]],"years")</f>
        <v>7years</v>
      </c>
      <c r="K902" t="str">
        <f>CONCATENATE(Table2[[#This Row],[Family Size2]],"members")</f>
        <v>3members</v>
      </c>
      <c r="L902" t="str">
        <f>CONCATENATE(Table2[[#This Row],[Family Size2]],"members")</f>
        <v>3members</v>
      </c>
      <c r="M902">
        <v>3</v>
      </c>
    </row>
    <row r="903" spans="1:13">
      <c r="A903">
        <v>902</v>
      </c>
      <c r="B903" t="s">
        <v>8</v>
      </c>
      <c r="C903">
        <v>53</v>
      </c>
      <c r="D903" t="str" cm="1">
        <f t="array" ref="D903">_xlfn.IFS(Table2[[#This Row],[Age]]&lt;=11,"Gen A",Table2[[#This Row],[Age]]&lt;=27,"Gen Z",Table2[[#This Row],[Age]]&lt;=43,"Millenials",Table2[[#This Row],[Age]]&lt;=59,"Gen X",Table2[[#This Row],[Age]]&lt;=78,"Baby Boomers",Table2[[#This Row],[Age]]&lt;=96,"Silent",Table2[[#This Row],[Age]]&gt;=97,"Greatest")</f>
        <v>Gen X</v>
      </c>
      <c r="E903" s="1">
        <v>160980</v>
      </c>
      <c r="F903">
        <v>62</v>
      </c>
      <c r="G903" t="str" cm="1">
        <f t="array" ref="G903">_xlfn.IFS(Table2[[#This Row],[Spending Score (1-100)]]&lt;=25,"Low",Table2[[#This Row],[Spending Score (1-100)]]&lt;=50,"Medium",Table2[[#This Row],[Spending Score (1-100)]]&lt;=75,"High",Table2[[#This Row],[Spending Score (1-100)]]&lt;=100,"Very High")</f>
        <v>High</v>
      </c>
      <c r="H903" t="s">
        <v>16</v>
      </c>
      <c r="I903">
        <v>4</v>
      </c>
      <c r="J903" t="str">
        <f>CONCATENATE(Table2[[#This Row],[Work Experience]],"years")</f>
        <v>4years</v>
      </c>
      <c r="K903" t="str">
        <f>CONCATENATE(Table2[[#This Row],[Family Size2]],"members")</f>
        <v>2members</v>
      </c>
      <c r="L903" t="str">
        <f>CONCATENATE(Table2[[#This Row],[Family Size2]],"members")</f>
        <v>2members</v>
      </c>
      <c r="M903">
        <v>2</v>
      </c>
    </row>
    <row r="904" spans="1:13">
      <c r="A904">
        <v>903</v>
      </c>
      <c r="B904" t="s">
        <v>11</v>
      </c>
      <c r="C904">
        <v>75</v>
      </c>
      <c r="D904" t="str" cm="1">
        <f t="array" ref="D904">_xlfn.IFS(Table2[[#This Row],[Age]]&lt;=11,"Gen A",Table2[[#This Row],[Age]]&lt;=27,"Gen Z",Table2[[#This Row],[Age]]&lt;=43,"Millenials",Table2[[#This Row],[Age]]&lt;=59,"Gen X",Table2[[#This Row],[Age]]&lt;=78,"Baby Boomers",Table2[[#This Row],[Age]]&lt;=96,"Silent",Table2[[#This Row],[Age]]&gt;=97,"Greatest")</f>
        <v>Baby Boomers</v>
      </c>
      <c r="E904" s="1">
        <v>102904</v>
      </c>
      <c r="F904">
        <v>28</v>
      </c>
      <c r="G904" t="str" cm="1">
        <f t="array" ref="G904">_xlfn.IFS(Table2[[#This Row],[Spending Score (1-100)]]&lt;=25,"Low",Table2[[#This Row],[Spending Score (1-100)]]&lt;=50,"Medium",Table2[[#This Row],[Spending Score (1-100)]]&lt;=75,"High",Table2[[#This Row],[Spending Score (1-100)]]&lt;=100,"Very High")</f>
        <v>Medium</v>
      </c>
      <c r="H904" t="s">
        <v>14</v>
      </c>
      <c r="I904">
        <v>7</v>
      </c>
      <c r="J904" t="str">
        <f>CONCATENATE(Table2[[#This Row],[Work Experience]],"years")</f>
        <v>7years</v>
      </c>
      <c r="K904" t="str">
        <f>CONCATENATE(Table2[[#This Row],[Family Size2]],"members")</f>
        <v>6members</v>
      </c>
      <c r="L904" t="str">
        <f>CONCATENATE(Table2[[#This Row],[Family Size2]],"members")</f>
        <v>6members</v>
      </c>
      <c r="M904">
        <v>6</v>
      </c>
    </row>
    <row r="905" spans="1:13">
      <c r="A905">
        <v>904</v>
      </c>
      <c r="B905" t="s">
        <v>11</v>
      </c>
      <c r="C905">
        <v>15</v>
      </c>
      <c r="D905" t="str" cm="1">
        <f t="array" ref="D905">_xlfn.IFS(Table2[[#This Row],[Age]]&lt;=11,"Gen A",Table2[[#This Row],[Age]]&lt;=27,"Gen Z",Table2[[#This Row],[Age]]&lt;=43,"Millenials",Table2[[#This Row],[Age]]&lt;=59,"Gen X",Table2[[#This Row],[Age]]&lt;=78,"Baby Boomers",Table2[[#This Row],[Age]]&lt;=96,"Silent",Table2[[#This Row],[Age]]&gt;=97,"Greatest")</f>
        <v>Gen Z</v>
      </c>
      <c r="E905" s="1">
        <v>174501</v>
      </c>
      <c r="F905">
        <v>37</v>
      </c>
      <c r="G905" t="str" cm="1">
        <f t="array" ref="G905">_xlfn.IFS(Table2[[#This Row],[Spending Score (1-100)]]&lt;=25,"Low",Table2[[#This Row],[Spending Score (1-100)]]&lt;=50,"Medium",Table2[[#This Row],[Spending Score (1-100)]]&lt;=75,"High",Table2[[#This Row],[Spending Score (1-100)]]&lt;=100,"Very High")</f>
        <v>Medium</v>
      </c>
      <c r="H905" t="s">
        <v>19</v>
      </c>
      <c r="I905">
        <v>9</v>
      </c>
      <c r="J905" t="str">
        <f>CONCATENATE(Table2[[#This Row],[Work Experience]],"years")</f>
        <v>9years</v>
      </c>
      <c r="K905" t="str">
        <f>CONCATENATE(Table2[[#This Row],[Family Size2]],"members")</f>
        <v>7members</v>
      </c>
      <c r="L905" t="str">
        <f>CONCATENATE(Table2[[#This Row],[Family Size2]],"members")</f>
        <v>7members</v>
      </c>
      <c r="M905">
        <v>7</v>
      </c>
    </row>
    <row r="906" spans="1:13">
      <c r="A906">
        <v>905</v>
      </c>
      <c r="B906" t="s">
        <v>11</v>
      </c>
      <c r="C906">
        <v>47</v>
      </c>
      <c r="D906" t="str" cm="1">
        <f t="array" ref="D906">_xlfn.IFS(Table2[[#This Row],[Age]]&lt;=11,"Gen A",Table2[[#This Row],[Age]]&lt;=27,"Gen Z",Table2[[#This Row],[Age]]&lt;=43,"Millenials",Table2[[#This Row],[Age]]&lt;=59,"Gen X",Table2[[#This Row],[Age]]&lt;=78,"Baby Boomers",Table2[[#This Row],[Age]]&lt;=96,"Silent",Table2[[#This Row],[Age]]&gt;=97,"Greatest")</f>
        <v>Gen X</v>
      </c>
      <c r="E906" s="1">
        <v>157661</v>
      </c>
      <c r="F906">
        <v>57</v>
      </c>
      <c r="G906" t="str" cm="1">
        <f t="array" ref="G906">_xlfn.IFS(Table2[[#This Row],[Spending Score (1-100)]]&lt;=25,"Low",Table2[[#This Row],[Spending Score (1-100)]]&lt;=50,"Medium",Table2[[#This Row],[Spending Score (1-100)]]&lt;=75,"High",Table2[[#This Row],[Spending Score (1-100)]]&lt;=100,"Very High")</f>
        <v>High</v>
      </c>
      <c r="H906" t="s">
        <v>9</v>
      </c>
      <c r="I906">
        <v>6</v>
      </c>
      <c r="J906" t="str">
        <f>CONCATENATE(Table2[[#This Row],[Work Experience]],"years")</f>
        <v>6years</v>
      </c>
      <c r="K906" t="str">
        <f>CONCATENATE(Table2[[#This Row],[Family Size2]],"members")</f>
        <v>6members</v>
      </c>
      <c r="L906" t="str">
        <f>CONCATENATE(Table2[[#This Row],[Family Size2]],"members")</f>
        <v>6members</v>
      </c>
      <c r="M906">
        <v>6</v>
      </c>
    </row>
    <row r="907" spans="1:13">
      <c r="A907">
        <v>906</v>
      </c>
      <c r="B907" t="s">
        <v>11</v>
      </c>
      <c r="C907">
        <v>66</v>
      </c>
      <c r="D907" t="str" cm="1">
        <f t="array" ref="D907">_xlfn.IFS(Table2[[#This Row],[Age]]&lt;=11,"Gen A",Table2[[#This Row],[Age]]&lt;=27,"Gen Z",Table2[[#This Row],[Age]]&lt;=43,"Millenials",Table2[[#This Row],[Age]]&lt;=59,"Gen X",Table2[[#This Row],[Age]]&lt;=78,"Baby Boomers",Table2[[#This Row],[Age]]&lt;=96,"Silent",Table2[[#This Row],[Age]]&gt;=97,"Greatest")</f>
        <v>Baby Boomers</v>
      </c>
      <c r="E907" s="1">
        <v>118385</v>
      </c>
      <c r="F907">
        <v>8</v>
      </c>
      <c r="G907" t="str" cm="1">
        <f t="array" ref="G907">_xlfn.IFS(Table2[[#This Row],[Spending Score (1-100)]]&lt;=25,"Low",Table2[[#This Row],[Spending Score (1-100)]]&lt;=50,"Medium",Table2[[#This Row],[Spending Score (1-100)]]&lt;=75,"High",Table2[[#This Row],[Spending Score (1-100)]]&lt;=100,"Very High")</f>
        <v>Low</v>
      </c>
      <c r="H907" t="s">
        <v>9</v>
      </c>
      <c r="I907">
        <v>10</v>
      </c>
      <c r="J907" t="str">
        <f>CONCATENATE(Table2[[#This Row],[Work Experience]],"years")</f>
        <v>10years</v>
      </c>
      <c r="K907" t="str">
        <f>CONCATENATE(Table2[[#This Row],[Family Size2]],"members")</f>
        <v>3members</v>
      </c>
      <c r="L907" t="str">
        <f>CONCATENATE(Table2[[#This Row],[Family Size2]],"members")</f>
        <v>3members</v>
      </c>
      <c r="M907">
        <v>3</v>
      </c>
    </row>
    <row r="908" spans="1:13">
      <c r="A908">
        <v>907</v>
      </c>
      <c r="B908" t="s">
        <v>11</v>
      </c>
      <c r="C908">
        <v>17</v>
      </c>
      <c r="D908" t="str" cm="1">
        <f t="array" ref="D908">_xlfn.IFS(Table2[[#This Row],[Age]]&lt;=11,"Gen A",Table2[[#This Row],[Age]]&lt;=27,"Gen Z",Table2[[#This Row],[Age]]&lt;=43,"Millenials",Table2[[#This Row],[Age]]&lt;=59,"Gen X",Table2[[#This Row],[Age]]&lt;=78,"Baby Boomers",Table2[[#This Row],[Age]]&lt;=96,"Silent",Table2[[#This Row],[Age]]&gt;=97,"Greatest")</f>
        <v>Gen Z</v>
      </c>
      <c r="E908" s="1">
        <v>116463</v>
      </c>
      <c r="F908">
        <v>100</v>
      </c>
      <c r="G908" t="str" cm="1">
        <f t="array" ref="G908">_xlfn.IFS(Table2[[#This Row],[Spending Score (1-100)]]&lt;=25,"Low",Table2[[#This Row],[Spending Score (1-100)]]&lt;=50,"Medium",Table2[[#This Row],[Spending Score (1-100)]]&lt;=75,"High",Table2[[#This Row],[Spending Score (1-100)]]&lt;=100,"Very High")</f>
        <v>Very High</v>
      </c>
      <c r="H908" t="s">
        <v>14</v>
      </c>
      <c r="I908">
        <v>8</v>
      </c>
      <c r="J908" t="str">
        <f>CONCATENATE(Table2[[#This Row],[Work Experience]],"years")</f>
        <v>8years</v>
      </c>
      <c r="K908" t="str">
        <f>CONCATENATE(Table2[[#This Row],[Family Size2]],"members")</f>
        <v>4members</v>
      </c>
      <c r="L908" t="str">
        <f>CONCATENATE(Table2[[#This Row],[Family Size2]],"members")</f>
        <v>4members</v>
      </c>
      <c r="M908">
        <v>4</v>
      </c>
    </row>
    <row r="909" spans="1:13">
      <c r="A909">
        <v>908</v>
      </c>
      <c r="B909" t="s">
        <v>11</v>
      </c>
      <c r="C909">
        <v>1</v>
      </c>
      <c r="D909" t="str" cm="1">
        <f t="array" ref="D909">_xlfn.IFS(Table2[[#This Row],[Age]]&lt;=11,"Gen A",Table2[[#This Row],[Age]]&lt;=27,"Gen Z",Table2[[#This Row],[Age]]&lt;=43,"Millenials",Table2[[#This Row],[Age]]&lt;=59,"Gen X",Table2[[#This Row],[Age]]&lt;=78,"Baby Boomers",Table2[[#This Row],[Age]]&lt;=96,"Silent",Table2[[#This Row],[Age]]&gt;=97,"Greatest")</f>
        <v>Gen A</v>
      </c>
      <c r="E909" s="1">
        <v>161212</v>
      </c>
      <c r="F909">
        <v>14</v>
      </c>
      <c r="G909" t="str" cm="1">
        <f t="array" ref="G909">_xlfn.IFS(Table2[[#This Row],[Spending Score (1-100)]]&lt;=25,"Low",Table2[[#This Row],[Spending Score (1-100)]]&lt;=50,"Medium",Table2[[#This Row],[Spending Score (1-100)]]&lt;=75,"High",Table2[[#This Row],[Spending Score (1-100)]]&lt;=100,"Very High")</f>
        <v>Low</v>
      </c>
      <c r="H909" t="s">
        <v>14</v>
      </c>
      <c r="I909">
        <v>9</v>
      </c>
      <c r="J909" t="str">
        <f>CONCATENATE(Table2[[#This Row],[Work Experience]],"years")</f>
        <v>9years</v>
      </c>
      <c r="K909" t="str">
        <f>CONCATENATE(Table2[[#This Row],[Family Size2]],"members")</f>
        <v>6members</v>
      </c>
      <c r="L909" t="str">
        <f>CONCATENATE(Table2[[#This Row],[Family Size2]],"members")</f>
        <v>6members</v>
      </c>
      <c r="M909">
        <v>6</v>
      </c>
    </row>
    <row r="910" spans="1:13">
      <c r="A910">
        <v>909</v>
      </c>
      <c r="B910" t="s">
        <v>8</v>
      </c>
      <c r="C910">
        <v>16</v>
      </c>
      <c r="D910" t="str" cm="1">
        <f t="array" ref="D910">_xlfn.IFS(Table2[[#This Row],[Age]]&lt;=11,"Gen A",Table2[[#This Row],[Age]]&lt;=27,"Gen Z",Table2[[#This Row],[Age]]&lt;=43,"Millenials",Table2[[#This Row],[Age]]&lt;=59,"Gen X",Table2[[#This Row],[Age]]&lt;=78,"Baby Boomers",Table2[[#This Row],[Age]]&lt;=96,"Silent",Table2[[#This Row],[Age]]&gt;=97,"Greatest")</f>
        <v>Gen Z</v>
      </c>
      <c r="E910" s="1">
        <v>172601</v>
      </c>
      <c r="F910">
        <v>50</v>
      </c>
      <c r="G910" t="str" cm="1">
        <f t="array" ref="G910">_xlfn.IFS(Table2[[#This Row],[Spending Score (1-100)]]&lt;=25,"Low",Table2[[#This Row],[Spending Score (1-100)]]&lt;=50,"Medium",Table2[[#This Row],[Spending Score (1-100)]]&lt;=75,"High",Table2[[#This Row],[Spending Score (1-100)]]&lt;=100,"Very High")</f>
        <v>Medium</v>
      </c>
      <c r="H910" t="s">
        <v>18</v>
      </c>
      <c r="I910">
        <v>4</v>
      </c>
      <c r="J910" t="str">
        <f>CONCATENATE(Table2[[#This Row],[Work Experience]],"years")</f>
        <v>4years</v>
      </c>
      <c r="K910" t="str">
        <f>CONCATENATE(Table2[[#This Row],[Family Size2]],"members")</f>
        <v>6members</v>
      </c>
      <c r="L910" t="str">
        <f>CONCATENATE(Table2[[#This Row],[Family Size2]],"members")</f>
        <v>6members</v>
      </c>
      <c r="M910">
        <v>6</v>
      </c>
    </row>
    <row r="911" spans="1:13">
      <c r="A911">
        <v>910</v>
      </c>
      <c r="B911" t="s">
        <v>11</v>
      </c>
      <c r="C911">
        <v>52</v>
      </c>
      <c r="D911" t="str" cm="1">
        <f t="array" ref="D911">_xlfn.IFS(Table2[[#This Row],[Age]]&lt;=11,"Gen A",Table2[[#This Row],[Age]]&lt;=27,"Gen Z",Table2[[#This Row],[Age]]&lt;=43,"Millenials",Table2[[#This Row],[Age]]&lt;=59,"Gen X",Table2[[#This Row],[Age]]&lt;=78,"Baby Boomers",Table2[[#This Row],[Age]]&lt;=96,"Silent",Table2[[#This Row],[Age]]&gt;=97,"Greatest")</f>
        <v>Gen X</v>
      </c>
      <c r="E911" s="1">
        <v>167214</v>
      </c>
      <c r="F911">
        <v>94</v>
      </c>
      <c r="G911" t="str" cm="1">
        <f t="array" ref="G911">_xlfn.IFS(Table2[[#This Row],[Spending Score (1-100)]]&lt;=25,"Low",Table2[[#This Row],[Spending Score (1-100)]]&lt;=50,"Medium",Table2[[#This Row],[Spending Score (1-100)]]&lt;=75,"High",Table2[[#This Row],[Spending Score (1-100)]]&lt;=100,"Very High")</f>
        <v>Very High</v>
      </c>
      <c r="H911" t="s">
        <v>17</v>
      </c>
      <c r="I911">
        <v>8</v>
      </c>
      <c r="J911" t="str">
        <f>CONCATENATE(Table2[[#This Row],[Work Experience]],"years")</f>
        <v>8years</v>
      </c>
      <c r="K911" t="str">
        <f>CONCATENATE(Table2[[#This Row],[Family Size2]],"members")</f>
        <v>7members</v>
      </c>
      <c r="L911" t="str">
        <f>CONCATENATE(Table2[[#This Row],[Family Size2]],"members")</f>
        <v>7members</v>
      </c>
      <c r="M911">
        <v>7</v>
      </c>
    </row>
    <row r="912" spans="1:13">
      <c r="A912">
        <v>911</v>
      </c>
      <c r="B912" t="s">
        <v>8</v>
      </c>
      <c r="C912">
        <v>21</v>
      </c>
      <c r="D912" t="str" cm="1">
        <f t="array" ref="D912">_xlfn.IFS(Table2[[#This Row],[Age]]&lt;=11,"Gen A",Table2[[#This Row],[Age]]&lt;=27,"Gen Z",Table2[[#This Row],[Age]]&lt;=43,"Millenials",Table2[[#This Row],[Age]]&lt;=59,"Gen X",Table2[[#This Row],[Age]]&lt;=78,"Baby Boomers",Table2[[#This Row],[Age]]&lt;=96,"Silent",Table2[[#This Row],[Age]]&gt;=97,"Greatest")</f>
        <v>Gen Z</v>
      </c>
      <c r="E912" s="1">
        <v>69644</v>
      </c>
      <c r="F912">
        <v>19</v>
      </c>
      <c r="G912" t="str" cm="1">
        <f t="array" ref="G912">_xlfn.IFS(Table2[[#This Row],[Spending Score (1-100)]]&lt;=25,"Low",Table2[[#This Row],[Spending Score (1-100)]]&lt;=50,"Medium",Table2[[#This Row],[Spending Score (1-100)]]&lt;=75,"High",Table2[[#This Row],[Spending Score (1-100)]]&lt;=100,"Very High")</f>
        <v>Low</v>
      </c>
      <c r="H912" t="s">
        <v>14</v>
      </c>
      <c r="I912">
        <v>5</v>
      </c>
      <c r="J912" t="str">
        <f>CONCATENATE(Table2[[#This Row],[Work Experience]],"years")</f>
        <v>5years</v>
      </c>
      <c r="K912" t="str">
        <f>CONCATENATE(Table2[[#This Row],[Family Size2]],"members")</f>
        <v>1members</v>
      </c>
      <c r="L912" t="str">
        <f>CONCATENATE(Table2[[#This Row],[Family Size2]],"members")</f>
        <v>1members</v>
      </c>
      <c r="M912">
        <v>1</v>
      </c>
    </row>
    <row r="913" spans="1:13">
      <c r="A913">
        <v>912</v>
      </c>
      <c r="B913" t="s">
        <v>11</v>
      </c>
      <c r="C913">
        <v>19</v>
      </c>
      <c r="D913" t="str" cm="1">
        <f t="array" ref="D913">_xlfn.IFS(Table2[[#This Row],[Age]]&lt;=11,"Gen A",Table2[[#This Row],[Age]]&lt;=27,"Gen Z",Table2[[#This Row],[Age]]&lt;=43,"Millenials",Table2[[#This Row],[Age]]&lt;=59,"Gen X",Table2[[#This Row],[Age]]&lt;=78,"Baby Boomers",Table2[[#This Row],[Age]]&lt;=96,"Silent",Table2[[#This Row],[Age]]&gt;=97,"Greatest")</f>
        <v>Gen Z</v>
      </c>
      <c r="E913" s="1">
        <v>120215</v>
      </c>
      <c r="F913">
        <v>46</v>
      </c>
      <c r="G913" t="str" cm="1">
        <f t="array" ref="G913">_xlfn.IFS(Table2[[#This Row],[Spending Score (1-100)]]&lt;=25,"Low",Table2[[#This Row],[Spending Score (1-100)]]&lt;=50,"Medium",Table2[[#This Row],[Spending Score (1-100)]]&lt;=75,"High",Table2[[#This Row],[Spending Score (1-100)]]&lt;=100,"Very High")</f>
        <v>Medium</v>
      </c>
      <c r="H913" t="s">
        <v>17</v>
      </c>
      <c r="I913">
        <v>7</v>
      </c>
      <c r="J913" t="str">
        <f>CONCATENATE(Table2[[#This Row],[Work Experience]],"years")</f>
        <v>7years</v>
      </c>
      <c r="K913" t="str">
        <f>CONCATENATE(Table2[[#This Row],[Family Size2]],"members")</f>
        <v>2members</v>
      </c>
      <c r="L913" t="str">
        <f>CONCATENATE(Table2[[#This Row],[Family Size2]],"members")</f>
        <v>2members</v>
      </c>
      <c r="M913">
        <v>2</v>
      </c>
    </row>
    <row r="914" spans="1:13">
      <c r="A914">
        <v>913</v>
      </c>
      <c r="B914" t="s">
        <v>11</v>
      </c>
      <c r="C914">
        <v>29</v>
      </c>
      <c r="D914" t="str" cm="1">
        <f t="array" ref="D914">_xlfn.IFS(Table2[[#This Row],[Age]]&lt;=11,"Gen A",Table2[[#This Row],[Age]]&lt;=27,"Gen Z",Table2[[#This Row],[Age]]&lt;=43,"Millenials",Table2[[#This Row],[Age]]&lt;=59,"Gen X",Table2[[#This Row],[Age]]&lt;=78,"Baby Boomers",Table2[[#This Row],[Age]]&lt;=96,"Silent",Table2[[#This Row],[Age]]&gt;=97,"Greatest")</f>
        <v>Millenials</v>
      </c>
      <c r="E914" s="1">
        <v>180401</v>
      </c>
      <c r="F914">
        <v>23</v>
      </c>
      <c r="G914" t="str" cm="1">
        <f t="array" ref="G914">_xlfn.IFS(Table2[[#This Row],[Spending Score (1-100)]]&lt;=25,"Low",Table2[[#This Row],[Spending Score (1-100)]]&lt;=50,"Medium",Table2[[#This Row],[Spending Score (1-100)]]&lt;=75,"High",Table2[[#This Row],[Spending Score (1-100)]]&lt;=100,"Very High")</f>
        <v>Low</v>
      </c>
      <c r="H914" t="s">
        <v>10</v>
      </c>
      <c r="I914">
        <v>7</v>
      </c>
      <c r="J914" t="str">
        <f>CONCATENATE(Table2[[#This Row],[Work Experience]],"years")</f>
        <v>7years</v>
      </c>
      <c r="K914" t="str">
        <f>CONCATENATE(Table2[[#This Row],[Family Size2]],"members")</f>
        <v>6members</v>
      </c>
      <c r="L914" t="str">
        <f>CONCATENATE(Table2[[#This Row],[Family Size2]],"members")</f>
        <v>6members</v>
      </c>
      <c r="M914">
        <v>6</v>
      </c>
    </row>
    <row r="915" spans="1:13">
      <c r="A915">
        <v>914</v>
      </c>
      <c r="B915" t="s">
        <v>11</v>
      </c>
      <c r="C915">
        <v>40</v>
      </c>
      <c r="D915" t="str" cm="1">
        <f t="array" ref="D915">_xlfn.IFS(Table2[[#This Row],[Age]]&lt;=11,"Gen A",Table2[[#This Row],[Age]]&lt;=27,"Gen Z",Table2[[#This Row],[Age]]&lt;=43,"Millenials",Table2[[#This Row],[Age]]&lt;=59,"Gen X",Table2[[#This Row],[Age]]&lt;=78,"Baby Boomers",Table2[[#This Row],[Age]]&lt;=96,"Silent",Table2[[#This Row],[Age]]&gt;=97,"Greatest")</f>
        <v>Millenials</v>
      </c>
      <c r="E915" s="1">
        <v>113739</v>
      </c>
      <c r="F915">
        <v>93</v>
      </c>
      <c r="G915" t="str" cm="1">
        <f t="array" ref="G915">_xlfn.IFS(Table2[[#This Row],[Spending Score (1-100)]]&lt;=25,"Low",Table2[[#This Row],[Spending Score (1-100)]]&lt;=50,"Medium",Table2[[#This Row],[Spending Score (1-100)]]&lt;=75,"High",Table2[[#This Row],[Spending Score (1-100)]]&lt;=100,"Very High")</f>
        <v>Very High</v>
      </c>
      <c r="H915" t="s">
        <v>14</v>
      </c>
      <c r="I915">
        <v>5</v>
      </c>
      <c r="J915" t="str">
        <f>CONCATENATE(Table2[[#This Row],[Work Experience]],"years")</f>
        <v>5years</v>
      </c>
      <c r="K915" t="str">
        <f>CONCATENATE(Table2[[#This Row],[Family Size2]],"members")</f>
        <v>7members</v>
      </c>
      <c r="L915" t="str">
        <f>CONCATENATE(Table2[[#This Row],[Family Size2]],"members")</f>
        <v>7members</v>
      </c>
      <c r="M915">
        <v>7</v>
      </c>
    </row>
    <row r="916" spans="1:13">
      <c r="A916">
        <v>915</v>
      </c>
      <c r="B916" t="s">
        <v>8</v>
      </c>
      <c r="C916">
        <v>76</v>
      </c>
      <c r="D916" t="str" cm="1">
        <f t="array" ref="D916">_xlfn.IFS(Table2[[#This Row],[Age]]&lt;=11,"Gen A",Table2[[#This Row],[Age]]&lt;=27,"Gen Z",Table2[[#This Row],[Age]]&lt;=43,"Millenials",Table2[[#This Row],[Age]]&lt;=59,"Gen X",Table2[[#This Row],[Age]]&lt;=78,"Baby Boomers",Table2[[#This Row],[Age]]&lt;=96,"Silent",Table2[[#This Row],[Age]]&gt;=97,"Greatest")</f>
        <v>Baby Boomers</v>
      </c>
      <c r="E916" s="1">
        <v>111717</v>
      </c>
      <c r="F916">
        <v>41</v>
      </c>
      <c r="G916" t="str" cm="1">
        <f t="array" ref="G916">_xlfn.IFS(Table2[[#This Row],[Spending Score (1-100)]]&lt;=25,"Low",Table2[[#This Row],[Spending Score (1-100)]]&lt;=50,"Medium",Table2[[#This Row],[Spending Score (1-100)]]&lt;=75,"High",Table2[[#This Row],[Spending Score (1-100)]]&lt;=100,"Very High")</f>
        <v>Medium</v>
      </c>
      <c r="H916" t="s">
        <v>9</v>
      </c>
      <c r="I916">
        <v>1</v>
      </c>
      <c r="J916" t="str">
        <f>CONCATENATE(Table2[[#This Row],[Work Experience]],"years")</f>
        <v>1years</v>
      </c>
      <c r="K916" t="str">
        <f>CONCATENATE(Table2[[#This Row],[Family Size2]],"members")</f>
        <v>2members</v>
      </c>
      <c r="L916" t="str">
        <f>CONCATENATE(Table2[[#This Row],[Family Size2]],"members")</f>
        <v>2members</v>
      </c>
      <c r="M916">
        <v>2</v>
      </c>
    </row>
    <row r="917" spans="1:13">
      <c r="A917">
        <v>916</v>
      </c>
      <c r="B917" t="s">
        <v>8</v>
      </c>
      <c r="C917">
        <v>91</v>
      </c>
      <c r="D917" t="str" cm="1">
        <f t="array" ref="D917">_xlfn.IFS(Table2[[#This Row],[Age]]&lt;=11,"Gen A",Table2[[#This Row],[Age]]&lt;=27,"Gen Z",Table2[[#This Row],[Age]]&lt;=43,"Millenials",Table2[[#This Row],[Age]]&lt;=59,"Gen X",Table2[[#This Row],[Age]]&lt;=78,"Baby Boomers",Table2[[#This Row],[Age]]&lt;=96,"Silent",Table2[[#This Row],[Age]]&gt;=97,"Greatest")</f>
        <v>Silent</v>
      </c>
      <c r="E917" s="1">
        <v>62808</v>
      </c>
      <c r="F917">
        <v>20</v>
      </c>
      <c r="G917" t="str" cm="1">
        <f t="array" ref="G917">_xlfn.IFS(Table2[[#This Row],[Spending Score (1-100)]]&lt;=25,"Low",Table2[[#This Row],[Spending Score (1-100)]]&lt;=50,"Medium",Table2[[#This Row],[Spending Score (1-100)]]&lt;=75,"High",Table2[[#This Row],[Spending Score (1-100)]]&lt;=100,"Very High")</f>
        <v>Low</v>
      </c>
      <c r="H917" t="s">
        <v>10</v>
      </c>
      <c r="I917">
        <v>0</v>
      </c>
      <c r="J917" t="str">
        <f>CONCATENATE(Table2[[#This Row],[Work Experience]],"years")</f>
        <v>0years</v>
      </c>
      <c r="K917" t="str">
        <f>CONCATENATE(Table2[[#This Row],[Family Size2]],"members")</f>
        <v>4members</v>
      </c>
      <c r="L917" t="str">
        <f>CONCATENATE(Table2[[#This Row],[Family Size2]],"members")</f>
        <v>4members</v>
      </c>
      <c r="M917">
        <v>4</v>
      </c>
    </row>
    <row r="918" spans="1:13">
      <c r="A918">
        <v>917</v>
      </c>
      <c r="B918" t="s">
        <v>11</v>
      </c>
      <c r="C918">
        <v>24</v>
      </c>
      <c r="D918" t="str" cm="1">
        <f t="array" ref="D918">_xlfn.IFS(Table2[[#This Row],[Age]]&lt;=11,"Gen A",Table2[[#This Row],[Age]]&lt;=27,"Gen Z",Table2[[#This Row],[Age]]&lt;=43,"Millenials",Table2[[#This Row],[Age]]&lt;=59,"Gen X",Table2[[#This Row],[Age]]&lt;=78,"Baby Boomers",Table2[[#This Row],[Age]]&lt;=96,"Silent",Table2[[#This Row],[Age]]&gt;=97,"Greatest")</f>
        <v>Gen Z</v>
      </c>
      <c r="E918" s="1">
        <v>67582</v>
      </c>
      <c r="F918">
        <v>13</v>
      </c>
      <c r="G918" t="str" cm="1">
        <f t="array" ref="G918">_xlfn.IFS(Table2[[#This Row],[Spending Score (1-100)]]&lt;=25,"Low",Table2[[#This Row],[Spending Score (1-100)]]&lt;=50,"Medium",Table2[[#This Row],[Spending Score (1-100)]]&lt;=75,"High",Table2[[#This Row],[Spending Score (1-100)]]&lt;=100,"Very High")</f>
        <v>Low</v>
      </c>
      <c r="H918" t="s">
        <v>14</v>
      </c>
      <c r="I918">
        <v>1</v>
      </c>
      <c r="J918" t="str">
        <f>CONCATENATE(Table2[[#This Row],[Work Experience]],"years")</f>
        <v>1years</v>
      </c>
      <c r="K918" t="str">
        <f>CONCATENATE(Table2[[#This Row],[Family Size2]],"members")</f>
        <v>3members</v>
      </c>
      <c r="L918" t="str">
        <f>CONCATENATE(Table2[[#This Row],[Family Size2]],"members")</f>
        <v>3members</v>
      </c>
      <c r="M918">
        <v>3</v>
      </c>
    </row>
    <row r="919" spans="1:13">
      <c r="A919">
        <v>918</v>
      </c>
      <c r="B919" t="s">
        <v>8</v>
      </c>
      <c r="C919">
        <v>4</v>
      </c>
      <c r="D919" t="str" cm="1">
        <f t="array" ref="D919">_xlfn.IFS(Table2[[#This Row],[Age]]&lt;=11,"Gen A",Table2[[#This Row],[Age]]&lt;=27,"Gen Z",Table2[[#This Row],[Age]]&lt;=43,"Millenials",Table2[[#This Row],[Age]]&lt;=59,"Gen X",Table2[[#This Row],[Age]]&lt;=78,"Baby Boomers",Table2[[#This Row],[Age]]&lt;=96,"Silent",Table2[[#This Row],[Age]]&gt;=97,"Greatest")</f>
        <v>Gen A</v>
      </c>
      <c r="E919" s="1">
        <v>96543</v>
      </c>
      <c r="F919">
        <v>60</v>
      </c>
      <c r="G919" t="str" cm="1">
        <f t="array" ref="G919">_xlfn.IFS(Table2[[#This Row],[Spending Score (1-100)]]&lt;=25,"Low",Table2[[#This Row],[Spending Score (1-100)]]&lt;=50,"Medium",Table2[[#This Row],[Spending Score (1-100)]]&lt;=75,"High",Table2[[#This Row],[Spending Score (1-100)]]&lt;=100,"Very High")</f>
        <v>High</v>
      </c>
      <c r="H919" t="s">
        <v>14</v>
      </c>
      <c r="I919">
        <v>9</v>
      </c>
      <c r="J919" t="str">
        <f>CONCATENATE(Table2[[#This Row],[Work Experience]],"years")</f>
        <v>9years</v>
      </c>
      <c r="K919" t="str">
        <f>CONCATENATE(Table2[[#This Row],[Family Size2]],"members")</f>
        <v>1members</v>
      </c>
      <c r="L919" t="str">
        <f>CONCATENATE(Table2[[#This Row],[Family Size2]],"members")</f>
        <v>1members</v>
      </c>
      <c r="M919">
        <v>1</v>
      </c>
    </row>
    <row r="920" spans="1:13">
      <c r="A920">
        <v>919</v>
      </c>
      <c r="B920" t="s">
        <v>8</v>
      </c>
      <c r="C920">
        <v>90</v>
      </c>
      <c r="D920" t="str" cm="1">
        <f t="array" ref="D920">_xlfn.IFS(Table2[[#This Row],[Age]]&lt;=11,"Gen A",Table2[[#This Row],[Age]]&lt;=27,"Gen Z",Table2[[#This Row],[Age]]&lt;=43,"Millenials",Table2[[#This Row],[Age]]&lt;=59,"Gen X",Table2[[#This Row],[Age]]&lt;=78,"Baby Boomers",Table2[[#This Row],[Age]]&lt;=96,"Silent",Table2[[#This Row],[Age]]&gt;=97,"Greatest")</f>
        <v>Silent</v>
      </c>
      <c r="E920" s="1">
        <v>89667</v>
      </c>
      <c r="F920">
        <v>69</v>
      </c>
      <c r="G920" t="str" cm="1">
        <f t="array" ref="G920">_xlfn.IFS(Table2[[#This Row],[Spending Score (1-100)]]&lt;=25,"Low",Table2[[#This Row],[Spending Score (1-100)]]&lt;=50,"Medium",Table2[[#This Row],[Spending Score (1-100)]]&lt;=75,"High",Table2[[#This Row],[Spending Score (1-100)]]&lt;=100,"Very High")</f>
        <v>High</v>
      </c>
      <c r="H920" t="s">
        <v>14</v>
      </c>
      <c r="I920">
        <v>0</v>
      </c>
      <c r="J920" t="str">
        <f>CONCATENATE(Table2[[#This Row],[Work Experience]],"years")</f>
        <v>0years</v>
      </c>
      <c r="K920" t="str">
        <f>CONCATENATE(Table2[[#This Row],[Family Size2]],"members")</f>
        <v>2members</v>
      </c>
      <c r="L920" t="str">
        <f>CONCATENATE(Table2[[#This Row],[Family Size2]],"members")</f>
        <v>2members</v>
      </c>
      <c r="M920">
        <v>2</v>
      </c>
    </row>
    <row r="921" spans="1:13">
      <c r="A921">
        <v>920</v>
      </c>
      <c r="B921" t="s">
        <v>11</v>
      </c>
      <c r="C921">
        <v>56</v>
      </c>
      <c r="D921" t="str" cm="1">
        <f t="array" ref="D921">_xlfn.IFS(Table2[[#This Row],[Age]]&lt;=11,"Gen A",Table2[[#This Row],[Age]]&lt;=27,"Gen Z",Table2[[#This Row],[Age]]&lt;=43,"Millenials",Table2[[#This Row],[Age]]&lt;=59,"Gen X",Table2[[#This Row],[Age]]&lt;=78,"Baby Boomers",Table2[[#This Row],[Age]]&lt;=96,"Silent",Table2[[#This Row],[Age]]&gt;=97,"Greatest")</f>
        <v>Gen X</v>
      </c>
      <c r="E921" s="1">
        <v>98980</v>
      </c>
      <c r="F921">
        <v>65</v>
      </c>
      <c r="G921" t="str" cm="1">
        <f t="array" ref="G921">_xlfn.IFS(Table2[[#This Row],[Spending Score (1-100)]]&lt;=25,"Low",Table2[[#This Row],[Spending Score (1-100)]]&lt;=50,"Medium",Table2[[#This Row],[Spending Score (1-100)]]&lt;=75,"High",Table2[[#This Row],[Spending Score (1-100)]]&lt;=100,"Very High")</f>
        <v>High</v>
      </c>
      <c r="H921" t="s">
        <v>10</v>
      </c>
      <c r="I921">
        <v>0</v>
      </c>
      <c r="J921" t="str">
        <f>CONCATENATE(Table2[[#This Row],[Work Experience]],"years")</f>
        <v>0years</v>
      </c>
      <c r="K921" t="str">
        <f>CONCATENATE(Table2[[#This Row],[Family Size2]],"members")</f>
        <v>1members</v>
      </c>
      <c r="L921" t="str">
        <f>CONCATENATE(Table2[[#This Row],[Family Size2]],"members")</f>
        <v>1members</v>
      </c>
      <c r="M921">
        <v>1</v>
      </c>
    </row>
    <row r="922" spans="1:13">
      <c r="A922">
        <v>921</v>
      </c>
      <c r="B922" t="s">
        <v>8</v>
      </c>
      <c r="C922">
        <v>14</v>
      </c>
      <c r="D922" t="str" cm="1">
        <f t="array" ref="D922">_xlfn.IFS(Table2[[#This Row],[Age]]&lt;=11,"Gen A",Table2[[#This Row],[Age]]&lt;=27,"Gen Z",Table2[[#This Row],[Age]]&lt;=43,"Millenials",Table2[[#This Row],[Age]]&lt;=59,"Gen X",Table2[[#This Row],[Age]]&lt;=78,"Baby Boomers",Table2[[#This Row],[Age]]&lt;=96,"Silent",Table2[[#This Row],[Age]]&gt;=97,"Greatest")</f>
        <v>Gen Z</v>
      </c>
      <c r="E922" s="1">
        <v>124998</v>
      </c>
      <c r="F922">
        <v>17</v>
      </c>
      <c r="G922" t="str" cm="1">
        <f t="array" ref="G922">_xlfn.IFS(Table2[[#This Row],[Spending Score (1-100)]]&lt;=25,"Low",Table2[[#This Row],[Spending Score (1-100)]]&lt;=50,"Medium",Table2[[#This Row],[Spending Score (1-100)]]&lt;=75,"High",Table2[[#This Row],[Spending Score (1-100)]]&lt;=100,"Very High")</f>
        <v>Low</v>
      </c>
      <c r="H922" t="s">
        <v>12</v>
      </c>
      <c r="I922">
        <v>1</v>
      </c>
      <c r="J922" t="str">
        <f>CONCATENATE(Table2[[#This Row],[Work Experience]],"years")</f>
        <v>1years</v>
      </c>
      <c r="K922" t="str">
        <f>CONCATENATE(Table2[[#This Row],[Family Size2]],"members")</f>
        <v>3members</v>
      </c>
      <c r="L922" t="str">
        <f>CONCATENATE(Table2[[#This Row],[Family Size2]],"members")</f>
        <v>3members</v>
      </c>
      <c r="M922">
        <v>3</v>
      </c>
    </row>
    <row r="923" spans="1:13">
      <c r="A923">
        <v>922</v>
      </c>
      <c r="B923" t="s">
        <v>8</v>
      </c>
      <c r="C923">
        <v>52</v>
      </c>
      <c r="D923" t="str" cm="1">
        <f t="array" ref="D923">_xlfn.IFS(Table2[[#This Row],[Age]]&lt;=11,"Gen A",Table2[[#This Row],[Age]]&lt;=27,"Gen Z",Table2[[#This Row],[Age]]&lt;=43,"Millenials",Table2[[#This Row],[Age]]&lt;=59,"Gen X",Table2[[#This Row],[Age]]&lt;=78,"Baby Boomers",Table2[[#This Row],[Age]]&lt;=96,"Silent",Table2[[#This Row],[Age]]&gt;=97,"Greatest")</f>
        <v>Gen X</v>
      </c>
      <c r="E923" s="1">
        <v>189091</v>
      </c>
      <c r="F923">
        <v>12</v>
      </c>
      <c r="G923" t="str" cm="1">
        <f t="array" ref="G923">_xlfn.IFS(Table2[[#This Row],[Spending Score (1-100)]]&lt;=25,"Low",Table2[[#This Row],[Spending Score (1-100)]]&lt;=50,"Medium",Table2[[#This Row],[Spending Score (1-100)]]&lt;=75,"High",Table2[[#This Row],[Spending Score (1-100)]]&lt;=100,"Very High")</f>
        <v>Low</v>
      </c>
      <c r="H923" t="s">
        <v>14</v>
      </c>
      <c r="I923">
        <v>0</v>
      </c>
      <c r="J923" t="str">
        <f>CONCATENATE(Table2[[#This Row],[Work Experience]],"years")</f>
        <v>0years</v>
      </c>
      <c r="K923" t="str">
        <f>CONCATENATE(Table2[[#This Row],[Family Size2]],"members")</f>
        <v>6members</v>
      </c>
      <c r="L923" t="str">
        <f>CONCATENATE(Table2[[#This Row],[Family Size2]],"members")</f>
        <v>6members</v>
      </c>
      <c r="M923">
        <v>6</v>
      </c>
    </row>
    <row r="924" spans="1:13">
      <c r="A924">
        <v>923</v>
      </c>
      <c r="B924" t="s">
        <v>11</v>
      </c>
      <c r="C924">
        <v>14</v>
      </c>
      <c r="D924" t="str" cm="1">
        <f t="array" ref="D924">_xlfn.IFS(Table2[[#This Row],[Age]]&lt;=11,"Gen A",Table2[[#This Row],[Age]]&lt;=27,"Gen Z",Table2[[#This Row],[Age]]&lt;=43,"Millenials",Table2[[#This Row],[Age]]&lt;=59,"Gen X",Table2[[#This Row],[Age]]&lt;=78,"Baby Boomers",Table2[[#This Row],[Age]]&lt;=96,"Silent",Table2[[#This Row],[Age]]&gt;=97,"Greatest")</f>
        <v>Gen Z</v>
      </c>
      <c r="E924" s="1">
        <v>153842</v>
      </c>
      <c r="F924">
        <v>3</v>
      </c>
      <c r="G924" t="str" cm="1">
        <f t="array" ref="G924">_xlfn.IFS(Table2[[#This Row],[Spending Score (1-100)]]&lt;=25,"Low",Table2[[#This Row],[Spending Score (1-100)]]&lt;=50,"Medium",Table2[[#This Row],[Spending Score (1-100)]]&lt;=75,"High",Table2[[#This Row],[Spending Score (1-100)]]&lt;=100,"Very High")</f>
        <v>Low</v>
      </c>
      <c r="H924" t="s">
        <v>14</v>
      </c>
      <c r="I924">
        <v>1</v>
      </c>
      <c r="J924" t="str">
        <f>CONCATENATE(Table2[[#This Row],[Work Experience]],"years")</f>
        <v>1years</v>
      </c>
      <c r="K924" t="str">
        <f>CONCATENATE(Table2[[#This Row],[Family Size2]],"members")</f>
        <v>3members</v>
      </c>
      <c r="L924" t="str">
        <f>CONCATENATE(Table2[[#This Row],[Family Size2]],"members")</f>
        <v>3members</v>
      </c>
      <c r="M924">
        <v>3</v>
      </c>
    </row>
    <row r="925" spans="1:13">
      <c r="A925">
        <v>924</v>
      </c>
      <c r="B925" t="s">
        <v>8</v>
      </c>
      <c r="C925">
        <v>30</v>
      </c>
      <c r="D925" t="str" cm="1">
        <f t="array" ref="D925">_xlfn.IFS(Table2[[#This Row],[Age]]&lt;=11,"Gen A",Table2[[#This Row],[Age]]&lt;=27,"Gen Z",Table2[[#This Row],[Age]]&lt;=43,"Millenials",Table2[[#This Row],[Age]]&lt;=59,"Gen X",Table2[[#This Row],[Age]]&lt;=78,"Baby Boomers",Table2[[#This Row],[Age]]&lt;=96,"Silent",Table2[[#This Row],[Age]]&gt;=97,"Greatest")</f>
        <v>Millenials</v>
      </c>
      <c r="E925" s="1">
        <v>106314</v>
      </c>
      <c r="F925">
        <v>16</v>
      </c>
      <c r="G925" t="str" cm="1">
        <f t="array" ref="G925">_xlfn.IFS(Table2[[#This Row],[Spending Score (1-100)]]&lt;=25,"Low",Table2[[#This Row],[Spending Score (1-100)]]&lt;=50,"Medium",Table2[[#This Row],[Spending Score (1-100)]]&lt;=75,"High",Table2[[#This Row],[Spending Score (1-100)]]&lt;=100,"Very High")</f>
        <v>Low</v>
      </c>
      <c r="H925" t="s">
        <v>14</v>
      </c>
      <c r="I925">
        <v>0</v>
      </c>
      <c r="J925" t="str">
        <f>CONCATENATE(Table2[[#This Row],[Work Experience]],"years")</f>
        <v>0years</v>
      </c>
      <c r="K925" t="str">
        <f>CONCATENATE(Table2[[#This Row],[Family Size2]],"members")</f>
        <v>7members</v>
      </c>
      <c r="L925" t="str">
        <f>CONCATENATE(Table2[[#This Row],[Family Size2]],"members")</f>
        <v>7members</v>
      </c>
      <c r="M925">
        <v>7</v>
      </c>
    </row>
    <row r="926" spans="1:13">
      <c r="A926">
        <v>925</v>
      </c>
      <c r="B926" t="s">
        <v>11</v>
      </c>
      <c r="C926">
        <v>70</v>
      </c>
      <c r="D926" t="str" cm="1">
        <f t="array" ref="D926">_xlfn.IFS(Table2[[#This Row],[Age]]&lt;=11,"Gen A",Table2[[#This Row],[Age]]&lt;=27,"Gen Z",Table2[[#This Row],[Age]]&lt;=43,"Millenials",Table2[[#This Row],[Age]]&lt;=59,"Gen X",Table2[[#This Row],[Age]]&lt;=78,"Baby Boomers",Table2[[#This Row],[Age]]&lt;=96,"Silent",Table2[[#This Row],[Age]]&gt;=97,"Greatest")</f>
        <v>Baby Boomers</v>
      </c>
      <c r="E926" s="1">
        <v>62901</v>
      </c>
      <c r="F926">
        <v>60</v>
      </c>
      <c r="G926" t="str" cm="1">
        <f t="array" ref="G926">_xlfn.IFS(Table2[[#This Row],[Spending Score (1-100)]]&lt;=25,"Low",Table2[[#This Row],[Spending Score (1-100)]]&lt;=50,"Medium",Table2[[#This Row],[Spending Score (1-100)]]&lt;=75,"High",Table2[[#This Row],[Spending Score (1-100)]]&lt;=100,"Very High")</f>
        <v>High</v>
      </c>
      <c r="H926" t="s">
        <v>14</v>
      </c>
      <c r="I926">
        <v>8</v>
      </c>
      <c r="J926" t="str">
        <f>CONCATENATE(Table2[[#This Row],[Work Experience]],"years")</f>
        <v>8years</v>
      </c>
      <c r="K926" t="str">
        <f>CONCATENATE(Table2[[#This Row],[Family Size2]],"members")</f>
        <v>5members</v>
      </c>
      <c r="L926" t="str">
        <f>CONCATENATE(Table2[[#This Row],[Family Size2]],"members")</f>
        <v>5members</v>
      </c>
      <c r="M926">
        <v>5</v>
      </c>
    </row>
    <row r="927" spans="1:13">
      <c r="A927">
        <v>926</v>
      </c>
      <c r="B927" t="s">
        <v>8</v>
      </c>
      <c r="C927">
        <v>14</v>
      </c>
      <c r="D927" t="str" cm="1">
        <f t="array" ref="D927">_xlfn.IFS(Table2[[#This Row],[Age]]&lt;=11,"Gen A",Table2[[#This Row],[Age]]&lt;=27,"Gen Z",Table2[[#This Row],[Age]]&lt;=43,"Millenials",Table2[[#This Row],[Age]]&lt;=59,"Gen X",Table2[[#This Row],[Age]]&lt;=78,"Baby Boomers",Table2[[#This Row],[Age]]&lt;=96,"Silent",Table2[[#This Row],[Age]]&gt;=97,"Greatest")</f>
        <v>Gen Z</v>
      </c>
      <c r="E927" s="1">
        <v>149618</v>
      </c>
      <c r="F927">
        <v>78</v>
      </c>
      <c r="G927" t="str" cm="1">
        <f t="array" ref="G927">_xlfn.IFS(Table2[[#This Row],[Spending Score (1-100)]]&lt;=25,"Low",Table2[[#This Row],[Spending Score (1-100)]]&lt;=50,"Medium",Table2[[#This Row],[Spending Score (1-100)]]&lt;=75,"High",Table2[[#This Row],[Spending Score (1-100)]]&lt;=100,"Very High")</f>
        <v>Very High</v>
      </c>
      <c r="H927" t="s">
        <v>9</v>
      </c>
      <c r="I927">
        <v>4</v>
      </c>
      <c r="J927" t="str">
        <f>CONCATENATE(Table2[[#This Row],[Work Experience]],"years")</f>
        <v>4years</v>
      </c>
      <c r="K927" t="str">
        <f>CONCATENATE(Table2[[#This Row],[Family Size2]],"members")</f>
        <v>6members</v>
      </c>
      <c r="L927" t="str">
        <f>CONCATENATE(Table2[[#This Row],[Family Size2]],"members")</f>
        <v>6members</v>
      </c>
      <c r="M927">
        <v>6</v>
      </c>
    </row>
    <row r="928" spans="1:13">
      <c r="A928">
        <v>927</v>
      </c>
      <c r="B928" t="s">
        <v>11</v>
      </c>
      <c r="C928">
        <v>95</v>
      </c>
      <c r="D928" t="str" cm="1">
        <f t="array" ref="D928">_xlfn.IFS(Table2[[#This Row],[Age]]&lt;=11,"Gen A",Table2[[#This Row],[Age]]&lt;=27,"Gen Z",Table2[[#This Row],[Age]]&lt;=43,"Millenials",Table2[[#This Row],[Age]]&lt;=59,"Gen X",Table2[[#This Row],[Age]]&lt;=78,"Baby Boomers",Table2[[#This Row],[Age]]&lt;=96,"Silent",Table2[[#This Row],[Age]]&gt;=97,"Greatest")</f>
        <v>Silent</v>
      </c>
      <c r="E928" s="1">
        <v>72068</v>
      </c>
      <c r="F928">
        <v>97</v>
      </c>
      <c r="G928" t="str" cm="1">
        <f t="array" ref="G928">_xlfn.IFS(Table2[[#This Row],[Spending Score (1-100)]]&lt;=25,"Low",Table2[[#This Row],[Spending Score (1-100)]]&lt;=50,"Medium",Table2[[#This Row],[Spending Score (1-100)]]&lt;=75,"High",Table2[[#This Row],[Spending Score (1-100)]]&lt;=100,"Very High")</f>
        <v>Very High</v>
      </c>
      <c r="H928" t="s">
        <v>9</v>
      </c>
      <c r="I928">
        <v>0</v>
      </c>
      <c r="J928" t="str">
        <f>CONCATENATE(Table2[[#This Row],[Work Experience]],"years")</f>
        <v>0years</v>
      </c>
      <c r="K928" t="str">
        <f>CONCATENATE(Table2[[#This Row],[Family Size2]],"members")</f>
        <v>6members</v>
      </c>
      <c r="L928" t="str">
        <f>CONCATENATE(Table2[[#This Row],[Family Size2]],"members")</f>
        <v>6members</v>
      </c>
      <c r="M928">
        <v>6</v>
      </c>
    </row>
    <row r="929" spans="1:13">
      <c r="A929">
        <v>928</v>
      </c>
      <c r="B929" t="s">
        <v>8</v>
      </c>
      <c r="C929">
        <v>25</v>
      </c>
      <c r="D929" t="str" cm="1">
        <f t="array" ref="D929">_xlfn.IFS(Table2[[#This Row],[Age]]&lt;=11,"Gen A",Table2[[#This Row],[Age]]&lt;=27,"Gen Z",Table2[[#This Row],[Age]]&lt;=43,"Millenials",Table2[[#This Row],[Age]]&lt;=59,"Gen X",Table2[[#This Row],[Age]]&lt;=78,"Baby Boomers",Table2[[#This Row],[Age]]&lt;=96,"Silent",Table2[[#This Row],[Age]]&gt;=97,"Greatest")</f>
        <v>Gen Z</v>
      </c>
      <c r="E929" s="1">
        <v>81367</v>
      </c>
      <c r="F929">
        <v>87</v>
      </c>
      <c r="G929" t="str" cm="1">
        <f t="array" ref="G929">_xlfn.IFS(Table2[[#This Row],[Spending Score (1-100)]]&lt;=25,"Low",Table2[[#This Row],[Spending Score (1-100)]]&lt;=50,"Medium",Table2[[#This Row],[Spending Score (1-100)]]&lt;=75,"High",Table2[[#This Row],[Spending Score (1-100)]]&lt;=100,"Very High")</f>
        <v>Very High</v>
      </c>
      <c r="H929" t="s">
        <v>19</v>
      </c>
      <c r="I929">
        <v>0</v>
      </c>
      <c r="J929" t="str">
        <f>CONCATENATE(Table2[[#This Row],[Work Experience]],"years")</f>
        <v>0years</v>
      </c>
      <c r="K929" t="str">
        <f>CONCATENATE(Table2[[#This Row],[Family Size2]],"members")</f>
        <v>3members</v>
      </c>
      <c r="L929" t="str">
        <f>CONCATENATE(Table2[[#This Row],[Family Size2]],"members")</f>
        <v>3members</v>
      </c>
      <c r="M929">
        <v>3</v>
      </c>
    </row>
    <row r="930" spans="1:13">
      <c r="A930">
        <v>929</v>
      </c>
      <c r="B930" t="s">
        <v>11</v>
      </c>
      <c r="C930">
        <v>95</v>
      </c>
      <c r="D930" t="str" cm="1">
        <f t="array" ref="D930">_xlfn.IFS(Table2[[#This Row],[Age]]&lt;=11,"Gen A",Table2[[#This Row],[Age]]&lt;=27,"Gen Z",Table2[[#This Row],[Age]]&lt;=43,"Millenials",Table2[[#This Row],[Age]]&lt;=59,"Gen X",Table2[[#This Row],[Age]]&lt;=78,"Baby Boomers",Table2[[#This Row],[Age]]&lt;=96,"Silent",Table2[[#This Row],[Age]]&gt;=97,"Greatest")</f>
        <v>Silent</v>
      </c>
      <c r="E930" s="1">
        <v>118575</v>
      </c>
      <c r="F930">
        <v>10</v>
      </c>
      <c r="G930" t="str" cm="1">
        <f t="array" ref="G930">_xlfn.IFS(Table2[[#This Row],[Spending Score (1-100)]]&lt;=25,"Low",Table2[[#This Row],[Spending Score (1-100)]]&lt;=50,"Medium",Table2[[#This Row],[Spending Score (1-100)]]&lt;=75,"High",Table2[[#This Row],[Spending Score (1-100)]]&lt;=100,"Very High")</f>
        <v>Low</v>
      </c>
      <c r="H930" t="s">
        <v>13</v>
      </c>
      <c r="I930">
        <v>1</v>
      </c>
      <c r="J930" t="str">
        <f>CONCATENATE(Table2[[#This Row],[Work Experience]],"years")</f>
        <v>1years</v>
      </c>
      <c r="K930" t="str">
        <f>CONCATENATE(Table2[[#This Row],[Family Size2]],"members")</f>
        <v>3members</v>
      </c>
      <c r="L930" t="str">
        <f>CONCATENATE(Table2[[#This Row],[Family Size2]],"members")</f>
        <v>3members</v>
      </c>
      <c r="M930">
        <v>3</v>
      </c>
    </row>
    <row r="931" spans="1:13">
      <c r="A931">
        <v>930</v>
      </c>
      <c r="B931" t="s">
        <v>11</v>
      </c>
      <c r="C931">
        <v>12</v>
      </c>
      <c r="D931" t="str" cm="1">
        <f t="array" ref="D931">_xlfn.IFS(Table2[[#This Row],[Age]]&lt;=11,"Gen A",Table2[[#This Row],[Age]]&lt;=27,"Gen Z",Table2[[#This Row],[Age]]&lt;=43,"Millenials",Table2[[#This Row],[Age]]&lt;=59,"Gen X",Table2[[#This Row],[Age]]&lt;=78,"Baby Boomers",Table2[[#This Row],[Age]]&lt;=96,"Silent",Table2[[#This Row],[Age]]&gt;=97,"Greatest")</f>
        <v>Gen Z</v>
      </c>
      <c r="E931" s="1">
        <v>82382</v>
      </c>
      <c r="F931">
        <v>97</v>
      </c>
      <c r="G931" t="str" cm="1">
        <f t="array" ref="G931">_xlfn.IFS(Table2[[#This Row],[Spending Score (1-100)]]&lt;=25,"Low",Table2[[#This Row],[Spending Score (1-100)]]&lt;=50,"Medium",Table2[[#This Row],[Spending Score (1-100)]]&lt;=75,"High",Table2[[#This Row],[Spending Score (1-100)]]&lt;=100,"Very High")</f>
        <v>Very High</v>
      </c>
      <c r="H931" t="s">
        <v>15</v>
      </c>
      <c r="I931">
        <v>1</v>
      </c>
      <c r="J931" t="str">
        <f>CONCATENATE(Table2[[#This Row],[Work Experience]],"years")</f>
        <v>1years</v>
      </c>
      <c r="K931" t="str">
        <f>CONCATENATE(Table2[[#This Row],[Family Size2]],"members")</f>
        <v>3members</v>
      </c>
      <c r="L931" t="str">
        <f>CONCATENATE(Table2[[#This Row],[Family Size2]],"members")</f>
        <v>3members</v>
      </c>
      <c r="M931">
        <v>3</v>
      </c>
    </row>
    <row r="932" spans="1:13">
      <c r="A932">
        <v>931</v>
      </c>
      <c r="B932" t="s">
        <v>8</v>
      </c>
      <c r="C932">
        <v>82</v>
      </c>
      <c r="D932" t="str" cm="1">
        <f t="array" ref="D932">_xlfn.IFS(Table2[[#This Row],[Age]]&lt;=11,"Gen A",Table2[[#This Row],[Age]]&lt;=27,"Gen Z",Table2[[#This Row],[Age]]&lt;=43,"Millenials",Table2[[#This Row],[Age]]&lt;=59,"Gen X",Table2[[#This Row],[Age]]&lt;=78,"Baby Boomers",Table2[[#This Row],[Age]]&lt;=96,"Silent",Table2[[#This Row],[Age]]&gt;=97,"Greatest")</f>
        <v>Silent</v>
      </c>
      <c r="E932" s="1">
        <v>114776</v>
      </c>
      <c r="F932">
        <v>55</v>
      </c>
      <c r="G932" t="str" cm="1">
        <f t="array" ref="G932">_xlfn.IFS(Table2[[#This Row],[Spending Score (1-100)]]&lt;=25,"Low",Table2[[#This Row],[Spending Score (1-100)]]&lt;=50,"Medium",Table2[[#This Row],[Spending Score (1-100)]]&lt;=75,"High",Table2[[#This Row],[Spending Score (1-100)]]&lt;=100,"Very High")</f>
        <v>High</v>
      </c>
      <c r="H932" t="s">
        <v>13</v>
      </c>
      <c r="I932">
        <v>10</v>
      </c>
      <c r="J932" t="str">
        <f>CONCATENATE(Table2[[#This Row],[Work Experience]],"years")</f>
        <v>10years</v>
      </c>
      <c r="K932" t="str">
        <f>CONCATENATE(Table2[[#This Row],[Family Size2]],"members")</f>
        <v>3members</v>
      </c>
      <c r="L932" t="str">
        <f>CONCATENATE(Table2[[#This Row],[Family Size2]],"members")</f>
        <v>3members</v>
      </c>
      <c r="M932">
        <v>3</v>
      </c>
    </row>
    <row r="933" spans="1:13">
      <c r="A933">
        <v>932</v>
      </c>
      <c r="B933" t="s">
        <v>11</v>
      </c>
      <c r="C933">
        <v>2</v>
      </c>
      <c r="D933" t="str" cm="1">
        <f t="array" ref="D933">_xlfn.IFS(Table2[[#This Row],[Age]]&lt;=11,"Gen A",Table2[[#This Row],[Age]]&lt;=27,"Gen Z",Table2[[#This Row],[Age]]&lt;=43,"Millenials",Table2[[#This Row],[Age]]&lt;=59,"Gen X",Table2[[#This Row],[Age]]&lt;=78,"Baby Boomers",Table2[[#This Row],[Age]]&lt;=96,"Silent",Table2[[#This Row],[Age]]&gt;=97,"Greatest")</f>
        <v>Gen A</v>
      </c>
      <c r="E933" s="1">
        <v>145597</v>
      </c>
      <c r="F933">
        <v>81</v>
      </c>
      <c r="G933" t="str" cm="1">
        <f t="array" ref="G933">_xlfn.IFS(Table2[[#This Row],[Spending Score (1-100)]]&lt;=25,"Low",Table2[[#This Row],[Spending Score (1-100)]]&lt;=50,"Medium",Table2[[#This Row],[Spending Score (1-100)]]&lt;=75,"High",Table2[[#This Row],[Spending Score (1-100)]]&lt;=100,"Very High")</f>
        <v>Very High</v>
      </c>
      <c r="H933" t="s">
        <v>14</v>
      </c>
      <c r="I933">
        <v>1</v>
      </c>
      <c r="J933" t="str">
        <f>CONCATENATE(Table2[[#This Row],[Work Experience]],"years")</f>
        <v>1years</v>
      </c>
      <c r="K933" t="str">
        <f>CONCATENATE(Table2[[#This Row],[Family Size2]],"members")</f>
        <v>6members</v>
      </c>
      <c r="L933" t="str">
        <f>CONCATENATE(Table2[[#This Row],[Family Size2]],"members")</f>
        <v>6members</v>
      </c>
      <c r="M933">
        <v>6</v>
      </c>
    </row>
    <row r="934" spans="1:13">
      <c r="A934">
        <v>933</v>
      </c>
      <c r="B934" t="s">
        <v>8</v>
      </c>
      <c r="C934">
        <v>51</v>
      </c>
      <c r="D934" t="str" cm="1">
        <f t="array" ref="D934">_xlfn.IFS(Table2[[#This Row],[Age]]&lt;=11,"Gen A",Table2[[#This Row],[Age]]&lt;=27,"Gen Z",Table2[[#This Row],[Age]]&lt;=43,"Millenials",Table2[[#This Row],[Age]]&lt;=59,"Gen X",Table2[[#This Row],[Age]]&lt;=78,"Baby Boomers",Table2[[#This Row],[Age]]&lt;=96,"Silent",Table2[[#This Row],[Age]]&gt;=97,"Greatest")</f>
        <v>Gen X</v>
      </c>
      <c r="E934" s="1">
        <v>162072</v>
      </c>
      <c r="F934">
        <v>86</v>
      </c>
      <c r="G934" t="str" cm="1">
        <f t="array" ref="G934">_xlfn.IFS(Table2[[#This Row],[Spending Score (1-100)]]&lt;=25,"Low",Table2[[#This Row],[Spending Score (1-100)]]&lt;=50,"Medium",Table2[[#This Row],[Spending Score (1-100)]]&lt;=75,"High",Table2[[#This Row],[Spending Score (1-100)]]&lt;=100,"Very High")</f>
        <v>Very High</v>
      </c>
      <c r="H934" t="s">
        <v>10</v>
      </c>
      <c r="I934">
        <v>1</v>
      </c>
      <c r="J934" t="str">
        <f>CONCATENATE(Table2[[#This Row],[Work Experience]],"years")</f>
        <v>1years</v>
      </c>
      <c r="K934" t="str">
        <f>CONCATENATE(Table2[[#This Row],[Family Size2]],"members")</f>
        <v>1members</v>
      </c>
      <c r="L934" t="str">
        <f>CONCATENATE(Table2[[#This Row],[Family Size2]],"members")</f>
        <v>1members</v>
      </c>
      <c r="M934">
        <v>1</v>
      </c>
    </row>
    <row r="935" spans="1:13">
      <c r="A935">
        <v>934</v>
      </c>
      <c r="B935" t="s">
        <v>8</v>
      </c>
      <c r="C935">
        <v>63</v>
      </c>
      <c r="D935" t="str" cm="1">
        <f t="array" ref="D935">_xlfn.IFS(Table2[[#This Row],[Age]]&lt;=11,"Gen A",Table2[[#This Row],[Age]]&lt;=27,"Gen Z",Table2[[#This Row],[Age]]&lt;=43,"Millenials",Table2[[#This Row],[Age]]&lt;=59,"Gen X",Table2[[#This Row],[Age]]&lt;=78,"Baby Boomers",Table2[[#This Row],[Age]]&lt;=96,"Silent",Table2[[#This Row],[Age]]&gt;=97,"Greatest")</f>
        <v>Baby Boomers</v>
      </c>
      <c r="E935" s="1">
        <v>172872</v>
      </c>
      <c r="F935">
        <v>11</v>
      </c>
      <c r="G935" t="str" cm="1">
        <f t="array" ref="G935">_xlfn.IFS(Table2[[#This Row],[Spending Score (1-100)]]&lt;=25,"Low",Table2[[#This Row],[Spending Score (1-100)]]&lt;=50,"Medium",Table2[[#This Row],[Spending Score (1-100)]]&lt;=75,"High",Table2[[#This Row],[Spending Score (1-100)]]&lt;=100,"Very High")</f>
        <v>Low</v>
      </c>
      <c r="H935" t="s">
        <v>9</v>
      </c>
      <c r="I935">
        <v>0</v>
      </c>
      <c r="J935" t="str">
        <f>CONCATENATE(Table2[[#This Row],[Work Experience]],"years")</f>
        <v>0years</v>
      </c>
      <c r="K935" t="str">
        <f>CONCATENATE(Table2[[#This Row],[Family Size2]],"members")</f>
        <v>7members</v>
      </c>
      <c r="L935" t="str">
        <f>CONCATENATE(Table2[[#This Row],[Family Size2]],"members")</f>
        <v>7members</v>
      </c>
      <c r="M935">
        <v>7</v>
      </c>
    </row>
    <row r="936" spans="1:13">
      <c r="A936">
        <v>935</v>
      </c>
      <c r="B936" t="s">
        <v>11</v>
      </c>
      <c r="C936">
        <v>30</v>
      </c>
      <c r="D936" t="str" cm="1">
        <f t="array" ref="D936">_xlfn.IFS(Table2[[#This Row],[Age]]&lt;=11,"Gen A",Table2[[#This Row],[Age]]&lt;=27,"Gen Z",Table2[[#This Row],[Age]]&lt;=43,"Millenials",Table2[[#This Row],[Age]]&lt;=59,"Gen X",Table2[[#This Row],[Age]]&lt;=78,"Baby Boomers",Table2[[#This Row],[Age]]&lt;=96,"Silent",Table2[[#This Row],[Age]]&gt;=97,"Greatest")</f>
        <v>Millenials</v>
      </c>
      <c r="E936" s="1">
        <v>182162</v>
      </c>
      <c r="F936">
        <v>6</v>
      </c>
      <c r="G936" t="str" cm="1">
        <f t="array" ref="G936">_xlfn.IFS(Table2[[#This Row],[Spending Score (1-100)]]&lt;=25,"Low",Table2[[#This Row],[Spending Score (1-100)]]&lt;=50,"Medium",Table2[[#This Row],[Spending Score (1-100)]]&lt;=75,"High",Table2[[#This Row],[Spending Score (1-100)]]&lt;=100,"Very High")</f>
        <v>Low</v>
      </c>
      <c r="H936" t="s">
        <v>14</v>
      </c>
      <c r="I936">
        <v>1</v>
      </c>
      <c r="J936" t="str">
        <f>CONCATENATE(Table2[[#This Row],[Work Experience]],"years")</f>
        <v>1years</v>
      </c>
      <c r="K936" t="str">
        <f>CONCATENATE(Table2[[#This Row],[Family Size2]],"members")</f>
        <v>3members</v>
      </c>
      <c r="L936" t="str">
        <f>CONCATENATE(Table2[[#This Row],[Family Size2]],"members")</f>
        <v>3members</v>
      </c>
      <c r="M936">
        <v>3</v>
      </c>
    </row>
    <row r="937" spans="1:13">
      <c r="A937">
        <v>936</v>
      </c>
      <c r="B937" t="s">
        <v>11</v>
      </c>
      <c r="C937">
        <v>68</v>
      </c>
      <c r="D937" t="str" cm="1">
        <f t="array" ref="D937">_xlfn.IFS(Table2[[#This Row],[Age]]&lt;=11,"Gen A",Table2[[#This Row],[Age]]&lt;=27,"Gen Z",Table2[[#This Row],[Age]]&lt;=43,"Millenials",Table2[[#This Row],[Age]]&lt;=59,"Gen X",Table2[[#This Row],[Age]]&lt;=78,"Baby Boomers",Table2[[#This Row],[Age]]&lt;=96,"Silent",Table2[[#This Row],[Age]]&gt;=97,"Greatest")</f>
        <v>Baby Boomers</v>
      </c>
      <c r="E937" s="1">
        <v>71467</v>
      </c>
      <c r="F937">
        <v>81</v>
      </c>
      <c r="G937" t="str" cm="1">
        <f t="array" ref="G937">_xlfn.IFS(Table2[[#This Row],[Spending Score (1-100)]]&lt;=25,"Low",Table2[[#This Row],[Spending Score (1-100)]]&lt;=50,"Medium",Table2[[#This Row],[Spending Score (1-100)]]&lt;=75,"High",Table2[[#This Row],[Spending Score (1-100)]]&lt;=100,"Very High")</f>
        <v>Very High</v>
      </c>
      <c r="H937" t="s">
        <v>14</v>
      </c>
      <c r="I937">
        <v>5</v>
      </c>
      <c r="J937" t="str">
        <f>CONCATENATE(Table2[[#This Row],[Work Experience]],"years")</f>
        <v>5years</v>
      </c>
      <c r="K937" t="str">
        <f>CONCATENATE(Table2[[#This Row],[Family Size2]],"members")</f>
        <v>7members</v>
      </c>
      <c r="L937" t="str">
        <f>CONCATENATE(Table2[[#This Row],[Family Size2]],"members")</f>
        <v>7members</v>
      </c>
      <c r="M937">
        <v>7</v>
      </c>
    </row>
    <row r="938" spans="1:13">
      <c r="A938">
        <v>937</v>
      </c>
      <c r="B938" t="s">
        <v>11</v>
      </c>
      <c r="C938">
        <v>21</v>
      </c>
      <c r="D938" t="str" cm="1">
        <f t="array" ref="D938">_xlfn.IFS(Table2[[#This Row],[Age]]&lt;=11,"Gen A",Table2[[#This Row],[Age]]&lt;=27,"Gen Z",Table2[[#This Row],[Age]]&lt;=43,"Millenials",Table2[[#This Row],[Age]]&lt;=59,"Gen X",Table2[[#This Row],[Age]]&lt;=78,"Baby Boomers",Table2[[#This Row],[Age]]&lt;=96,"Silent",Table2[[#This Row],[Age]]&gt;=97,"Greatest")</f>
        <v>Gen Z</v>
      </c>
      <c r="E938" s="1">
        <v>85568</v>
      </c>
      <c r="F938">
        <v>1</v>
      </c>
      <c r="G938" t="str" cm="1">
        <f t="array" ref="G938">_xlfn.IFS(Table2[[#This Row],[Spending Score (1-100)]]&lt;=25,"Low",Table2[[#This Row],[Spending Score (1-100)]]&lt;=50,"Medium",Table2[[#This Row],[Spending Score (1-100)]]&lt;=75,"High",Table2[[#This Row],[Spending Score (1-100)]]&lt;=100,"Very High")</f>
        <v>Low</v>
      </c>
      <c r="H938" t="s">
        <v>9</v>
      </c>
      <c r="I938">
        <v>0</v>
      </c>
      <c r="J938" t="str">
        <f>CONCATENATE(Table2[[#This Row],[Work Experience]],"years")</f>
        <v>0years</v>
      </c>
      <c r="K938" t="str">
        <f>CONCATENATE(Table2[[#This Row],[Family Size2]],"members")</f>
        <v>6members</v>
      </c>
      <c r="L938" t="str">
        <f>CONCATENATE(Table2[[#This Row],[Family Size2]],"members")</f>
        <v>6members</v>
      </c>
      <c r="M938">
        <v>6</v>
      </c>
    </row>
    <row r="939" spans="1:13">
      <c r="A939">
        <v>938</v>
      </c>
      <c r="B939" t="s">
        <v>11</v>
      </c>
      <c r="C939">
        <v>99</v>
      </c>
      <c r="D939" t="str" cm="1">
        <f t="array" ref="D939">_xlfn.IFS(Table2[[#This Row],[Age]]&lt;=11,"Gen A",Table2[[#This Row],[Age]]&lt;=27,"Gen Z",Table2[[#This Row],[Age]]&lt;=43,"Millenials",Table2[[#This Row],[Age]]&lt;=59,"Gen X",Table2[[#This Row],[Age]]&lt;=78,"Baby Boomers",Table2[[#This Row],[Age]]&lt;=96,"Silent",Table2[[#This Row],[Age]]&gt;=97,"Greatest")</f>
        <v>Greatest</v>
      </c>
      <c r="E939" s="1">
        <v>56851</v>
      </c>
      <c r="F939">
        <v>72</v>
      </c>
      <c r="G939" t="str" cm="1">
        <f t="array" ref="G939">_xlfn.IFS(Table2[[#This Row],[Spending Score (1-100)]]&lt;=25,"Low",Table2[[#This Row],[Spending Score (1-100)]]&lt;=50,"Medium",Table2[[#This Row],[Spending Score (1-100)]]&lt;=75,"High",Table2[[#This Row],[Spending Score (1-100)]]&lt;=100,"Very High")</f>
        <v>High</v>
      </c>
      <c r="H939" t="s">
        <v>13</v>
      </c>
      <c r="I939">
        <v>6</v>
      </c>
      <c r="J939" t="str">
        <f>CONCATENATE(Table2[[#This Row],[Work Experience]],"years")</f>
        <v>6years</v>
      </c>
      <c r="K939" t="str">
        <f>CONCATENATE(Table2[[#This Row],[Family Size2]],"members")</f>
        <v>3members</v>
      </c>
      <c r="L939" t="str">
        <f>CONCATENATE(Table2[[#This Row],[Family Size2]],"members")</f>
        <v>3members</v>
      </c>
      <c r="M939">
        <v>3</v>
      </c>
    </row>
    <row r="940" spans="1:13">
      <c r="A940">
        <v>939</v>
      </c>
      <c r="B940" t="s">
        <v>11</v>
      </c>
      <c r="C940">
        <v>0</v>
      </c>
      <c r="D940" t="str" cm="1">
        <f t="array" ref="D940">_xlfn.IFS(Table2[[#This Row],[Age]]&lt;=11,"Gen A",Table2[[#This Row],[Age]]&lt;=27,"Gen Z",Table2[[#This Row],[Age]]&lt;=43,"Millenials",Table2[[#This Row],[Age]]&lt;=59,"Gen X",Table2[[#This Row],[Age]]&lt;=78,"Baby Boomers",Table2[[#This Row],[Age]]&lt;=96,"Silent",Table2[[#This Row],[Age]]&gt;=97,"Greatest")</f>
        <v>Gen A</v>
      </c>
      <c r="E940" s="1">
        <v>116782</v>
      </c>
      <c r="F940">
        <v>73</v>
      </c>
      <c r="G940" t="str" cm="1">
        <f t="array" ref="G940">_xlfn.IFS(Table2[[#This Row],[Spending Score (1-100)]]&lt;=25,"Low",Table2[[#This Row],[Spending Score (1-100)]]&lt;=50,"Medium",Table2[[#This Row],[Spending Score (1-100)]]&lt;=75,"High",Table2[[#This Row],[Spending Score (1-100)]]&lt;=100,"Very High")</f>
        <v>High</v>
      </c>
      <c r="H940" t="s">
        <v>14</v>
      </c>
      <c r="I940">
        <v>9</v>
      </c>
      <c r="J940" t="str">
        <f>CONCATENATE(Table2[[#This Row],[Work Experience]],"years")</f>
        <v>9years</v>
      </c>
      <c r="K940" t="str">
        <f>CONCATENATE(Table2[[#This Row],[Family Size2]],"members")</f>
        <v>5members</v>
      </c>
      <c r="L940" t="str">
        <f>CONCATENATE(Table2[[#This Row],[Family Size2]],"members")</f>
        <v>5members</v>
      </c>
      <c r="M940">
        <v>5</v>
      </c>
    </row>
    <row r="941" spans="1:13">
      <c r="A941">
        <v>940</v>
      </c>
      <c r="B941" t="s">
        <v>11</v>
      </c>
      <c r="C941">
        <v>80</v>
      </c>
      <c r="D941" t="str" cm="1">
        <f t="array" ref="D941">_xlfn.IFS(Table2[[#This Row],[Age]]&lt;=11,"Gen A",Table2[[#This Row],[Age]]&lt;=27,"Gen Z",Table2[[#This Row],[Age]]&lt;=43,"Millenials",Table2[[#This Row],[Age]]&lt;=59,"Gen X",Table2[[#This Row],[Age]]&lt;=78,"Baby Boomers",Table2[[#This Row],[Age]]&lt;=96,"Silent",Table2[[#This Row],[Age]]&gt;=97,"Greatest")</f>
        <v>Silent</v>
      </c>
      <c r="E941" s="1">
        <v>67781</v>
      </c>
      <c r="F941">
        <v>1</v>
      </c>
      <c r="G941" t="str" cm="1">
        <f t="array" ref="G941">_xlfn.IFS(Table2[[#This Row],[Spending Score (1-100)]]&lt;=25,"Low",Table2[[#This Row],[Spending Score (1-100)]]&lt;=50,"Medium",Table2[[#This Row],[Spending Score (1-100)]]&lt;=75,"High",Table2[[#This Row],[Spending Score (1-100)]]&lt;=100,"Very High")</f>
        <v>Low</v>
      </c>
      <c r="H941" t="s">
        <v>13</v>
      </c>
      <c r="I941">
        <v>4</v>
      </c>
      <c r="J941" t="str">
        <f>CONCATENATE(Table2[[#This Row],[Work Experience]],"years")</f>
        <v>4years</v>
      </c>
      <c r="K941" t="str">
        <f>CONCATENATE(Table2[[#This Row],[Family Size2]],"members")</f>
        <v>4members</v>
      </c>
      <c r="L941" t="str">
        <f>CONCATENATE(Table2[[#This Row],[Family Size2]],"members")</f>
        <v>4members</v>
      </c>
      <c r="M941">
        <v>4</v>
      </c>
    </row>
    <row r="942" spans="1:13">
      <c r="A942">
        <v>941</v>
      </c>
      <c r="B942" t="s">
        <v>11</v>
      </c>
      <c r="C942">
        <v>51</v>
      </c>
      <c r="D942" t="str" cm="1">
        <f t="array" ref="D942">_xlfn.IFS(Table2[[#This Row],[Age]]&lt;=11,"Gen A",Table2[[#This Row],[Age]]&lt;=27,"Gen Z",Table2[[#This Row],[Age]]&lt;=43,"Millenials",Table2[[#This Row],[Age]]&lt;=59,"Gen X",Table2[[#This Row],[Age]]&lt;=78,"Baby Boomers",Table2[[#This Row],[Age]]&lt;=96,"Silent",Table2[[#This Row],[Age]]&gt;=97,"Greatest")</f>
        <v>Gen X</v>
      </c>
      <c r="E942" s="1">
        <v>70152</v>
      </c>
      <c r="F942">
        <v>29</v>
      </c>
      <c r="G942" t="str" cm="1">
        <f t="array" ref="G942">_xlfn.IFS(Table2[[#This Row],[Spending Score (1-100)]]&lt;=25,"Low",Table2[[#This Row],[Spending Score (1-100)]]&lt;=50,"Medium",Table2[[#This Row],[Spending Score (1-100)]]&lt;=75,"High",Table2[[#This Row],[Spending Score (1-100)]]&lt;=100,"Very High")</f>
        <v>Medium</v>
      </c>
      <c r="H942" t="s">
        <v>9</v>
      </c>
      <c r="I942">
        <v>0</v>
      </c>
      <c r="J942" t="str">
        <f>CONCATENATE(Table2[[#This Row],[Work Experience]],"years")</f>
        <v>0years</v>
      </c>
      <c r="K942" t="str">
        <f>CONCATENATE(Table2[[#This Row],[Family Size2]],"members")</f>
        <v>2members</v>
      </c>
      <c r="L942" t="str">
        <f>CONCATENATE(Table2[[#This Row],[Family Size2]],"members")</f>
        <v>2members</v>
      </c>
      <c r="M942">
        <v>2</v>
      </c>
    </row>
    <row r="943" spans="1:13">
      <c r="A943">
        <v>942</v>
      </c>
      <c r="B943" t="s">
        <v>8</v>
      </c>
      <c r="C943">
        <v>18</v>
      </c>
      <c r="D943" t="str" cm="1">
        <f t="array" ref="D943">_xlfn.IFS(Table2[[#This Row],[Age]]&lt;=11,"Gen A",Table2[[#This Row],[Age]]&lt;=27,"Gen Z",Table2[[#This Row],[Age]]&lt;=43,"Millenials",Table2[[#This Row],[Age]]&lt;=59,"Gen X",Table2[[#This Row],[Age]]&lt;=78,"Baby Boomers",Table2[[#This Row],[Age]]&lt;=96,"Silent",Table2[[#This Row],[Age]]&gt;=97,"Greatest")</f>
        <v>Gen Z</v>
      </c>
      <c r="E943" s="1">
        <v>185861</v>
      </c>
      <c r="F943">
        <v>82</v>
      </c>
      <c r="G943" t="str" cm="1">
        <f t="array" ref="G943">_xlfn.IFS(Table2[[#This Row],[Spending Score (1-100)]]&lt;=25,"Low",Table2[[#This Row],[Spending Score (1-100)]]&lt;=50,"Medium",Table2[[#This Row],[Spending Score (1-100)]]&lt;=75,"High",Table2[[#This Row],[Spending Score (1-100)]]&lt;=100,"Very High")</f>
        <v>Very High</v>
      </c>
      <c r="H943" t="s">
        <v>14</v>
      </c>
      <c r="I943">
        <v>3</v>
      </c>
      <c r="J943" t="str">
        <f>CONCATENATE(Table2[[#This Row],[Work Experience]],"years")</f>
        <v>3years</v>
      </c>
      <c r="K943" t="str">
        <f>CONCATENATE(Table2[[#This Row],[Family Size2]],"members")</f>
        <v>6members</v>
      </c>
      <c r="L943" t="str">
        <f>CONCATENATE(Table2[[#This Row],[Family Size2]],"members")</f>
        <v>6members</v>
      </c>
      <c r="M943">
        <v>6</v>
      </c>
    </row>
    <row r="944" spans="1:13">
      <c r="A944">
        <v>943</v>
      </c>
      <c r="B944" t="s">
        <v>8</v>
      </c>
      <c r="C944">
        <v>43</v>
      </c>
      <c r="D944" t="str" cm="1">
        <f t="array" ref="D944">_xlfn.IFS(Table2[[#This Row],[Age]]&lt;=11,"Gen A",Table2[[#This Row],[Age]]&lt;=27,"Gen Z",Table2[[#This Row],[Age]]&lt;=43,"Millenials",Table2[[#This Row],[Age]]&lt;=59,"Gen X",Table2[[#This Row],[Age]]&lt;=78,"Baby Boomers",Table2[[#This Row],[Age]]&lt;=96,"Silent",Table2[[#This Row],[Age]]&gt;=97,"Greatest")</f>
        <v>Millenials</v>
      </c>
      <c r="E944" s="1">
        <v>162595</v>
      </c>
      <c r="F944">
        <v>17</v>
      </c>
      <c r="G944" t="str" cm="1">
        <f t="array" ref="G944">_xlfn.IFS(Table2[[#This Row],[Spending Score (1-100)]]&lt;=25,"Low",Table2[[#This Row],[Spending Score (1-100)]]&lt;=50,"Medium",Table2[[#This Row],[Spending Score (1-100)]]&lt;=75,"High",Table2[[#This Row],[Spending Score (1-100)]]&lt;=100,"Very High")</f>
        <v>Low</v>
      </c>
      <c r="H944" t="s">
        <v>14</v>
      </c>
      <c r="I944">
        <v>3</v>
      </c>
      <c r="J944" t="str">
        <f>CONCATENATE(Table2[[#This Row],[Work Experience]],"years")</f>
        <v>3years</v>
      </c>
      <c r="K944" t="str">
        <f>CONCATENATE(Table2[[#This Row],[Family Size2]],"members")</f>
        <v>3members</v>
      </c>
      <c r="L944" t="str">
        <f>CONCATENATE(Table2[[#This Row],[Family Size2]],"members")</f>
        <v>3members</v>
      </c>
      <c r="M944">
        <v>3</v>
      </c>
    </row>
    <row r="945" spans="1:13">
      <c r="A945">
        <v>944</v>
      </c>
      <c r="B945" t="s">
        <v>11</v>
      </c>
      <c r="C945">
        <v>29</v>
      </c>
      <c r="D945" t="str" cm="1">
        <f t="array" ref="D945">_xlfn.IFS(Table2[[#This Row],[Age]]&lt;=11,"Gen A",Table2[[#This Row],[Age]]&lt;=27,"Gen Z",Table2[[#This Row],[Age]]&lt;=43,"Millenials",Table2[[#This Row],[Age]]&lt;=59,"Gen X",Table2[[#This Row],[Age]]&lt;=78,"Baby Boomers",Table2[[#This Row],[Age]]&lt;=96,"Silent",Table2[[#This Row],[Age]]&gt;=97,"Greatest")</f>
        <v>Millenials</v>
      </c>
      <c r="E945" s="1">
        <v>80098</v>
      </c>
      <c r="F945">
        <v>54</v>
      </c>
      <c r="G945" t="str" cm="1">
        <f t="array" ref="G945">_xlfn.IFS(Table2[[#This Row],[Spending Score (1-100)]]&lt;=25,"Low",Table2[[#This Row],[Spending Score (1-100)]]&lt;=50,"Medium",Table2[[#This Row],[Spending Score (1-100)]]&lt;=75,"High",Table2[[#This Row],[Spending Score (1-100)]]&lt;=100,"Very High")</f>
        <v>High</v>
      </c>
      <c r="H945" t="s">
        <v>12</v>
      </c>
      <c r="I945">
        <v>10</v>
      </c>
      <c r="J945" t="str">
        <f>CONCATENATE(Table2[[#This Row],[Work Experience]],"years")</f>
        <v>10years</v>
      </c>
      <c r="K945" t="str">
        <f>CONCATENATE(Table2[[#This Row],[Family Size2]],"members")</f>
        <v>6members</v>
      </c>
      <c r="L945" t="str">
        <f>CONCATENATE(Table2[[#This Row],[Family Size2]],"members")</f>
        <v>6members</v>
      </c>
      <c r="M945">
        <v>6</v>
      </c>
    </row>
    <row r="946" spans="1:13">
      <c r="A946">
        <v>945</v>
      </c>
      <c r="B946" t="s">
        <v>11</v>
      </c>
      <c r="C946">
        <v>20</v>
      </c>
      <c r="D946" t="str" cm="1">
        <f t="array" ref="D946">_xlfn.IFS(Table2[[#This Row],[Age]]&lt;=11,"Gen A",Table2[[#This Row],[Age]]&lt;=27,"Gen Z",Table2[[#This Row],[Age]]&lt;=43,"Millenials",Table2[[#This Row],[Age]]&lt;=59,"Gen X",Table2[[#This Row],[Age]]&lt;=78,"Baby Boomers",Table2[[#This Row],[Age]]&lt;=96,"Silent",Table2[[#This Row],[Age]]&gt;=97,"Greatest")</f>
        <v>Gen Z</v>
      </c>
      <c r="E946" s="1">
        <v>184801</v>
      </c>
      <c r="F946">
        <v>8</v>
      </c>
      <c r="G946" t="str" cm="1">
        <f t="array" ref="G946">_xlfn.IFS(Table2[[#This Row],[Spending Score (1-100)]]&lt;=25,"Low",Table2[[#This Row],[Spending Score (1-100)]]&lt;=50,"Medium",Table2[[#This Row],[Spending Score (1-100)]]&lt;=75,"High",Table2[[#This Row],[Spending Score (1-100)]]&lt;=100,"Very High")</f>
        <v>Low</v>
      </c>
      <c r="H946" t="s">
        <v>12</v>
      </c>
      <c r="I946">
        <v>1</v>
      </c>
      <c r="J946" t="str">
        <f>CONCATENATE(Table2[[#This Row],[Work Experience]],"years")</f>
        <v>1years</v>
      </c>
      <c r="K946" t="str">
        <f>CONCATENATE(Table2[[#This Row],[Family Size2]],"members")</f>
        <v>1members</v>
      </c>
      <c r="L946" t="str">
        <f>CONCATENATE(Table2[[#This Row],[Family Size2]],"members")</f>
        <v>1members</v>
      </c>
      <c r="M946">
        <v>1</v>
      </c>
    </row>
    <row r="947" spans="1:13">
      <c r="A947">
        <v>946</v>
      </c>
      <c r="B947" t="s">
        <v>11</v>
      </c>
      <c r="C947">
        <v>39</v>
      </c>
      <c r="D947" t="str" cm="1">
        <f t="array" ref="D947">_xlfn.IFS(Table2[[#This Row],[Age]]&lt;=11,"Gen A",Table2[[#This Row],[Age]]&lt;=27,"Gen Z",Table2[[#This Row],[Age]]&lt;=43,"Millenials",Table2[[#This Row],[Age]]&lt;=59,"Gen X",Table2[[#This Row],[Age]]&lt;=78,"Baby Boomers",Table2[[#This Row],[Age]]&lt;=96,"Silent",Table2[[#This Row],[Age]]&gt;=97,"Greatest")</f>
        <v>Millenials</v>
      </c>
      <c r="E947" s="1">
        <v>58908</v>
      </c>
      <c r="F947">
        <v>37</v>
      </c>
      <c r="G947" t="str" cm="1">
        <f t="array" ref="G947">_xlfn.IFS(Table2[[#This Row],[Spending Score (1-100)]]&lt;=25,"Low",Table2[[#This Row],[Spending Score (1-100)]]&lt;=50,"Medium",Table2[[#This Row],[Spending Score (1-100)]]&lt;=75,"High",Table2[[#This Row],[Spending Score (1-100)]]&lt;=100,"Very High")</f>
        <v>Medium</v>
      </c>
      <c r="H947" t="s">
        <v>14</v>
      </c>
      <c r="I947">
        <v>6</v>
      </c>
      <c r="J947" t="str">
        <f>CONCATENATE(Table2[[#This Row],[Work Experience]],"years")</f>
        <v>6years</v>
      </c>
      <c r="K947" t="str">
        <f>CONCATENATE(Table2[[#This Row],[Family Size2]],"members")</f>
        <v>6members</v>
      </c>
      <c r="L947" t="str">
        <f>CONCATENATE(Table2[[#This Row],[Family Size2]],"members")</f>
        <v>6members</v>
      </c>
      <c r="M947">
        <v>6</v>
      </c>
    </row>
    <row r="948" spans="1:13">
      <c r="A948">
        <v>947</v>
      </c>
      <c r="B948" t="s">
        <v>11</v>
      </c>
      <c r="C948">
        <v>9</v>
      </c>
      <c r="D948" t="str" cm="1">
        <f t="array" ref="D948">_xlfn.IFS(Table2[[#This Row],[Age]]&lt;=11,"Gen A",Table2[[#This Row],[Age]]&lt;=27,"Gen Z",Table2[[#This Row],[Age]]&lt;=43,"Millenials",Table2[[#This Row],[Age]]&lt;=59,"Gen X",Table2[[#This Row],[Age]]&lt;=78,"Baby Boomers",Table2[[#This Row],[Age]]&lt;=96,"Silent",Table2[[#This Row],[Age]]&gt;=97,"Greatest")</f>
        <v>Gen A</v>
      </c>
      <c r="E948" s="1">
        <v>146011</v>
      </c>
      <c r="F948">
        <v>69</v>
      </c>
      <c r="G948" t="str" cm="1">
        <f t="array" ref="G948">_xlfn.IFS(Table2[[#This Row],[Spending Score (1-100)]]&lt;=25,"Low",Table2[[#This Row],[Spending Score (1-100)]]&lt;=50,"Medium",Table2[[#This Row],[Spending Score (1-100)]]&lt;=75,"High",Table2[[#This Row],[Spending Score (1-100)]]&lt;=100,"Very High")</f>
        <v>High</v>
      </c>
      <c r="H948" t="s">
        <v>18</v>
      </c>
      <c r="I948">
        <v>9</v>
      </c>
      <c r="J948" t="str">
        <f>CONCATENATE(Table2[[#This Row],[Work Experience]],"years")</f>
        <v>9years</v>
      </c>
      <c r="K948" t="str">
        <f>CONCATENATE(Table2[[#This Row],[Family Size2]],"members")</f>
        <v>5members</v>
      </c>
      <c r="L948" t="str">
        <f>CONCATENATE(Table2[[#This Row],[Family Size2]],"members")</f>
        <v>5members</v>
      </c>
      <c r="M948">
        <v>5</v>
      </c>
    </row>
    <row r="949" spans="1:13">
      <c r="A949">
        <v>948</v>
      </c>
      <c r="B949" t="s">
        <v>11</v>
      </c>
      <c r="C949">
        <v>45</v>
      </c>
      <c r="D949" t="str" cm="1">
        <f t="array" ref="D949">_xlfn.IFS(Table2[[#This Row],[Age]]&lt;=11,"Gen A",Table2[[#This Row],[Age]]&lt;=27,"Gen Z",Table2[[#This Row],[Age]]&lt;=43,"Millenials",Table2[[#This Row],[Age]]&lt;=59,"Gen X",Table2[[#This Row],[Age]]&lt;=78,"Baby Boomers",Table2[[#This Row],[Age]]&lt;=96,"Silent",Table2[[#This Row],[Age]]&gt;=97,"Greatest")</f>
        <v>Gen X</v>
      </c>
      <c r="E949" s="1">
        <v>135174</v>
      </c>
      <c r="F949">
        <v>39</v>
      </c>
      <c r="G949" t="str" cm="1">
        <f t="array" ref="G949">_xlfn.IFS(Table2[[#This Row],[Spending Score (1-100)]]&lt;=25,"Low",Table2[[#This Row],[Spending Score (1-100)]]&lt;=50,"Medium",Table2[[#This Row],[Spending Score (1-100)]]&lt;=75,"High",Table2[[#This Row],[Spending Score (1-100)]]&lt;=100,"Very High")</f>
        <v>Medium</v>
      </c>
      <c r="H949" t="s">
        <v>14</v>
      </c>
      <c r="I949">
        <v>9</v>
      </c>
      <c r="J949" t="str">
        <f>CONCATENATE(Table2[[#This Row],[Work Experience]],"years")</f>
        <v>9years</v>
      </c>
      <c r="K949" t="str">
        <f>CONCATENATE(Table2[[#This Row],[Family Size2]],"members")</f>
        <v>4members</v>
      </c>
      <c r="L949" t="str">
        <f>CONCATENATE(Table2[[#This Row],[Family Size2]],"members")</f>
        <v>4members</v>
      </c>
      <c r="M949">
        <v>4</v>
      </c>
    </row>
    <row r="950" spans="1:13">
      <c r="A950">
        <v>949</v>
      </c>
      <c r="B950" t="s">
        <v>11</v>
      </c>
      <c r="C950">
        <v>65</v>
      </c>
      <c r="D950" t="str" cm="1">
        <f t="array" ref="D950">_xlfn.IFS(Table2[[#This Row],[Age]]&lt;=11,"Gen A",Table2[[#This Row],[Age]]&lt;=27,"Gen Z",Table2[[#This Row],[Age]]&lt;=43,"Millenials",Table2[[#This Row],[Age]]&lt;=59,"Gen X",Table2[[#This Row],[Age]]&lt;=78,"Baby Boomers",Table2[[#This Row],[Age]]&lt;=96,"Silent",Table2[[#This Row],[Age]]&gt;=97,"Greatest")</f>
        <v>Baby Boomers</v>
      </c>
      <c r="E950" s="1">
        <v>114244</v>
      </c>
      <c r="F950">
        <v>64</v>
      </c>
      <c r="G950" t="str" cm="1">
        <f t="array" ref="G950">_xlfn.IFS(Table2[[#This Row],[Spending Score (1-100)]]&lt;=25,"Low",Table2[[#This Row],[Spending Score (1-100)]]&lt;=50,"Medium",Table2[[#This Row],[Spending Score (1-100)]]&lt;=75,"High",Table2[[#This Row],[Spending Score (1-100)]]&lt;=100,"Very High")</f>
        <v>High</v>
      </c>
      <c r="H950" t="s">
        <v>14</v>
      </c>
      <c r="I950">
        <v>0</v>
      </c>
      <c r="J950" t="str">
        <f>CONCATENATE(Table2[[#This Row],[Work Experience]],"years")</f>
        <v>0years</v>
      </c>
      <c r="K950" t="str">
        <f>CONCATENATE(Table2[[#This Row],[Family Size2]],"members")</f>
        <v>1members</v>
      </c>
      <c r="L950" t="str">
        <f>CONCATENATE(Table2[[#This Row],[Family Size2]],"members")</f>
        <v>1members</v>
      </c>
      <c r="M950">
        <v>1</v>
      </c>
    </row>
    <row r="951" spans="1:13">
      <c r="A951">
        <v>950</v>
      </c>
      <c r="B951" t="s">
        <v>11</v>
      </c>
      <c r="C951">
        <v>64</v>
      </c>
      <c r="D951" t="str" cm="1">
        <f t="array" ref="D951">_xlfn.IFS(Table2[[#This Row],[Age]]&lt;=11,"Gen A",Table2[[#This Row],[Age]]&lt;=27,"Gen Z",Table2[[#This Row],[Age]]&lt;=43,"Millenials",Table2[[#This Row],[Age]]&lt;=59,"Gen X",Table2[[#This Row],[Age]]&lt;=78,"Baby Boomers",Table2[[#This Row],[Age]]&lt;=96,"Silent",Table2[[#This Row],[Age]]&gt;=97,"Greatest")</f>
        <v>Baby Boomers</v>
      </c>
      <c r="E951" s="1">
        <v>157207</v>
      </c>
      <c r="F951">
        <v>52</v>
      </c>
      <c r="G951" t="str" cm="1">
        <f t="array" ref="G951">_xlfn.IFS(Table2[[#This Row],[Spending Score (1-100)]]&lt;=25,"Low",Table2[[#This Row],[Spending Score (1-100)]]&lt;=50,"Medium",Table2[[#This Row],[Spending Score (1-100)]]&lt;=75,"High",Table2[[#This Row],[Spending Score (1-100)]]&lt;=100,"Very High")</f>
        <v>High</v>
      </c>
      <c r="H951" t="s">
        <v>9</v>
      </c>
      <c r="I951">
        <v>0</v>
      </c>
      <c r="J951" t="str">
        <f>CONCATENATE(Table2[[#This Row],[Work Experience]],"years")</f>
        <v>0years</v>
      </c>
      <c r="K951" t="str">
        <f>CONCATENATE(Table2[[#This Row],[Family Size2]],"members")</f>
        <v>4members</v>
      </c>
      <c r="L951" t="str">
        <f>CONCATENATE(Table2[[#This Row],[Family Size2]],"members")</f>
        <v>4members</v>
      </c>
      <c r="M951">
        <v>4</v>
      </c>
    </row>
    <row r="952" spans="1:13">
      <c r="A952">
        <v>951</v>
      </c>
      <c r="B952" t="s">
        <v>11</v>
      </c>
      <c r="C952">
        <v>81</v>
      </c>
      <c r="D952" t="str" cm="1">
        <f t="array" ref="D952">_xlfn.IFS(Table2[[#This Row],[Age]]&lt;=11,"Gen A",Table2[[#This Row],[Age]]&lt;=27,"Gen Z",Table2[[#This Row],[Age]]&lt;=43,"Millenials",Table2[[#This Row],[Age]]&lt;=59,"Gen X",Table2[[#This Row],[Age]]&lt;=78,"Baby Boomers",Table2[[#This Row],[Age]]&lt;=96,"Silent",Table2[[#This Row],[Age]]&gt;=97,"Greatest")</f>
        <v>Silent</v>
      </c>
      <c r="E952" s="1">
        <v>128834</v>
      </c>
      <c r="F952">
        <v>23</v>
      </c>
      <c r="G952" t="str" cm="1">
        <f t="array" ref="G952">_xlfn.IFS(Table2[[#This Row],[Spending Score (1-100)]]&lt;=25,"Low",Table2[[#This Row],[Spending Score (1-100)]]&lt;=50,"Medium",Table2[[#This Row],[Spending Score (1-100)]]&lt;=75,"High",Table2[[#This Row],[Spending Score (1-100)]]&lt;=100,"Very High")</f>
        <v>Low</v>
      </c>
      <c r="H952" t="s">
        <v>13</v>
      </c>
      <c r="I952">
        <v>5</v>
      </c>
      <c r="J952" t="str">
        <f>CONCATENATE(Table2[[#This Row],[Work Experience]],"years")</f>
        <v>5years</v>
      </c>
      <c r="K952" t="str">
        <f>CONCATENATE(Table2[[#This Row],[Family Size2]],"members")</f>
        <v>4members</v>
      </c>
      <c r="L952" t="str">
        <f>CONCATENATE(Table2[[#This Row],[Family Size2]],"members")</f>
        <v>4members</v>
      </c>
      <c r="M952">
        <v>4</v>
      </c>
    </row>
    <row r="953" spans="1:13">
      <c r="A953">
        <v>952</v>
      </c>
      <c r="B953" t="s">
        <v>8</v>
      </c>
      <c r="C953">
        <v>54</v>
      </c>
      <c r="D953" t="str" cm="1">
        <f t="array" ref="D953">_xlfn.IFS(Table2[[#This Row],[Age]]&lt;=11,"Gen A",Table2[[#This Row],[Age]]&lt;=27,"Gen Z",Table2[[#This Row],[Age]]&lt;=43,"Millenials",Table2[[#This Row],[Age]]&lt;=59,"Gen X",Table2[[#This Row],[Age]]&lt;=78,"Baby Boomers",Table2[[#This Row],[Age]]&lt;=96,"Silent",Table2[[#This Row],[Age]]&gt;=97,"Greatest")</f>
        <v>Gen X</v>
      </c>
      <c r="E953" s="1">
        <v>51166</v>
      </c>
      <c r="F953">
        <v>24</v>
      </c>
      <c r="G953" t="str" cm="1">
        <f t="array" ref="G953">_xlfn.IFS(Table2[[#This Row],[Spending Score (1-100)]]&lt;=25,"Low",Table2[[#This Row],[Spending Score (1-100)]]&lt;=50,"Medium",Table2[[#This Row],[Spending Score (1-100)]]&lt;=75,"High",Table2[[#This Row],[Spending Score (1-100)]]&lt;=100,"Very High")</f>
        <v>Low</v>
      </c>
      <c r="H953" t="s">
        <v>13</v>
      </c>
      <c r="I953">
        <v>0</v>
      </c>
      <c r="J953" t="str">
        <f>CONCATENATE(Table2[[#This Row],[Work Experience]],"years")</f>
        <v>0years</v>
      </c>
      <c r="K953" t="str">
        <f>CONCATENATE(Table2[[#This Row],[Family Size2]],"members")</f>
        <v>7members</v>
      </c>
      <c r="L953" t="str">
        <f>CONCATENATE(Table2[[#This Row],[Family Size2]],"members")</f>
        <v>7members</v>
      </c>
      <c r="M953">
        <v>7</v>
      </c>
    </row>
    <row r="954" spans="1:13">
      <c r="A954">
        <v>953</v>
      </c>
      <c r="B954" t="s">
        <v>11</v>
      </c>
      <c r="C954">
        <v>32</v>
      </c>
      <c r="D954" t="str" cm="1">
        <f t="array" ref="D954">_xlfn.IFS(Table2[[#This Row],[Age]]&lt;=11,"Gen A",Table2[[#This Row],[Age]]&lt;=27,"Gen Z",Table2[[#This Row],[Age]]&lt;=43,"Millenials",Table2[[#This Row],[Age]]&lt;=59,"Gen X",Table2[[#This Row],[Age]]&lt;=78,"Baby Boomers",Table2[[#This Row],[Age]]&lt;=96,"Silent",Table2[[#This Row],[Age]]&gt;=97,"Greatest")</f>
        <v>Millenials</v>
      </c>
      <c r="E954" s="1">
        <v>130118</v>
      </c>
      <c r="F954">
        <v>36</v>
      </c>
      <c r="G954" t="str" cm="1">
        <f t="array" ref="G954">_xlfn.IFS(Table2[[#This Row],[Spending Score (1-100)]]&lt;=25,"Low",Table2[[#This Row],[Spending Score (1-100)]]&lt;=50,"Medium",Table2[[#This Row],[Spending Score (1-100)]]&lt;=75,"High",Table2[[#This Row],[Spending Score (1-100)]]&lt;=100,"Very High")</f>
        <v>Medium</v>
      </c>
      <c r="H954" t="s">
        <v>14</v>
      </c>
      <c r="I954">
        <v>0</v>
      </c>
      <c r="J954" t="str">
        <f>CONCATENATE(Table2[[#This Row],[Work Experience]],"years")</f>
        <v>0years</v>
      </c>
      <c r="K954" t="str">
        <f>CONCATENATE(Table2[[#This Row],[Family Size2]],"members")</f>
        <v>4members</v>
      </c>
      <c r="L954" t="str">
        <f>CONCATENATE(Table2[[#This Row],[Family Size2]],"members")</f>
        <v>4members</v>
      </c>
      <c r="M954">
        <v>4</v>
      </c>
    </row>
    <row r="955" spans="1:13">
      <c r="A955">
        <v>954</v>
      </c>
      <c r="B955" t="s">
        <v>8</v>
      </c>
      <c r="C955">
        <v>29</v>
      </c>
      <c r="D955" t="str" cm="1">
        <f t="array" ref="D955">_xlfn.IFS(Table2[[#This Row],[Age]]&lt;=11,"Gen A",Table2[[#This Row],[Age]]&lt;=27,"Gen Z",Table2[[#This Row],[Age]]&lt;=43,"Millenials",Table2[[#This Row],[Age]]&lt;=59,"Gen X",Table2[[#This Row],[Age]]&lt;=78,"Baby Boomers",Table2[[#This Row],[Age]]&lt;=96,"Silent",Table2[[#This Row],[Age]]&gt;=97,"Greatest")</f>
        <v>Millenials</v>
      </c>
      <c r="E955" s="1">
        <v>87014</v>
      </c>
      <c r="F955">
        <v>71</v>
      </c>
      <c r="G955" t="str" cm="1">
        <f t="array" ref="G955">_xlfn.IFS(Table2[[#This Row],[Spending Score (1-100)]]&lt;=25,"Low",Table2[[#This Row],[Spending Score (1-100)]]&lt;=50,"Medium",Table2[[#This Row],[Spending Score (1-100)]]&lt;=75,"High",Table2[[#This Row],[Spending Score (1-100)]]&lt;=100,"Very High")</f>
        <v>High</v>
      </c>
      <c r="H955" t="s">
        <v>16</v>
      </c>
      <c r="I955">
        <v>11</v>
      </c>
      <c r="J955" t="str">
        <f>CONCATENATE(Table2[[#This Row],[Work Experience]],"years")</f>
        <v>11years</v>
      </c>
      <c r="K955" t="str">
        <f>CONCATENATE(Table2[[#This Row],[Family Size2]],"members")</f>
        <v>4members</v>
      </c>
      <c r="L955" t="str">
        <f>CONCATENATE(Table2[[#This Row],[Family Size2]],"members")</f>
        <v>4members</v>
      </c>
      <c r="M955">
        <v>4</v>
      </c>
    </row>
    <row r="956" spans="1:13">
      <c r="A956">
        <v>955</v>
      </c>
      <c r="B956" t="s">
        <v>11</v>
      </c>
      <c r="C956">
        <v>25</v>
      </c>
      <c r="D956" t="str" cm="1">
        <f t="array" ref="D956">_xlfn.IFS(Table2[[#This Row],[Age]]&lt;=11,"Gen A",Table2[[#This Row],[Age]]&lt;=27,"Gen Z",Table2[[#This Row],[Age]]&lt;=43,"Millenials",Table2[[#This Row],[Age]]&lt;=59,"Gen X",Table2[[#This Row],[Age]]&lt;=78,"Baby Boomers",Table2[[#This Row],[Age]]&lt;=96,"Silent",Table2[[#This Row],[Age]]&gt;=97,"Greatest")</f>
        <v>Gen Z</v>
      </c>
      <c r="E956" s="1">
        <v>111379</v>
      </c>
      <c r="F956">
        <v>93</v>
      </c>
      <c r="G956" t="str" cm="1">
        <f t="array" ref="G956">_xlfn.IFS(Table2[[#This Row],[Spending Score (1-100)]]&lt;=25,"Low",Table2[[#This Row],[Spending Score (1-100)]]&lt;=50,"Medium",Table2[[#This Row],[Spending Score (1-100)]]&lt;=75,"High",Table2[[#This Row],[Spending Score (1-100)]]&lt;=100,"Very High")</f>
        <v>Very High</v>
      </c>
      <c r="H956" t="s">
        <v>14</v>
      </c>
      <c r="I956">
        <v>0</v>
      </c>
      <c r="J956" t="str">
        <f>CONCATENATE(Table2[[#This Row],[Work Experience]],"years")</f>
        <v>0years</v>
      </c>
      <c r="K956" t="str">
        <f>CONCATENATE(Table2[[#This Row],[Family Size2]],"members")</f>
        <v>2members</v>
      </c>
      <c r="L956" t="str">
        <f>CONCATENATE(Table2[[#This Row],[Family Size2]],"members")</f>
        <v>2members</v>
      </c>
      <c r="M956">
        <v>2</v>
      </c>
    </row>
    <row r="957" spans="1:13">
      <c r="A957">
        <v>956</v>
      </c>
      <c r="B957" t="s">
        <v>8</v>
      </c>
      <c r="C957">
        <v>5</v>
      </c>
      <c r="D957" t="str" cm="1">
        <f t="array" ref="D957">_xlfn.IFS(Table2[[#This Row],[Age]]&lt;=11,"Gen A",Table2[[#This Row],[Age]]&lt;=27,"Gen Z",Table2[[#This Row],[Age]]&lt;=43,"Millenials",Table2[[#This Row],[Age]]&lt;=59,"Gen X",Table2[[#This Row],[Age]]&lt;=78,"Baby Boomers",Table2[[#This Row],[Age]]&lt;=96,"Silent",Table2[[#This Row],[Age]]&gt;=97,"Greatest")</f>
        <v>Gen A</v>
      </c>
      <c r="E957" s="1">
        <v>83704</v>
      </c>
      <c r="F957">
        <v>82</v>
      </c>
      <c r="G957" t="str" cm="1">
        <f t="array" ref="G957">_xlfn.IFS(Table2[[#This Row],[Spending Score (1-100)]]&lt;=25,"Low",Table2[[#This Row],[Spending Score (1-100)]]&lt;=50,"Medium",Table2[[#This Row],[Spending Score (1-100)]]&lt;=75,"High",Table2[[#This Row],[Spending Score (1-100)]]&lt;=100,"Very High")</f>
        <v>Very High</v>
      </c>
      <c r="H957" t="s">
        <v>13</v>
      </c>
      <c r="I957">
        <v>1</v>
      </c>
      <c r="J957" t="str">
        <f>CONCATENATE(Table2[[#This Row],[Work Experience]],"years")</f>
        <v>1years</v>
      </c>
      <c r="K957" t="str">
        <f>CONCATENATE(Table2[[#This Row],[Family Size2]],"members")</f>
        <v>1members</v>
      </c>
      <c r="L957" t="str">
        <f>CONCATENATE(Table2[[#This Row],[Family Size2]],"members")</f>
        <v>1members</v>
      </c>
      <c r="M957">
        <v>1</v>
      </c>
    </row>
    <row r="958" spans="1:13">
      <c r="A958">
        <v>957</v>
      </c>
      <c r="B958" t="s">
        <v>11</v>
      </c>
      <c r="C958">
        <v>55</v>
      </c>
      <c r="D958" t="str" cm="1">
        <f t="array" ref="D958">_xlfn.IFS(Table2[[#This Row],[Age]]&lt;=11,"Gen A",Table2[[#This Row],[Age]]&lt;=27,"Gen Z",Table2[[#This Row],[Age]]&lt;=43,"Millenials",Table2[[#This Row],[Age]]&lt;=59,"Gen X",Table2[[#This Row],[Age]]&lt;=78,"Baby Boomers",Table2[[#This Row],[Age]]&lt;=96,"Silent",Table2[[#This Row],[Age]]&gt;=97,"Greatest")</f>
        <v>Gen X</v>
      </c>
      <c r="E958" s="1">
        <v>90558</v>
      </c>
      <c r="F958">
        <v>49</v>
      </c>
      <c r="G958" t="str" cm="1">
        <f t="array" ref="G958">_xlfn.IFS(Table2[[#This Row],[Spending Score (1-100)]]&lt;=25,"Low",Table2[[#This Row],[Spending Score (1-100)]]&lt;=50,"Medium",Table2[[#This Row],[Spending Score (1-100)]]&lt;=75,"High",Table2[[#This Row],[Spending Score (1-100)]]&lt;=100,"Very High")</f>
        <v>Medium</v>
      </c>
      <c r="H958" t="s">
        <v>9</v>
      </c>
      <c r="I958">
        <v>8</v>
      </c>
      <c r="J958" t="str">
        <f>CONCATENATE(Table2[[#This Row],[Work Experience]],"years")</f>
        <v>8years</v>
      </c>
      <c r="K958" t="str">
        <f>CONCATENATE(Table2[[#This Row],[Family Size2]],"members")</f>
        <v>2members</v>
      </c>
      <c r="L958" t="str">
        <f>CONCATENATE(Table2[[#This Row],[Family Size2]],"members")</f>
        <v>2members</v>
      </c>
      <c r="M958">
        <v>2</v>
      </c>
    </row>
    <row r="959" spans="1:13">
      <c r="A959">
        <v>958</v>
      </c>
      <c r="B959" t="s">
        <v>8</v>
      </c>
      <c r="C959">
        <v>12</v>
      </c>
      <c r="D959" t="str" cm="1">
        <f t="array" ref="D959">_xlfn.IFS(Table2[[#This Row],[Age]]&lt;=11,"Gen A",Table2[[#This Row],[Age]]&lt;=27,"Gen Z",Table2[[#This Row],[Age]]&lt;=43,"Millenials",Table2[[#This Row],[Age]]&lt;=59,"Gen X",Table2[[#This Row],[Age]]&lt;=78,"Baby Boomers",Table2[[#This Row],[Age]]&lt;=96,"Silent",Table2[[#This Row],[Age]]&gt;=97,"Greatest")</f>
        <v>Gen Z</v>
      </c>
      <c r="E959" s="1">
        <v>187343</v>
      </c>
      <c r="F959">
        <v>14</v>
      </c>
      <c r="G959" t="str" cm="1">
        <f t="array" ref="G959">_xlfn.IFS(Table2[[#This Row],[Spending Score (1-100)]]&lt;=25,"Low",Table2[[#This Row],[Spending Score (1-100)]]&lt;=50,"Medium",Table2[[#This Row],[Spending Score (1-100)]]&lt;=75,"High",Table2[[#This Row],[Spending Score (1-100)]]&lt;=100,"Very High")</f>
        <v>Low</v>
      </c>
      <c r="H959" t="s">
        <v>9</v>
      </c>
      <c r="I959">
        <v>6</v>
      </c>
      <c r="J959" t="str">
        <f>CONCATENATE(Table2[[#This Row],[Work Experience]],"years")</f>
        <v>6years</v>
      </c>
      <c r="K959" t="str">
        <f>CONCATENATE(Table2[[#This Row],[Family Size2]],"members")</f>
        <v>3members</v>
      </c>
      <c r="L959" t="str">
        <f>CONCATENATE(Table2[[#This Row],[Family Size2]],"members")</f>
        <v>3members</v>
      </c>
      <c r="M959">
        <v>3</v>
      </c>
    </row>
    <row r="960" spans="1:13">
      <c r="A960">
        <v>959</v>
      </c>
      <c r="B960" t="s">
        <v>11</v>
      </c>
      <c r="C960">
        <v>81</v>
      </c>
      <c r="D960" t="str" cm="1">
        <f t="array" ref="D960">_xlfn.IFS(Table2[[#This Row],[Age]]&lt;=11,"Gen A",Table2[[#This Row],[Age]]&lt;=27,"Gen Z",Table2[[#This Row],[Age]]&lt;=43,"Millenials",Table2[[#This Row],[Age]]&lt;=59,"Gen X",Table2[[#This Row],[Age]]&lt;=78,"Baby Boomers",Table2[[#This Row],[Age]]&lt;=96,"Silent",Table2[[#This Row],[Age]]&gt;=97,"Greatest")</f>
        <v>Silent</v>
      </c>
      <c r="E960" s="1">
        <v>111174</v>
      </c>
      <c r="F960">
        <v>48</v>
      </c>
      <c r="G960" t="str" cm="1">
        <f t="array" ref="G960">_xlfn.IFS(Table2[[#This Row],[Spending Score (1-100)]]&lt;=25,"Low",Table2[[#This Row],[Spending Score (1-100)]]&lt;=50,"Medium",Table2[[#This Row],[Spending Score (1-100)]]&lt;=75,"High",Table2[[#This Row],[Spending Score (1-100)]]&lt;=100,"Very High")</f>
        <v>Medium</v>
      </c>
      <c r="H960" t="s">
        <v>13</v>
      </c>
      <c r="I960">
        <v>9</v>
      </c>
      <c r="J960" t="str">
        <f>CONCATENATE(Table2[[#This Row],[Work Experience]],"years")</f>
        <v>9years</v>
      </c>
      <c r="K960" t="str">
        <f>CONCATENATE(Table2[[#This Row],[Family Size2]],"members")</f>
        <v>6members</v>
      </c>
      <c r="L960" t="str">
        <f>CONCATENATE(Table2[[#This Row],[Family Size2]],"members")</f>
        <v>6members</v>
      </c>
      <c r="M960">
        <v>6</v>
      </c>
    </row>
    <row r="961" spans="1:13">
      <c r="A961">
        <v>960</v>
      </c>
      <c r="B961" t="s">
        <v>8</v>
      </c>
      <c r="C961">
        <v>87</v>
      </c>
      <c r="D961" t="str" cm="1">
        <f t="array" ref="D961">_xlfn.IFS(Table2[[#This Row],[Age]]&lt;=11,"Gen A",Table2[[#This Row],[Age]]&lt;=27,"Gen Z",Table2[[#This Row],[Age]]&lt;=43,"Millenials",Table2[[#This Row],[Age]]&lt;=59,"Gen X",Table2[[#This Row],[Age]]&lt;=78,"Baby Boomers",Table2[[#This Row],[Age]]&lt;=96,"Silent",Table2[[#This Row],[Age]]&gt;=97,"Greatest")</f>
        <v>Silent</v>
      </c>
      <c r="E961" s="1">
        <v>64461</v>
      </c>
      <c r="F961">
        <v>63</v>
      </c>
      <c r="G961" t="str" cm="1">
        <f t="array" ref="G961">_xlfn.IFS(Table2[[#This Row],[Spending Score (1-100)]]&lt;=25,"Low",Table2[[#This Row],[Spending Score (1-100)]]&lt;=50,"Medium",Table2[[#This Row],[Spending Score (1-100)]]&lt;=75,"High",Table2[[#This Row],[Spending Score (1-100)]]&lt;=100,"Very High")</f>
        <v>High</v>
      </c>
      <c r="H961" t="s">
        <v>10</v>
      </c>
      <c r="I961">
        <v>4</v>
      </c>
      <c r="J961" t="str">
        <f>CONCATENATE(Table2[[#This Row],[Work Experience]],"years")</f>
        <v>4years</v>
      </c>
      <c r="K961" t="str">
        <f>CONCATENATE(Table2[[#This Row],[Family Size2]],"members")</f>
        <v>4members</v>
      </c>
      <c r="L961" t="str">
        <f>CONCATENATE(Table2[[#This Row],[Family Size2]],"members")</f>
        <v>4members</v>
      </c>
      <c r="M961">
        <v>4</v>
      </c>
    </row>
    <row r="962" spans="1:13">
      <c r="A962">
        <v>961</v>
      </c>
      <c r="B962" t="s">
        <v>8</v>
      </c>
      <c r="C962">
        <v>12</v>
      </c>
      <c r="D962" t="str" cm="1">
        <f t="array" ref="D962">_xlfn.IFS(Table2[[#This Row],[Age]]&lt;=11,"Gen A",Table2[[#This Row],[Age]]&lt;=27,"Gen Z",Table2[[#This Row],[Age]]&lt;=43,"Millenials",Table2[[#This Row],[Age]]&lt;=59,"Gen X",Table2[[#This Row],[Age]]&lt;=78,"Baby Boomers",Table2[[#This Row],[Age]]&lt;=96,"Silent",Table2[[#This Row],[Age]]&gt;=97,"Greatest")</f>
        <v>Gen Z</v>
      </c>
      <c r="E962" s="1">
        <v>109618</v>
      </c>
      <c r="F962">
        <v>97</v>
      </c>
      <c r="G962" t="str" cm="1">
        <f t="array" ref="G962">_xlfn.IFS(Table2[[#This Row],[Spending Score (1-100)]]&lt;=25,"Low",Table2[[#This Row],[Spending Score (1-100)]]&lt;=50,"Medium",Table2[[#This Row],[Spending Score (1-100)]]&lt;=75,"High",Table2[[#This Row],[Spending Score (1-100)]]&lt;=100,"Very High")</f>
        <v>Very High</v>
      </c>
      <c r="H962" t="s">
        <v>14</v>
      </c>
      <c r="I962">
        <v>7</v>
      </c>
      <c r="J962" t="str">
        <f>CONCATENATE(Table2[[#This Row],[Work Experience]],"years")</f>
        <v>7years</v>
      </c>
      <c r="K962" t="str">
        <f>CONCATENATE(Table2[[#This Row],[Family Size2]],"members")</f>
        <v>3members</v>
      </c>
      <c r="L962" t="str">
        <f>CONCATENATE(Table2[[#This Row],[Family Size2]],"members")</f>
        <v>3members</v>
      </c>
      <c r="M962">
        <v>3</v>
      </c>
    </row>
    <row r="963" spans="1:13">
      <c r="A963">
        <v>962</v>
      </c>
      <c r="B963" t="s">
        <v>8</v>
      </c>
      <c r="C963">
        <v>91</v>
      </c>
      <c r="D963" t="str" cm="1">
        <f t="array" ref="D963">_xlfn.IFS(Table2[[#This Row],[Age]]&lt;=11,"Gen A",Table2[[#This Row],[Age]]&lt;=27,"Gen Z",Table2[[#This Row],[Age]]&lt;=43,"Millenials",Table2[[#This Row],[Age]]&lt;=59,"Gen X",Table2[[#This Row],[Age]]&lt;=78,"Baby Boomers",Table2[[#This Row],[Age]]&lt;=96,"Silent",Table2[[#This Row],[Age]]&gt;=97,"Greatest")</f>
        <v>Silent</v>
      </c>
      <c r="E963" s="1">
        <v>189357</v>
      </c>
      <c r="F963">
        <v>4</v>
      </c>
      <c r="G963" t="str" cm="1">
        <f t="array" ref="G963">_xlfn.IFS(Table2[[#This Row],[Spending Score (1-100)]]&lt;=25,"Low",Table2[[#This Row],[Spending Score (1-100)]]&lt;=50,"Medium",Table2[[#This Row],[Spending Score (1-100)]]&lt;=75,"High",Table2[[#This Row],[Spending Score (1-100)]]&lt;=100,"Very High")</f>
        <v>Low</v>
      </c>
      <c r="H963" t="s">
        <v>12</v>
      </c>
      <c r="I963">
        <v>7</v>
      </c>
      <c r="J963" t="str">
        <f>CONCATENATE(Table2[[#This Row],[Work Experience]],"years")</f>
        <v>7years</v>
      </c>
      <c r="K963" t="str">
        <f>CONCATENATE(Table2[[#This Row],[Family Size2]],"members")</f>
        <v>1members</v>
      </c>
      <c r="L963" t="str">
        <f>CONCATENATE(Table2[[#This Row],[Family Size2]],"members")</f>
        <v>1members</v>
      </c>
      <c r="M963">
        <v>1</v>
      </c>
    </row>
    <row r="964" spans="1:13">
      <c r="A964">
        <v>963</v>
      </c>
      <c r="B964" t="s">
        <v>11</v>
      </c>
      <c r="C964">
        <v>63</v>
      </c>
      <c r="D964" t="str" cm="1">
        <f t="array" ref="D964">_xlfn.IFS(Table2[[#This Row],[Age]]&lt;=11,"Gen A",Table2[[#This Row],[Age]]&lt;=27,"Gen Z",Table2[[#This Row],[Age]]&lt;=43,"Millenials",Table2[[#This Row],[Age]]&lt;=59,"Gen X",Table2[[#This Row],[Age]]&lt;=78,"Baby Boomers",Table2[[#This Row],[Age]]&lt;=96,"Silent",Table2[[#This Row],[Age]]&gt;=97,"Greatest")</f>
        <v>Baby Boomers</v>
      </c>
      <c r="E964" s="1">
        <v>120955</v>
      </c>
      <c r="F964">
        <v>79</v>
      </c>
      <c r="G964" t="str" cm="1">
        <f t="array" ref="G964">_xlfn.IFS(Table2[[#This Row],[Spending Score (1-100)]]&lt;=25,"Low",Table2[[#This Row],[Spending Score (1-100)]]&lt;=50,"Medium",Table2[[#This Row],[Spending Score (1-100)]]&lt;=75,"High",Table2[[#This Row],[Spending Score (1-100)]]&lt;=100,"Very High")</f>
        <v>Very High</v>
      </c>
      <c r="H964" t="s">
        <v>14</v>
      </c>
      <c r="I964">
        <v>6</v>
      </c>
      <c r="J964" t="str">
        <f>CONCATENATE(Table2[[#This Row],[Work Experience]],"years")</f>
        <v>6years</v>
      </c>
      <c r="K964" t="str">
        <f>CONCATENATE(Table2[[#This Row],[Family Size2]],"members")</f>
        <v>1members</v>
      </c>
      <c r="L964" t="str">
        <f>CONCATENATE(Table2[[#This Row],[Family Size2]],"members")</f>
        <v>1members</v>
      </c>
      <c r="M964">
        <v>1</v>
      </c>
    </row>
    <row r="965" spans="1:13">
      <c r="A965">
        <v>964</v>
      </c>
      <c r="B965" t="s">
        <v>11</v>
      </c>
      <c r="C965">
        <v>97</v>
      </c>
      <c r="D965" t="str" cm="1">
        <f t="array" ref="D965">_xlfn.IFS(Table2[[#This Row],[Age]]&lt;=11,"Gen A",Table2[[#This Row],[Age]]&lt;=27,"Gen Z",Table2[[#This Row],[Age]]&lt;=43,"Millenials",Table2[[#This Row],[Age]]&lt;=59,"Gen X",Table2[[#This Row],[Age]]&lt;=78,"Baby Boomers",Table2[[#This Row],[Age]]&lt;=96,"Silent",Table2[[#This Row],[Age]]&gt;=97,"Greatest")</f>
        <v>Greatest</v>
      </c>
      <c r="E965" s="1">
        <v>168898</v>
      </c>
      <c r="F965">
        <v>54</v>
      </c>
      <c r="G965" t="str" cm="1">
        <f t="array" ref="G965">_xlfn.IFS(Table2[[#This Row],[Spending Score (1-100)]]&lt;=25,"Low",Table2[[#This Row],[Spending Score (1-100)]]&lt;=50,"Medium",Table2[[#This Row],[Spending Score (1-100)]]&lt;=75,"High",Table2[[#This Row],[Spending Score (1-100)]]&lt;=100,"Very High")</f>
        <v>High</v>
      </c>
      <c r="H965" t="s">
        <v>17</v>
      </c>
      <c r="I965">
        <v>8</v>
      </c>
      <c r="J965" t="str">
        <f>CONCATENATE(Table2[[#This Row],[Work Experience]],"years")</f>
        <v>8years</v>
      </c>
      <c r="K965" t="str">
        <f>CONCATENATE(Table2[[#This Row],[Family Size2]],"members")</f>
        <v>7members</v>
      </c>
      <c r="L965" t="str">
        <f>CONCATENATE(Table2[[#This Row],[Family Size2]],"members")</f>
        <v>7members</v>
      </c>
      <c r="M965">
        <v>7</v>
      </c>
    </row>
    <row r="966" spans="1:13">
      <c r="A966">
        <v>965</v>
      </c>
      <c r="B966" t="s">
        <v>8</v>
      </c>
      <c r="C966">
        <v>89</v>
      </c>
      <c r="D966" t="str" cm="1">
        <f t="array" ref="D966">_xlfn.IFS(Table2[[#This Row],[Age]]&lt;=11,"Gen A",Table2[[#This Row],[Age]]&lt;=27,"Gen Z",Table2[[#This Row],[Age]]&lt;=43,"Millenials",Table2[[#This Row],[Age]]&lt;=59,"Gen X",Table2[[#This Row],[Age]]&lt;=78,"Baby Boomers",Table2[[#This Row],[Age]]&lt;=96,"Silent",Table2[[#This Row],[Age]]&gt;=97,"Greatest")</f>
        <v>Silent</v>
      </c>
      <c r="E966" s="1">
        <v>130431</v>
      </c>
      <c r="F966">
        <v>52</v>
      </c>
      <c r="G966" t="str" cm="1">
        <f t="array" ref="G966">_xlfn.IFS(Table2[[#This Row],[Spending Score (1-100)]]&lt;=25,"Low",Table2[[#This Row],[Spending Score (1-100)]]&lt;=50,"Medium",Table2[[#This Row],[Spending Score (1-100)]]&lt;=75,"High",Table2[[#This Row],[Spending Score (1-100)]]&lt;=100,"Very High")</f>
        <v>High</v>
      </c>
      <c r="H966" t="s">
        <v>9</v>
      </c>
      <c r="I966">
        <v>6</v>
      </c>
      <c r="J966" t="str">
        <f>CONCATENATE(Table2[[#This Row],[Work Experience]],"years")</f>
        <v>6years</v>
      </c>
      <c r="K966" t="str">
        <f>CONCATENATE(Table2[[#This Row],[Family Size2]],"members")</f>
        <v>3members</v>
      </c>
      <c r="L966" t="str">
        <f>CONCATENATE(Table2[[#This Row],[Family Size2]],"members")</f>
        <v>3members</v>
      </c>
      <c r="M966">
        <v>3</v>
      </c>
    </row>
    <row r="967" spans="1:13">
      <c r="A967">
        <v>966</v>
      </c>
      <c r="B967" t="s">
        <v>8</v>
      </c>
      <c r="C967">
        <v>59</v>
      </c>
      <c r="D967" t="str" cm="1">
        <f t="array" ref="D967">_xlfn.IFS(Table2[[#This Row],[Age]]&lt;=11,"Gen A",Table2[[#This Row],[Age]]&lt;=27,"Gen Z",Table2[[#This Row],[Age]]&lt;=43,"Millenials",Table2[[#This Row],[Age]]&lt;=59,"Gen X",Table2[[#This Row],[Age]]&lt;=78,"Baby Boomers",Table2[[#This Row],[Age]]&lt;=96,"Silent",Table2[[#This Row],[Age]]&gt;=97,"Greatest")</f>
        <v>Gen X</v>
      </c>
      <c r="E967" s="1">
        <v>161091</v>
      </c>
      <c r="F967">
        <v>56</v>
      </c>
      <c r="G967" t="str" cm="1">
        <f t="array" ref="G967">_xlfn.IFS(Table2[[#This Row],[Spending Score (1-100)]]&lt;=25,"Low",Table2[[#This Row],[Spending Score (1-100)]]&lt;=50,"Medium",Table2[[#This Row],[Spending Score (1-100)]]&lt;=75,"High",Table2[[#This Row],[Spending Score (1-100)]]&lt;=100,"Very High")</f>
        <v>High</v>
      </c>
      <c r="H967" t="s">
        <v>10</v>
      </c>
      <c r="I967">
        <v>9</v>
      </c>
      <c r="J967" t="str">
        <f>CONCATENATE(Table2[[#This Row],[Work Experience]],"years")</f>
        <v>9years</v>
      </c>
      <c r="K967" t="str">
        <f>CONCATENATE(Table2[[#This Row],[Family Size2]],"members")</f>
        <v>1members</v>
      </c>
      <c r="L967" t="str">
        <f>CONCATENATE(Table2[[#This Row],[Family Size2]],"members")</f>
        <v>1members</v>
      </c>
      <c r="M967">
        <v>1</v>
      </c>
    </row>
    <row r="968" spans="1:13">
      <c r="A968">
        <v>967</v>
      </c>
      <c r="B968" t="s">
        <v>11</v>
      </c>
      <c r="C968">
        <v>26</v>
      </c>
      <c r="D968" t="str" cm="1">
        <f t="array" ref="D968">_xlfn.IFS(Table2[[#This Row],[Age]]&lt;=11,"Gen A",Table2[[#This Row],[Age]]&lt;=27,"Gen Z",Table2[[#This Row],[Age]]&lt;=43,"Millenials",Table2[[#This Row],[Age]]&lt;=59,"Gen X",Table2[[#This Row],[Age]]&lt;=78,"Baby Boomers",Table2[[#This Row],[Age]]&lt;=96,"Silent",Table2[[#This Row],[Age]]&gt;=97,"Greatest")</f>
        <v>Gen Z</v>
      </c>
      <c r="E968" s="1">
        <v>69988</v>
      </c>
      <c r="F968">
        <v>2</v>
      </c>
      <c r="G968" t="str" cm="1">
        <f t="array" ref="G968">_xlfn.IFS(Table2[[#This Row],[Spending Score (1-100)]]&lt;=25,"Low",Table2[[#This Row],[Spending Score (1-100)]]&lt;=50,"Medium",Table2[[#This Row],[Spending Score (1-100)]]&lt;=75,"High",Table2[[#This Row],[Spending Score (1-100)]]&lt;=100,"Very High")</f>
        <v>Low</v>
      </c>
      <c r="H968" t="s">
        <v>17</v>
      </c>
      <c r="I968">
        <v>5</v>
      </c>
      <c r="J968" t="str">
        <f>CONCATENATE(Table2[[#This Row],[Work Experience]],"years")</f>
        <v>5years</v>
      </c>
      <c r="K968" t="str">
        <f>CONCATENATE(Table2[[#This Row],[Family Size2]],"members")</f>
        <v>4members</v>
      </c>
      <c r="L968" t="str">
        <f>CONCATENATE(Table2[[#This Row],[Family Size2]],"members")</f>
        <v>4members</v>
      </c>
      <c r="M968">
        <v>4</v>
      </c>
    </row>
    <row r="969" spans="1:13">
      <c r="A969">
        <v>968</v>
      </c>
      <c r="B969" t="s">
        <v>11</v>
      </c>
      <c r="C969">
        <v>5</v>
      </c>
      <c r="D969" t="str" cm="1">
        <f t="array" ref="D969">_xlfn.IFS(Table2[[#This Row],[Age]]&lt;=11,"Gen A",Table2[[#This Row],[Age]]&lt;=27,"Gen Z",Table2[[#This Row],[Age]]&lt;=43,"Millenials",Table2[[#This Row],[Age]]&lt;=59,"Gen X",Table2[[#This Row],[Age]]&lt;=78,"Baby Boomers",Table2[[#This Row],[Age]]&lt;=96,"Silent",Table2[[#This Row],[Age]]&gt;=97,"Greatest")</f>
        <v>Gen A</v>
      </c>
      <c r="E969" s="1">
        <v>169702</v>
      </c>
      <c r="F969">
        <v>98</v>
      </c>
      <c r="G969" t="str" cm="1">
        <f t="array" ref="G969">_xlfn.IFS(Table2[[#This Row],[Spending Score (1-100)]]&lt;=25,"Low",Table2[[#This Row],[Spending Score (1-100)]]&lt;=50,"Medium",Table2[[#This Row],[Spending Score (1-100)]]&lt;=75,"High",Table2[[#This Row],[Spending Score (1-100)]]&lt;=100,"Very High")</f>
        <v>Very High</v>
      </c>
      <c r="H969" t="s">
        <v>16</v>
      </c>
      <c r="I969">
        <v>5</v>
      </c>
      <c r="J969" t="str">
        <f>CONCATENATE(Table2[[#This Row],[Work Experience]],"years")</f>
        <v>5years</v>
      </c>
      <c r="K969" t="str">
        <f>CONCATENATE(Table2[[#This Row],[Family Size2]],"members")</f>
        <v>1members</v>
      </c>
      <c r="L969" t="str">
        <f>CONCATENATE(Table2[[#This Row],[Family Size2]],"members")</f>
        <v>1members</v>
      </c>
      <c r="M969">
        <v>1</v>
      </c>
    </row>
    <row r="970" spans="1:13">
      <c r="A970">
        <v>969</v>
      </c>
      <c r="B970" t="s">
        <v>8</v>
      </c>
      <c r="C970">
        <v>32</v>
      </c>
      <c r="D970" t="str" cm="1">
        <f t="array" ref="D970">_xlfn.IFS(Table2[[#This Row],[Age]]&lt;=11,"Gen A",Table2[[#This Row],[Age]]&lt;=27,"Gen Z",Table2[[#This Row],[Age]]&lt;=43,"Millenials",Table2[[#This Row],[Age]]&lt;=59,"Gen X",Table2[[#This Row],[Age]]&lt;=78,"Baby Boomers",Table2[[#This Row],[Age]]&lt;=96,"Silent",Table2[[#This Row],[Age]]&gt;=97,"Greatest")</f>
        <v>Millenials</v>
      </c>
      <c r="E970" s="1">
        <v>186897</v>
      </c>
      <c r="F970">
        <v>49</v>
      </c>
      <c r="G970" t="str" cm="1">
        <f t="array" ref="G970">_xlfn.IFS(Table2[[#This Row],[Spending Score (1-100)]]&lt;=25,"Low",Table2[[#This Row],[Spending Score (1-100)]]&lt;=50,"Medium",Table2[[#This Row],[Spending Score (1-100)]]&lt;=75,"High",Table2[[#This Row],[Spending Score (1-100)]]&lt;=100,"Very High")</f>
        <v>Medium</v>
      </c>
      <c r="H970" t="s">
        <v>9</v>
      </c>
      <c r="I970">
        <v>1</v>
      </c>
      <c r="J970" t="str">
        <f>CONCATENATE(Table2[[#This Row],[Work Experience]],"years")</f>
        <v>1years</v>
      </c>
      <c r="K970" t="str">
        <f>CONCATENATE(Table2[[#This Row],[Family Size2]],"members")</f>
        <v>7members</v>
      </c>
      <c r="L970" t="str">
        <f>CONCATENATE(Table2[[#This Row],[Family Size2]],"members")</f>
        <v>7members</v>
      </c>
      <c r="M970">
        <v>7</v>
      </c>
    </row>
    <row r="971" spans="1:13">
      <c r="A971">
        <v>970</v>
      </c>
      <c r="B971" t="s">
        <v>11</v>
      </c>
      <c r="C971">
        <v>98</v>
      </c>
      <c r="D971" t="str" cm="1">
        <f t="array" ref="D971">_xlfn.IFS(Table2[[#This Row],[Age]]&lt;=11,"Gen A",Table2[[#This Row],[Age]]&lt;=27,"Gen Z",Table2[[#This Row],[Age]]&lt;=43,"Millenials",Table2[[#This Row],[Age]]&lt;=59,"Gen X",Table2[[#This Row],[Age]]&lt;=78,"Baby Boomers",Table2[[#This Row],[Age]]&lt;=96,"Silent",Table2[[#This Row],[Age]]&gt;=97,"Greatest")</f>
        <v>Greatest</v>
      </c>
      <c r="E971" s="1">
        <v>109061</v>
      </c>
      <c r="F971">
        <v>41</v>
      </c>
      <c r="G971" t="str" cm="1">
        <f t="array" ref="G971">_xlfn.IFS(Table2[[#This Row],[Spending Score (1-100)]]&lt;=25,"Low",Table2[[#This Row],[Spending Score (1-100)]]&lt;=50,"Medium",Table2[[#This Row],[Spending Score (1-100)]]&lt;=75,"High",Table2[[#This Row],[Spending Score (1-100)]]&lt;=100,"Very High")</f>
        <v>Medium</v>
      </c>
      <c r="H971" t="s">
        <v>10</v>
      </c>
      <c r="I971">
        <v>6</v>
      </c>
      <c r="J971" t="str">
        <f>CONCATENATE(Table2[[#This Row],[Work Experience]],"years")</f>
        <v>6years</v>
      </c>
      <c r="K971" t="str">
        <f>CONCATENATE(Table2[[#This Row],[Family Size2]],"members")</f>
        <v>1members</v>
      </c>
      <c r="L971" t="str">
        <f>CONCATENATE(Table2[[#This Row],[Family Size2]],"members")</f>
        <v>1members</v>
      </c>
      <c r="M971">
        <v>1</v>
      </c>
    </row>
    <row r="972" spans="1:13">
      <c r="A972">
        <v>971</v>
      </c>
      <c r="B972" t="s">
        <v>8</v>
      </c>
      <c r="C972">
        <v>31</v>
      </c>
      <c r="D972" t="str" cm="1">
        <f t="array" ref="D972">_xlfn.IFS(Table2[[#This Row],[Age]]&lt;=11,"Gen A",Table2[[#This Row],[Age]]&lt;=27,"Gen Z",Table2[[#This Row],[Age]]&lt;=43,"Millenials",Table2[[#This Row],[Age]]&lt;=59,"Gen X",Table2[[#This Row],[Age]]&lt;=78,"Baby Boomers",Table2[[#This Row],[Age]]&lt;=96,"Silent",Table2[[#This Row],[Age]]&gt;=97,"Greatest")</f>
        <v>Millenials</v>
      </c>
      <c r="E972" s="1">
        <v>188620</v>
      </c>
      <c r="F972">
        <v>30</v>
      </c>
      <c r="G972" t="str" cm="1">
        <f t="array" ref="G972">_xlfn.IFS(Table2[[#This Row],[Spending Score (1-100)]]&lt;=25,"Low",Table2[[#This Row],[Spending Score (1-100)]]&lt;=50,"Medium",Table2[[#This Row],[Spending Score (1-100)]]&lt;=75,"High",Table2[[#This Row],[Spending Score (1-100)]]&lt;=100,"Very High")</f>
        <v>Medium</v>
      </c>
      <c r="H972" t="s">
        <v>14</v>
      </c>
      <c r="I972">
        <v>3</v>
      </c>
      <c r="J972" t="str">
        <f>CONCATENATE(Table2[[#This Row],[Work Experience]],"years")</f>
        <v>3years</v>
      </c>
      <c r="K972" t="str">
        <f>CONCATENATE(Table2[[#This Row],[Family Size2]],"members")</f>
        <v>6members</v>
      </c>
      <c r="L972" t="str">
        <f>CONCATENATE(Table2[[#This Row],[Family Size2]],"members")</f>
        <v>6members</v>
      </c>
      <c r="M972">
        <v>6</v>
      </c>
    </row>
    <row r="973" spans="1:13">
      <c r="A973">
        <v>972</v>
      </c>
      <c r="B973" t="s">
        <v>11</v>
      </c>
      <c r="C973">
        <v>59</v>
      </c>
      <c r="D973" t="str" cm="1">
        <f t="array" ref="D973">_xlfn.IFS(Table2[[#This Row],[Age]]&lt;=11,"Gen A",Table2[[#This Row],[Age]]&lt;=27,"Gen Z",Table2[[#This Row],[Age]]&lt;=43,"Millenials",Table2[[#This Row],[Age]]&lt;=59,"Gen X",Table2[[#This Row],[Age]]&lt;=78,"Baby Boomers",Table2[[#This Row],[Age]]&lt;=96,"Silent",Table2[[#This Row],[Age]]&gt;=97,"Greatest")</f>
        <v>Gen X</v>
      </c>
      <c r="E973" s="1">
        <v>108675</v>
      </c>
      <c r="F973">
        <v>57</v>
      </c>
      <c r="G973" t="str" cm="1">
        <f t="array" ref="G973">_xlfn.IFS(Table2[[#This Row],[Spending Score (1-100)]]&lt;=25,"Low",Table2[[#This Row],[Spending Score (1-100)]]&lt;=50,"Medium",Table2[[#This Row],[Spending Score (1-100)]]&lt;=75,"High",Table2[[#This Row],[Spending Score (1-100)]]&lt;=100,"Very High")</f>
        <v>High</v>
      </c>
      <c r="H973" t="s">
        <v>14</v>
      </c>
      <c r="I973">
        <v>4</v>
      </c>
      <c r="J973" t="str">
        <f>CONCATENATE(Table2[[#This Row],[Work Experience]],"years")</f>
        <v>4years</v>
      </c>
      <c r="K973" t="str">
        <f>CONCATENATE(Table2[[#This Row],[Family Size2]],"members")</f>
        <v>5members</v>
      </c>
      <c r="L973" t="str">
        <f>CONCATENATE(Table2[[#This Row],[Family Size2]],"members")</f>
        <v>5members</v>
      </c>
      <c r="M973">
        <v>5</v>
      </c>
    </row>
    <row r="974" spans="1:13">
      <c r="A974">
        <v>973</v>
      </c>
      <c r="B974" t="s">
        <v>11</v>
      </c>
      <c r="C974">
        <v>80</v>
      </c>
      <c r="D974" t="str" cm="1">
        <f t="array" ref="D974">_xlfn.IFS(Table2[[#This Row],[Age]]&lt;=11,"Gen A",Table2[[#This Row],[Age]]&lt;=27,"Gen Z",Table2[[#This Row],[Age]]&lt;=43,"Millenials",Table2[[#This Row],[Age]]&lt;=59,"Gen X",Table2[[#This Row],[Age]]&lt;=78,"Baby Boomers",Table2[[#This Row],[Age]]&lt;=96,"Silent",Table2[[#This Row],[Age]]&gt;=97,"Greatest")</f>
        <v>Silent</v>
      </c>
      <c r="E974" s="1">
        <v>177601</v>
      </c>
      <c r="F974">
        <v>34</v>
      </c>
      <c r="G974" t="str" cm="1">
        <f t="array" ref="G974">_xlfn.IFS(Table2[[#This Row],[Spending Score (1-100)]]&lt;=25,"Low",Table2[[#This Row],[Spending Score (1-100)]]&lt;=50,"Medium",Table2[[#This Row],[Spending Score (1-100)]]&lt;=75,"High",Table2[[#This Row],[Spending Score (1-100)]]&lt;=100,"Very High")</f>
        <v>Medium</v>
      </c>
      <c r="H974" t="s">
        <v>13</v>
      </c>
      <c r="I974">
        <v>0</v>
      </c>
      <c r="J974" t="str">
        <f>CONCATENATE(Table2[[#This Row],[Work Experience]],"years")</f>
        <v>0years</v>
      </c>
      <c r="K974" t="str">
        <f>CONCATENATE(Table2[[#This Row],[Family Size2]],"members")</f>
        <v>2members</v>
      </c>
      <c r="L974" t="str">
        <f>CONCATENATE(Table2[[#This Row],[Family Size2]],"members")</f>
        <v>2members</v>
      </c>
      <c r="M974">
        <v>2</v>
      </c>
    </row>
    <row r="975" spans="1:13">
      <c r="A975">
        <v>974</v>
      </c>
      <c r="B975" t="s">
        <v>11</v>
      </c>
      <c r="C975">
        <v>12</v>
      </c>
      <c r="D975" t="str" cm="1">
        <f t="array" ref="D975">_xlfn.IFS(Table2[[#This Row],[Age]]&lt;=11,"Gen A",Table2[[#This Row],[Age]]&lt;=27,"Gen Z",Table2[[#This Row],[Age]]&lt;=43,"Millenials",Table2[[#This Row],[Age]]&lt;=59,"Gen X",Table2[[#This Row],[Age]]&lt;=78,"Baby Boomers",Table2[[#This Row],[Age]]&lt;=96,"Silent",Table2[[#This Row],[Age]]&gt;=97,"Greatest")</f>
        <v>Gen Z</v>
      </c>
      <c r="E975" s="1">
        <v>87365</v>
      </c>
      <c r="F975">
        <v>3</v>
      </c>
      <c r="G975" t="str" cm="1">
        <f t="array" ref="G975">_xlfn.IFS(Table2[[#This Row],[Spending Score (1-100)]]&lt;=25,"Low",Table2[[#This Row],[Spending Score (1-100)]]&lt;=50,"Medium",Table2[[#This Row],[Spending Score (1-100)]]&lt;=75,"High",Table2[[#This Row],[Spending Score (1-100)]]&lt;=100,"Very High")</f>
        <v>Low</v>
      </c>
      <c r="H975" t="s">
        <v>18</v>
      </c>
      <c r="I975">
        <v>1</v>
      </c>
      <c r="J975" t="str">
        <f>CONCATENATE(Table2[[#This Row],[Work Experience]],"years")</f>
        <v>1years</v>
      </c>
      <c r="K975" t="str">
        <f>CONCATENATE(Table2[[#This Row],[Family Size2]],"members")</f>
        <v>2members</v>
      </c>
      <c r="L975" t="str">
        <f>CONCATENATE(Table2[[#This Row],[Family Size2]],"members")</f>
        <v>2members</v>
      </c>
      <c r="M975">
        <v>2</v>
      </c>
    </row>
    <row r="976" spans="1:13">
      <c r="A976">
        <v>975</v>
      </c>
      <c r="B976" t="s">
        <v>8</v>
      </c>
      <c r="C976">
        <v>80</v>
      </c>
      <c r="D976" t="str" cm="1">
        <f t="array" ref="D976">_xlfn.IFS(Table2[[#This Row],[Age]]&lt;=11,"Gen A",Table2[[#This Row],[Age]]&lt;=27,"Gen Z",Table2[[#This Row],[Age]]&lt;=43,"Millenials",Table2[[#This Row],[Age]]&lt;=59,"Gen X",Table2[[#This Row],[Age]]&lt;=78,"Baby Boomers",Table2[[#This Row],[Age]]&lt;=96,"Silent",Table2[[#This Row],[Age]]&gt;=97,"Greatest")</f>
        <v>Silent</v>
      </c>
      <c r="E976" s="1">
        <v>95929</v>
      </c>
      <c r="F976">
        <v>23</v>
      </c>
      <c r="G976" t="str" cm="1">
        <f t="array" ref="G976">_xlfn.IFS(Table2[[#This Row],[Spending Score (1-100)]]&lt;=25,"Low",Table2[[#This Row],[Spending Score (1-100)]]&lt;=50,"Medium",Table2[[#This Row],[Spending Score (1-100)]]&lt;=75,"High",Table2[[#This Row],[Spending Score (1-100)]]&lt;=100,"Very High")</f>
        <v>Low</v>
      </c>
      <c r="H976" t="s">
        <v>10</v>
      </c>
      <c r="I976">
        <v>0</v>
      </c>
      <c r="J976" t="str">
        <f>CONCATENATE(Table2[[#This Row],[Work Experience]],"years")</f>
        <v>0years</v>
      </c>
      <c r="K976" t="str">
        <f>CONCATENATE(Table2[[#This Row],[Family Size2]],"members")</f>
        <v>2members</v>
      </c>
      <c r="L976" t="str">
        <f>CONCATENATE(Table2[[#This Row],[Family Size2]],"members")</f>
        <v>2members</v>
      </c>
      <c r="M976">
        <v>2</v>
      </c>
    </row>
    <row r="977" spans="1:13">
      <c r="A977">
        <v>976</v>
      </c>
      <c r="B977" t="s">
        <v>8</v>
      </c>
      <c r="C977">
        <v>59</v>
      </c>
      <c r="D977" t="str" cm="1">
        <f t="array" ref="D977">_xlfn.IFS(Table2[[#This Row],[Age]]&lt;=11,"Gen A",Table2[[#This Row],[Age]]&lt;=27,"Gen Z",Table2[[#This Row],[Age]]&lt;=43,"Millenials",Table2[[#This Row],[Age]]&lt;=59,"Gen X",Table2[[#This Row],[Age]]&lt;=78,"Baby Boomers",Table2[[#This Row],[Age]]&lt;=96,"Silent",Table2[[#This Row],[Age]]&gt;=97,"Greatest")</f>
        <v>Gen X</v>
      </c>
      <c r="E977" s="1">
        <v>97185</v>
      </c>
      <c r="F977">
        <v>87</v>
      </c>
      <c r="G977" t="str" cm="1">
        <f t="array" ref="G977">_xlfn.IFS(Table2[[#This Row],[Spending Score (1-100)]]&lt;=25,"Low",Table2[[#This Row],[Spending Score (1-100)]]&lt;=50,"Medium",Table2[[#This Row],[Spending Score (1-100)]]&lt;=75,"High",Table2[[#This Row],[Spending Score (1-100)]]&lt;=100,"Very High")</f>
        <v>Very High</v>
      </c>
      <c r="H977" t="s">
        <v>13</v>
      </c>
      <c r="I977">
        <v>0</v>
      </c>
      <c r="J977" t="str">
        <f>CONCATENATE(Table2[[#This Row],[Work Experience]],"years")</f>
        <v>0years</v>
      </c>
      <c r="K977" t="str">
        <f>CONCATENATE(Table2[[#This Row],[Family Size2]],"members")</f>
        <v>5members</v>
      </c>
      <c r="L977" t="str">
        <f>CONCATENATE(Table2[[#This Row],[Family Size2]],"members")</f>
        <v>5members</v>
      </c>
      <c r="M977">
        <v>5</v>
      </c>
    </row>
    <row r="978" spans="1:13">
      <c r="A978">
        <v>977</v>
      </c>
      <c r="B978" t="s">
        <v>11</v>
      </c>
      <c r="C978">
        <v>56</v>
      </c>
      <c r="D978" t="str" cm="1">
        <f t="array" ref="D978">_xlfn.IFS(Table2[[#This Row],[Age]]&lt;=11,"Gen A",Table2[[#This Row],[Age]]&lt;=27,"Gen Z",Table2[[#This Row],[Age]]&lt;=43,"Millenials",Table2[[#This Row],[Age]]&lt;=59,"Gen X",Table2[[#This Row],[Age]]&lt;=78,"Baby Boomers",Table2[[#This Row],[Age]]&lt;=96,"Silent",Table2[[#This Row],[Age]]&gt;=97,"Greatest")</f>
        <v>Gen X</v>
      </c>
      <c r="E978" s="1">
        <v>103838</v>
      </c>
      <c r="F978">
        <v>17</v>
      </c>
      <c r="G978" t="str" cm="1">
        <f t="array" ref="G978">_xlfn.IFS(Table2[[#This Row],[Spending Score (1-100)]]&lt;=25,"Low",Table2[[#This Row],[Spending Score (1-100)]]&lt;=50,"Medium",Table2[[#This Row],[Spending Score (1-100)]]&lt;=75,"High",Table2[[#This Row],[Spending Score (1-100)]]&lt;=100,"Very High")</f>
        <v>Low</v>
      </c>
      <c r="H978" t="s">
        <v>14</v>
      </c>
      <c r="I978">
        <v>1</v>
      </c>
      <c r="J978" t="str">
        <f>CONCATENATE(Table2[[#This Row],[Work Experience]],"years")</f>
        <v>1years</v>
      </c>
      <c r="K978" t="str">
        <f>CONCATENATE(Table2[[#This Row],[Family Size2]],"members")</f>
        <v>2members</v>
      </c>
      <c r="L978" t="str">
        <f>CONCATENATE(Table2[[#This Row],[Family Size2]],"members")</f>
        <v>2members</v>
      </c>
      <c r="M978">
        <v>2</v>
      </c>
    </row>
    <row r="979" spans="1:13">
      <c r="A979">
        <v>978</v>
      </c>
      <c r="B979" t="s">
        <v>8</v>
      </c>
      <c r="C979">
        <v>18</v>
      </c>
      <c r="D979" t="str" cm="1">
        <f t="array" ref="D979">_xlfn.IFS(Table2[[#This Row],[Age]]&lt;=11,"Gen A",Table2[[#This Row],[Age]]&lt;=27,"Gen Z",Table2[[#This Row],[Age]]&lt;=43,"Millenials",Table2[[#This Row],[Age]]&lt;=59,"Gen X",Table2[[#This Row],[Age]]&lt;=78,"Baby Boomers",Table2[[#This Row],[Age]]&lt;=96,"Silent",Table2[[#This Row],[Age]]&gt;=97,"Greatest")</f>
        <v>Gen Z</v>
      </c>
      <c r="E979" s="1">
        <v>129260</v>
      </c>
      <c r="F979">
        <v>11</v>
      </c>
      <c r="G979" t="str" cm="1">
        <f t="array" ref="G979">_xlfn.IFS(Table2[[#This Row],[Spending Score (1-100)]]&lt;=25,"Low",Table2[[#This Row],[Spending Score (1-100)]]&lt;=50,"Medium",Table2[[#This Row],[Spending Score (1-100)]]&lt;=75,"High",Table2[[#This Row],[Spending Score (1-100)]]&lt;=100,"Very High")</f>
        <v>Low</v>
      </c>
      <c r="H979" t="s">
        <v>16</v>
      </c>
      <c r="I979">
        <v>1</v>
      </c>
      <c r="J979" t="str">
        <f>CONCATENATE(Table2[[#This Row],[Work Experience]],"years")</f>
        <v>1years</v>
      </c>
      <c r="K979" t="str">
        <f>CONCATENATE(Table2[[#This Row],[Family Size2]],"members")</f>
        <v>3members</v>
      </c>
      <c r="L979" t="str">
        <f>CONCATENATE(Table2[[#This Row],[Family Size2]],"members")</f>
        <v>3members</v>
      </c>
      <c r="M979">
        <v>3</v>
      </c>
    </row>
    <row r="980" spans="1:13">
      <c r="A980">
        <v>979</v>
      </c>
      <c r="B980" t="s">
        <v>11</v>
      </c>
      <c r="C980">
        <v>66</v>
      </c>
      <c r="D980" t="str" cm="1">
        <f t="array" ref="D980">_xlfn.IFS(Table2[[#This Row],[Age]]&lt;=11,"Gen A",Table2[[#This Row],[Age]]&lt;=27,"Gen Z",Table2[[#This Row],[Age]]&lt;=43,"Millenials",Table2[[#This Row],[Age]]&lt;=59,"Gen X",Table2[[#This Row],[Age]]&lt;=78,"Baby Boomers",Table2[[#This Row],[Age]]&lt;=96,"Silent",Table2[[#This Row],[Age]]&gt;=97,"Greatest")</f>
        <v>Baby Boomers</v>
      </c>
      <c r="E980" s="1">
        <v>151184</v>
      </c>
      <c r="F980">
        <v>19</v>
      </c>
      <c r="G980" t="str" cm="1">
        <f t="array" ref="G980">_xlfn.IFS(Table2[[#This Row],[Spending Score (1-100)]]&lt;=25,"Low",Table2[[#This Row],[Spending Score (1-100)]]&lt;=50,"Medium",Table2[[#This Row],[Spending Score (1-100)]]&lt;=75,"High",Table2[[#This Row],[Spending Score (1-100)]]&lt;=100,"Very High")</f>
        <v>Low</v>
      </c>
      <c r="H980" t="s">
        <v>14</v>
      </c>
      <c r="I980">
        <v>1</v>
      </c>
      <c r="J980" t="str">
        <f>CONCATENATE(Table2[[#This Row],[Work Experience]],"years")</f>
        <v>1years</v>
      </c>
      <c r="K980" t="str">
        <f>CONCATENATE(Table2[[#This Row],[Family Size2]],"members")</f>
        <v>4members</v>
      </c>
      <c r="L980" t="str">
        <f>CONCATENATE(Table2[[#This Row],[Family Size2]],"members")</f>
        <v>4members</v>
      </c>
      <c r="M980">
        <v>4</v>
      </c>
    </row>
    <row r="981" spans="1:13">
      <c r="A981">
        <v>980</v>
      </c>
      <c r="B981" t="s">
        <v>11</v>
      </c>
      <c r="C981">
        <v>67</v>
      </c>
      <c r="D981" t="str" cm="1">
        <f t="array" ref="D981">_xlfn.IFS(Table2[[#This Row],[Age]]&lt;=11,"Gen A",Table2[[#This Row],[Age]]&lt;=27,"Gen Z",Table2[[#This Row],[Age]]&lt;=43,"Millenials",Table2[[#This Row],[Age]]&lt;=59,"Gen X",Table2[[#This Row],[Age]]&lt;=78,"Baby Boomers",Table2[[#This Row],[Age]]&lt;=96,"Silent",Table2[[#This Row],[Age]]&gt;=97,"Greatest")</f>
        <v>Baby Boomers</v>
      </c>
      <c r="E981" s="1">
        <v>177512</v>
      </c>
      <c r="F981">
        <v>62</v>
      </c>
      <c r="G981" t="str" cm="1">
        <f t="array" ref="G981">_xlfn.IFS(Table2[[#This Row],[Spending Score (1-100)]]&lt;=25,"Low",Table2[[#This Row],[Spending Score (1-100)]]&lt;=50,"Medium",Table2[[#This Row],[Spending Score (1-100)]]&lt;=75,"High",Table2[[#This Row],[Spending Score (1-100)]]&lt;=100,"Very High")</f>
        <v>High</v>
      </c>
      <c r="H981" t="s">
        <v>10</v>
      </c>
      <c r="I981">
        <v>2</v>
      </c>
      <c r="J981" t="str">
        <f>CONCATENATE(Table2[[#This Row],[Work Experience]],"years")</f>
        <v>2years</v>
      </c>
      <c r="K981" t="str">
        <f>CONCATENATE(Table2[[#This Row],[Family Size2]],"members")</f>
        <v>3members</v>
      </c>
      <c r="L981" t="str">
        <f>CONCATENATE(Table2[[#This Row],[Family Size2]],"members")</f>
        <v>3members</v>
      </c>
      <c r="M981">
        <v>3</v>
      </c>
    </row>
    <row r="982" spans="1:13">
      <c r="A982">
        <v>981</v>
      </c>
      <c r="B982" t="s">
        <v>8</v>
      </c>
      <c r="C982">
        <v>39</v>
      </c>
      <c r="D982" t="str" cm="1">
        <f t="array" ref="D982">_xlfn.IFS(Table2[[#This Row],[Age]]&lt;=11,"Gen A",Table2[[#This Row],[Age]]&lt;=27,"Gen Z",Table2[[#This Row],[Age]]&lt;=43,"Millenials",Table2[[#This Row],[Age]]&lt;=59,"Gen X",Table2[[#This Row],[Age]]&lt;=78,"Baby Boomers",Table2[[#This Row],[Age]]&lt;=96,"Silent",Table2[[#This Row],[Age]]&gt;=97,"Greatest")</f>
        <v>Millenials</v>
      </c>
      <c r="E982" s="1">
        <v>140099</v>
      </c>
      <c r="F982">
        <v>51</v>
      </c>
      <c r="G982" t="str" cm="1">
        <f t="array" ref="G982">_xlfn.IFS(Table2[[#This Row],[Spending Score (1-100)]]&lt;=25,"Low",Table2[[#This Row],[Spending Score (1-100)]]&lt;=50,"Medium",Table2[[#This Row],[Spending Score (1-100)]]&lt;=75,"High",Table2[[#This Row],[Spending Score (1-100)]]&lt;=100,"Very High")</f>
        <v>High</v>
      </c>
      <c r="H982" t="s">
        <v>12</v>
      </c>
      <c r="I982">
        <v>0</v>
      </c>
      <c r="J982" t="str">
        <f>CONCATENATE(Table2[[#This Row],[Work Experience]],"years")</f>
        <v>0years</v>
      </c>
      <c r="K982" t="str">
        <f>CONCATENATE(Table2[[#This Row],[Family Size2]],"members")</f>
        <v>7members</v>
      </c>
      <c r="L982" t="str">
        <f>CONCATENATE(Table2[[#This Row],[Family Size2]],"members")</f>
        <v>7members</v>
      </c>
      <c r="M982">
        <v>7</v>
      </c>
    </row>
    <row r="983" spans="1:13">
      <c r="A983">
        <v>982</v>
      </c>
      <c r="B983" t="s">
        <v>8</v>
      </c>
      <c r="C983">
        <v>23</v>
      </c>
      <c r="D983" t="str" cm="1">
        <f t="array" ref="D983">_xlfn.IFS(Table2[[#This Row],[Age]]&lt;=11,"Gen A",Table2[[#This Row],[Age]]&lt;=27,"Gen Z",Table2[[#This Row],[Age]]&lt;=43,"Millenials",Table2[[#This Row],[Age]]&lt;=59,"Gen X",Table2[[#This Row],[Age]]&lt;=78,"Baby Boomers",Table2[[#This Row],[Age]]&lt;=96,"Silent",Table2[[#This Row],[Age]]&gt;=97,"Greatest")</f>
        <v>Gen Z</v>
      </c>
      <c r="E983" s="1">
        <v>67535</v>
      </c>
      <c r="F983">
        <v>97</v>
      </c>
      <c r="G983" t="str" cm="1">
        <f t="array" ref="G983">_xlfn.IFS(Table2[[#This Row],[Spending Score (1-100)]]&lt;=25,"Low",Table2[[#This Row],[Spending Score (1-100)]]&lt;=50,"Medium",Table2[[#This Row],[Spending Score (1-100)]]&lt;=75,"High",Table2[[#This Row],[Spending Score (1-100)]]&lt;=100,"Very High")</f>
        <v>Very High</v>
      </c>
      <c r="H983" t="s">
        <v>9</v>
      </c>
      <c r="I983">
        <v>7</v>
      </c>
      <c r="J983" t="str">
        <f>CONCATENATE(Table2[[#This Row],[Work Experience]],"years")</f>
        <v>7years</v>
      </c>
      <c r="K983" t="str">
        <f>CONCATENATE(Table2[[#This Row],[Family Size2]],"members")</f>
        <v>6members</v>
      </c>
      <c r="L983" t="str">
        <f>CONCATENATE(Table2[[#This Row],[Family Size2]],"members")</f>
        <v>6members</v>
      </c>
      <c r="M983">
        <v>6</v>
      </c>
    </row>
    <row r="984" spans="1:13">
      <c r="A984">
        <v>983</v>
      </c>
      <c r="B984" t="s">
        <v>8</v>
      </c>
      <c r="C984">
        <v>47</v>
      </c>
      <c r="D984" t="str" cm="1">
        <f t="array" ref="D984">_xlfn.IFS(Table2[[#This Row],[Age]]&lt;=11,"Gen A",Table2[[#This Row],[Age]]&lt;=27,"Gen Z",Table2[[#This Row],[Age]]&lt;=43,"Millenials",Table2[[#This Row],[Age]]&lt;=59,"Gen X",Table2[[#This Row],[Age]]&lt;=78,"Baby Boomers",Table2[[#This Row],[Age]]&lt;=96,"Silent",Table2[[#This Row],[Age]]&gt;=97,"Greatest")</f>
        <v>Gen X</v>
      </c>
      <c r="E984" s="1">
        <v>133236</v>
      </c>
      <c r="F984">
        <v>61</v>
      </c>
      <c r="G984" t="str" cm="1">
        <f t="array" ref="G984">_xlfn.IFS(Table2[[#This Row],[Spending Score (1-100)]]&lt;=25,"Low",Table2[[#This Row],[Spending Score (1-100)]]&lt;=50,"Medium",Table2[[#This Row],[Spending Score (1-100)]]&lt;=75,"High",Table2[[#This Row],[Spending Score (1-100)]]&lt;=100,"Very High")</f>
        <v>High</v>
      </c>
      <c r="H984" t="s">
        <v>15</v>
      </c>
      <c r="I984">
        <v>1</v>
      </c>
      <c r="J984" t="str">
        <f>CONCATENATE(Table2[[#This Row],[Work Experience]],"years")</f>
        <v>1years</v>
      </c>
      <c r="K984" t="str">
        <f>CONCATENATE(Table2[[#This Row],[Family Size2]],"members")</f>
        <v>6members</v>
      </c>
      <c r="L984" t="str">
        <f>CONCATENATE(Table2[[#This Row],[Family Size2]],"members")</f>
        <v>6members</v>
      </c>
      <c r="M984">
        <v>6</v>
      </c>
    </row>
    <row r="985" spans="1:13">
      <c r="A985">
        <v>984</v>
      </c>
      <c r="B985" t="s">
        <v>11</v>
      </c>
      <c r="C985">
        <v>41</v>
      </c>
      <c r="D985" t="str" cm="1">
        <f t="array" ref="D985">_xlfn.IFS(Table2[[#This Row],[Age]]&lt;=11,"Gen A",Table2[[#This Row],[Age]]&lt;=27,"Gen Z",Table2[[#This Row],[Age]]&lt;=43,"Millenials",Table2[[#This Row],[Age]]&lt;=59,"Gen X",Table2[[#This Row],[Age]]&lt;=78,"Baby Boomers",Table2[[#This Row],[Age]]&lt;=96,"Silent",Table2[[#This Row],[Age]]&gt;=97,"Greatest")</f>
        <v>Millenials</v>
      </c>
      <c r="E985" s="1">
        <v>87975</v>
      </c>
      <c r="F985">
        <v>5</v>
      </c>
      <c r="G985" t="str" cm="1">
        <f t="array" ref="G985">_xlfn.IFS(Table2[[#This Row],[Spending Score (1-100)]]&lt;=25,"Low",Table2[[#This Row],[Spending Score (1-100)]]&lt;=50,"Medium",Table2[[#This Row],[Spending Score (1-100)]]&lt;=75,"High",Table2[[#This Row],[Spending Score (1-100)]]&lt;=100,"Very High")</f>
        <v>Low</v>
      </c>
      <c r="H985" t="s">
        <v>17</v>
      </c>
      <c r="I985">
        <v>9</v>
      </c>
      <c r="J985" t="str">
        <f>CONCATENATE(Table2[[#This Row],[Work Experience]],"years")</f>
        <v>9years</v>
      </c>
      <c r="K985" t="str">
        <f>CONCATENATE(Table2[[#This Row],[Family Size2]],"members")</f>
        <v>7members</v>
      </c>
      <c r="L985" t="str">
        <f>CONCATENATE(Table2[[#This Row],[Family Size2]],"members")</f>
        <v>7members</v>
      </c>
      <c r="M985">
        <v>7</v>
      </c>
    </row>
    <row r="986" spans="1:13">
      <c r="A986">
        <v>985</v>
      </c>
      <c r="B986" t="s">
        <v>11</v>
      </c>
      <c r="C986">
        <v>40</v>
      </c>
      <c r="D986" t="str" cm="1">
        <f t="array" ref="D986">_xlfn.IFS(Table2[[#This Row],[Age]]&lt;=11,"Gen A",Table2[[#This Row],[Age]]&lt;=27,"Gen Z",Table2[[#This Row],[Age]]&lt;=43,"Millenials",Table2[[#This Row],[Age]]&lt;=59,"Gen X",Table2[[#This Row],[Age]]&lt;=78,"Baby Boomers",Table2[[#This Row],[Age]]&lt;=96,"Silent",Table2[[#This Row],[Age]]&gt;=97,"Greatest")</f>
        <v>Millenials</v>
      </c>
      <c r="E986" s="1">
        <v>164350</v>
      </c>
      <c r="F986">
        <v>23</v>
      </c>
      <c r="G986" t="str" cm="1">
        <f t="array" ref="G986">_xlfn.IFS(Table2[[#This Row],[Spending Score (1-100)]]&lt;=25,"Low",Table2[[#This Row],[Spending Score (1-100)]]&lt;=50,"Medium",Table2[[#This Row],[Spending Score (1-100)]]&lt;=75,"High",Table2[[#This Row],[Spending Score (1-100)]]&lt;=100,"Very High")</f>
        <v>Low</v>
      </c>
      <c r="H986" t="s">
        <v>9</v>
      </c>
      <c r="I986">
        <v>0</v>
      </c>
      <c r="J986" t="str">
        <f>CONCATENATE(Table2[[#This Row],[Work Experience]],"years")</f>
        <v>0years</v>
      </c>
      <c r="K986" t="str">
        <f>CONCATENATE(Table2[[#This Row],[Family Size2]],"members")</f>
        <v>5members</v>
      </c>
      <c r="L986" t="str">
        <f>CONCATENATE(Table2[[#This Row],[Family Size2]],"members")</f>
        <v>5members</v>
      </c>
      <c r="M986">
        <v>5</v>
      </c>
    </row>
    <row r="987" spans="1:13">
      <c r="A987">
        <v>986</v>
      </c>
      <c r="B987" t="s">
        <v>8</v>
      </c>
      <c r="C987">
        <v>36</v>
      </c>
      <c r="D987" t="str" cm="1">
        <f t="array" ref="D987">_xlfn.IFS(Table2[[#This Row],[Age]]&lt;=11,"Gen A",Table2[[#This Row],[Age]]&lt;=27,"Gen Z",Table2[[#This Row],[Age]]&lt;=43,"Millenials",Table2[[#This Row],[Age]]&lt;=59,"Gen X",Table2[[#This Row],[Age]]&lt;=78,"Baby Boomers",Table2[[#This Row],[Age]]&lt;=96,"Silent",Table2[[#This Row],[Age]]&gt;=97,"Greatest")</f>
        <v>Millenials</v>
      </c>
      <c r="E987" s="1">
        <v>55109</v>
      </c>
      <c r="F987">
        <v>53</v>
      </c>
      <c r="G987" t="str" cm="1">
        <f t="array" ref="G987">_xlfn.IFS(Table2[[#This Row],[Spending Score (1-100)]]&lt;=25,"Low",Table2[[#This Row],[Spending Score (1-100)]]&lt;=50,"Medium",Table2[[#This Row],[Spending Score (1-100)]]&lt;=75,"High",Table2[[#This Row],[Spending Score (1-100)]]&lt;=100,"Very High")</f>
        <v>High</v>
      </c>
      <c r="H987" t="s">
        <v>14</v>
      </c>
      <c r="I987">
        <v>8</v>
      </c>
      <c r="J987" t="str">
        <f>CONCATENATE(Table2[[#This Row],[Work Experience]],"years")</f>
        <v>8years</v>
      </c>
      <c r="K987" t="str">
        <f>CONCATENATE(Table2[[#This Row],[Family Size2]],"members")</f>
        <v>3members</v>
      </c>
      <c r="L987" t="str">
        <f>CONCATENATE(Table2[[#This Row],[Family Size2]],"members")</f>
        <v>3members</v>
      </c>
      <c r="M987">
        <v>3</v>
      </c>
    </row>
    <row r="988" spans="1:13">
      <c r="A988">
        <v>987</v>
      </c>
      <c r="B988" t="s">
        <v>11</v>
      </c>
      <c r="C988">
        <v>12</v>
      </c>
      <c r="D988" t="str" cm="1">
        <f t="array" ref="D988">_xlfn.IFS(Table2[[#This Row],[Age]]&lt;=11,"Gen A",Table2[[#This Row],[Age]]&lt;=27,"Gen Z",Table2[[#This Row],[Age]]&lt;=43,"Millenials",Table2[[#This Row],[Age]]&lt;=59,"Gen X",Table2[[#This Row],[Age]]&lt;=78,"Baby Boomers",Table2[[#This Row],[Age]]&lt;=96,"Silent",Table2[[#This Row],[Age]]&gt;=97,"Greatest")</f>
        <v>Gen Z</v>
      </c>
      <c r="E988" s="1">
        <v>67613</v>
      </c>
      <c r="F988">
        <v>40</v>
      </c>
      <c r="G988" t="str" cm="1">
        <f t="array" ref="G988">_xlfn.IFS(Table2[[#This Row],[Spending Score (1-100)]]&lt;=25,"Low",Table2[[#This Row],[Spending Score (1-100)]]&lt;=50,"Medium",Table2[[#This Row],[Spending Score (1-100)]]&lt;=75,"High",Table2[[#This Row],[Spending Score (1-100)]]&lt;=100,"Very High")</f>
        <v>Medium</v>
      </c>
      <c r="H988" t="s">
        <v>13</v>
      </c>
      <c r="I988">
        <v>1</v>
      </c>
      <c r="J988" t="str">
        <f>CONCATENATE(Table2[[#This Row],[Work Experience]],"years")</f>
        <v>1years</v>
      </c>
      <c r="K988" t="str">
        <f>CONCATENATE(Table2[[#This Row],[Family Size2]],"members")</f>
        <v>2members</v>
      </c>
      <c r="L988" t="str">
        <f>CONCATENATE(Table2[[#This Row],[Family Size2]],"members")</f>
        <v>2members</v>
      </c>
      <c r="M988">
        <v>2</v>
      </c>
    </row>
    <row r="989" spans="1:13">
      <c r="A989">
        <v>988</v>
      </c>
      <c r="B989" t="s">
        <v>11</v>
      </c>
      <c r="C989">
        <v>60</v>
      </c>
      <c r="D989" t="str" cm="1">
        <f t="array" ref="D989">_xlfn.IFS(Table2[[#This Row],[Age]]&lt;=11,"Gen A",Table2[[#This Row],[Age]]&lt;=27,"Gen Z",Table2[[#This Row],[Age]]&lt;=43,"Millenials",Table2[[#This Row],[Age]]&lt;=59,"Gen X",Table2[[#This Row],[Age]]&lt;=78,"Baby Boomers",Table2[[#This Row],[Age]]&lt;=96,"Silent",Table2[[#This Row],[Age]]&gt;=97,"Greatest")</f>
        <v>Baby Boomers</v>
      </c>
      <c r="E989" s="1">
        <v>185306</v>
      </c>
      <c r="F989">
        <v>47</v>
      </c>
      <c r="G989" t="str" cm="1">
        <f t="array" ref="G989">_xlfn.IFS(Table2[[#This Row],[Spending Score (1-100)]]&lt;=25,"Low",Table2[[#This Row],[Spending Score (1-100)]]&lt;=50,"Medium",Table2[[#This Row],[Spending Score (1-100)]]&lt;=75,"High",Table2[[#This Row],[Spending Score (1-100)]]&lt;=100,"Very High")</f>
        <v>Medium</v>
      </c>
      <c r="H989" t="s">
        <v>13</v>
      </c>
      <c r="I989">
        <v>0</v>
      </c>
      <c r="J989" t="str">
        <f>CONCATENATE(Table2[[#This Row],[Work Experience]],"years")</f>
        <v>0years</v>
      </c>
      <c r="K989" t="str">
        <f>CONCATENATE(Table2[[#This Row],[Family Size2]],"members")</f>
        <v>2members</v>
      </c>
      <c r="L989" t="str">
        <f>CONCATENATE(Table2[[#This Row],[Family Size2]],"members")</f>
        <v>2members</v>
      </c>
      <c r="M989">
        <v>2</v>
      </c>
    </row>
    <row r="990" spans="1:13">
      <c r="A990">
        <v>989</v>
      </c>
      <c r="B990" t="s">
        <v>11</v>
      </c>
      <c r="C990">
        <v>24</v>
      </c>
      <c r="D990" t="str" cm="1">
        <f t="array" ref="D990">_xlfn.IFS(Table2[[#This Row],[Age]]&lt;=11,"Gen A",Table2[[#This Row],[Age]]&lt;=27,"Gen Z",Table2[[#This Row],[Age]]&lt;=43,"Millenials",Table2[[#This Row],[Age]]&lt;=59,"Gen X",Table2[[#This Row],[Age]]&lt;=78,"Baby Boomers",Table2[[#This Row],[Age]]&lt;=96,"Silent",Table2[[#This Row],[Age]]&gt;=97,"Greatest")</f>
        <v>Gen Z</v>
      </c>
      <c r="E990" s="1">
        <v>154787</v>
      </c>
      <c r="F990">
        <v>84</v>
      </c>
      <c r="G990" t="str" cm="1">
        <f t="array" ref="G990">_xlfn.IFS(Table2[[#This Row],[Spending Score (1-100)]]&lt;=25,"Low",Table2[[#This Row],[Spending Score (1-100)]]&lt;=50,"Medium",Table2[[#This Row],[Spending Score (1-100)]]&lt;=75,"High",Table2[[#This Row],[Spending Score (1-100)]]&lt;=100,"Very High")</f>
        <v>Very High</v>
      </c>
      <c r="H990" t="s">
        <v>15</v>
      </c>
      <c r="I990">
        <v>3</v>
      </c>
      <c r="J990" t="str">
        <f>CONCATENATE(Table2[[#This Row],[Work Experience]],"years")</f>
        <v>3years</v>
      </c>
      <c r="K990" t="str">
        <f>CONCATENATE(Table2[[#This Row],[Family Size2]],"members")</f>
        <v>5members</v>
      </c>
      <c r="L990" t="str">
        <f>CONCATENATE(Table2[[#This Row],[Family Size2]],"members")</f>
        <v>5members</v>
      </c>
      <c r="M990">
        <v>5</v>
      </c>
    </row>
    <row r="991" spans="1:13">
      <c r="A991">
        <v>990</v>
      </c>
      <c r="B991" t="s">
        <v>11</v>
      </c>
      <c r="C991">
        <v>17</v>
      </c>
      <c r="D991" t="str" cm="1">
        <f t="array" ref="D991">_xlfn.IFS(Table2[[#This Row],[Age]]&lt;=11,"Gen A",Table2[[#This Row],[Age]]&lt;=27,"Gen Z",Table2[[#This Row],[Age]]&lt;=43,"Millenials",Table2[[#This Row],[Age]]&lt;=59,"Gen X",Table2[[#This Row],[Age]]&lt;=78,"Baby Boomers",Table2[[#This Row],[Age]]&lt;=96,"Silent",Table2[[#This Row],[Age]]&gt;=97,"Greatest")</f>
        <v>Gen Z</v>
      </c>
      <c r="E991" s="1">
        <v>109759</v>
      </c>
      <c r="F991">
        <v>96</v>
      </c>
      <c r="G991" t="str" cm="1">
        <f t="array" ref="G991">_xlfn.IFS(Table2[[#This Row],[Spending Score (1-100)]]&lt;=25,"Low",Table2[[#This Row],[Spending Score (1-100)]]&lt;=50,"Medium",Table2[[#This Row],[Spending Score (1-100)]]&lt;=75,"High",Table2[[#This Row],[Spending Score (1-100)]]&lt;=100,"Very High")</f>
        <v>Very High</v>
      </c>
      <c r="H991" t="s">
        <v>14</v>
      </c>
      <c r="I991">
        <v>9</v>
      </c>
      <c r="J991" t="str">
        <f>CONCATENATE(Table2[[#This Row],[Work Experience]],"years")</f>
        <v>9years</v>
      </c>
      <c r="K991" t="str">
        <f>CONCATENATE(Table2[[#This Row],[Family Size2]],"members")</f>
        <v>3members</v>
      </c>
      <c r="L991" t="str">
        <f>CONCATENATE(Table2[[#This Row],[Family Size2]],"members")</f>
        <v>3members</v>
      </c>
      <c r="M991">
        <v>3</v>
      </c>
    </row>
    <row r="992" spans="1:13">
      <c r="A992">
        <v>991</v>
      </c>
      <c r="B992" t="s">
        <v>11</v>
      </c>
      <c r="C992">
        <v>92</v>
      </c>
      <c r="D992" t="str" cm="1">
        <f t="array" ref="D992">_xlfn.IFS(Table2[[#This Row],[Age]]&lt;=11,"Gen A",Table2[[#This Row],[Age]]&lt;=27,"Gen Z",Table2[[#This Row],[Age]]&lt;=43,"Millenials",Table2[[#This Row],[Age]]&lt;=59,"Gen X",Table2[[#This Row],[Age]]&lt;=78,"Baby Boomers",Table2[[#This Row],[Age]]&lt;=96,"Silent",Table2[[#This Row],[Age]]&gt;=97,"Greatest")</f>
        <v>Silent</v>
      </c>
      <c r="E992" s="1">
        <v>114571</v>
      </c>
      <c r="F992">
        <v>51</v>
      </c>
      <c r="G992" t="str" cm="1">
        <f t="array" ref="G992">_xlfn.IFS(Table2[[#This Row],[Spending Score (1-100)]]&lt;=25,"Low",Table2[[#This Row],[Spending Score (1-100)]]&lt;=50,"Medium",Table2[[#This Row],[Spending Score (1-100)]]&lt;=75,"High",Table2[[#This Row],[Spending Score (1-100)]]&lt;=100,"Very High")</f>
        <v>High</v>
      </c>
      <c r="H992" t="s">
        <v>15</v>
      </c>
      <c r="I992">
        <v>1</v>
      </c>
      <c r="J992" t="str">
        <f>CONCATENATE(Table2[[#This Row],[Work Experience]],"years")</f>
        <v>1years</v>
      </c>
      <c r="K992" t="str">
        <f>CONCATENATE(Table2[[#This Row],[Family Size2]],"members")</f>
        <v>3members</v>
      </c>
      <c r="L992" t="str">
        <f>CONCATENATE(Table2[[#This Row],[Family Size2]],"members")</f>
        <v>3members</v>
      </c>
      <c r="M992">
        <v>3</v>
      </c>
    </row>
    <row r="993" spans="1:13">
      <c r="A993">
        <v>992</v>
      </c>
      <c r="B993" t="s">
        <v>8</v>
      </c>
      <c r="C993">
        <v>32</v>
      </c>
      <c r="D993" t="str" cm="1">
        <f t="array" ref="D993">_xlfn.IFS(Table2[[#This Row],[Age]]&lt;=11,"Gen A",Table2[[#This Row],[Age]]&lt;=27,"Gen Z",Table2[[#This Row],[Age]]&lt;=43,"Millenials",Table2[[#This Row],[Age]]&lt;=59,"Gen X",Table2[[#This Row],[Age]]&lt;=78,"Baby Boomers",Table2[[#This Row],[Age]]&lt;=96,"Silent",Table2[[#This Row],[Age]]&gt;=97,"Greatest")</f>
        <v>Millenials</v>
      </c>
      <c r="E993" s="1">
        <v>130697</v>
      </c>
      <c r="F993">
        <v>93</v>
      </c>
      <c r="G993" t="str" cm="1">
        <f t="array" ref="G993">_xlfn.IFS(Table2[[#This Row],[Spending Score (1-100)]]&lt;=25,"Low",Table2[[#This Row],[Spending Score (1-100)]]&lt;=50,"Medium",Table2[[#This Row],[Spending Score (1-100)]]&lt;=75,"High",Table2[[#This Row],[Spending Score (1-100)]]&lt;=100,"Very High")</f>
        <v>Very High</v>
      </c>
      <c r="H993" t="s">
        <v>14</v>
      </c>
      <c r="I993">
        <v>1</v>
      </c>
      <c r="J993" t="str">
        <f>CONCATENATE(Table2[[#This Row],[Work Experience]],"years")</f>
        <v>1years</v>
      </c>
      <c r="K993" t="str">
        <f>CONCATENATE(Table2[[#This Row],[Family Size2]],"members")</f>
        <v>2members</v>
      </c>
      <c r="L993" t="str">
        <f>CONCATENATE(Table2[[#This Row],[Family Size2]],"members")</f>
        <v>2members</v>
      </c>
      <c r="M993">
        <v>2</v>
      </c>
    </row>
    <row r="994" spans="1:13">
      <c r="A994">
        <v>993</v>
      </c>
      <c r="B994" t="s">
        <v>8</v>
      </c>
      <c r="C994">
        <v>39</v>
      </c>
      <c r="D994" t="str" cm="1">
        <f t="array" ref="D994">_xlfn.IFS(Table2[[#This Row],[Age]]&lt;=11,"Gen A",Table2[[#This Row],[Age]]&lt;=27,"Gen Z",Table2[[#This Row],[Age]]&lt;=43,"Millenials",Table2[[#This Row],[Age]]&lt;=59,"Gen X",Table2[[#This Row],[Age]]&lt;=78,"Baby Boomers",Table2[[#This Row],[Age]]&lt;=96,"Silent",Table2[[#This Row],[Age]]&gt;=97,"Greatest")</f>
        <v>Millenials</v>
      </c>
      <c r="E994" s="1">
        <v>115916</v>
      </c>
      <c r="F994">
        <v>24</v>
      </c>
      <c r="G994" t="str" cm="1">
        <f t="array" ref="G994">_xlfn.IFS(Table2[[#This Row],[Spending Score (1-100)]]&lt;=25,"Low",Table2[[#This Row],[Spending Score (1-100)]]&lt;=50,"Medium",Table2[[#This Row],[Spending Score (1-100)]]&lt;=75,"High",Table2[[#This Row],[Spending Score (1-100)]]&lt;=100,"Very High")</f>
        <v>Low</v>
      </c>
      <c r="H994" t="s">
        <v>16</v>
      </c>
      <c r="I994">
        <v>13</v>
      </c>
      <c r="J994" t="str">
        <f>CONCATENATE(Table2[[#This Row],[Work Experience]],"years")</f>
        <v>13years</v>
      </c>
      <c r="K994" t="str">
        <f>CONCATENATE(Table2[[#This Row],[Family Size2]],"members")</f>
        <v>6members</v>
      </c>
      <c r="L994" t="str">
        <f>CONCATENATE(Table2[[#This Row],[Family Size2]],"members")</f>
        <v>6members</v>
      </c>
      <c r="M994">
        <v>6</v>
      </c>
    </row>
    <row r="995" spans="1:13">
      <c r="A995">
        <v>994</v>
      </c>
      <c r="B995" t="s">
        <v>11</v>
      </c>
      <c r="C995">
        <v>50</v>
      </c>
      <c r="D995" t="str" cm="1">
        <f t="array" ref="D995">_xlfn.IFS(Table2[[#This Row],[Age]]&lt;=11,"Gen A",Table2[[#This Row],[Age]]&lt;=27,"Gen Z",Table2[[#This Row],[Age]]&lt;=43,"Millenials",Table2[[#This Row],[Age]]&lt;=59,"Gen X",Table2[[#This Row],[Age]]&lt;=78,"Baby Boomers",Table2[[#This Row],[Age]]&lt;=96,"Silent",Table2[[#This Row],[Age]]&gt;=97,"Greatest")</f>
        <v>Gen X</v>
      </c>
      <c r="E995" s="1">
        <v>69814</v>
      </c>
      <c r="F995">
        <v>53</v>
      </c>
      <c r="G995" t="str" cm="1">
        <f t="array" ref="G995">_xlfn.IFS(Table2[[#This Row],[Spending Score (1-100)]]&lt;=25,"Low",Table2[[#This Row],[Spending Score (1-100)]]&lt;=50,"Medium",Table2[[#This Row],[Spending Score (1-100)]]&lt;=75,"High",Table2[[#This Row],[Spending Score (1-100)]]&lt;=100,"Very High")</f>
        <v>High</v>
      </c>
      <c r="H995" t="s">
        <v>14</v>
      </c>
      <c r="I995">
        <v>9</v>
      </c>
      <c r="J995" t="str">
        <f>CONCATENATE(Table2[[#This Row],[Work Experience]],"years")</f>
        <v>9years</v>
      </c>
      <c r="K995" t="str">
        <f>CONCATENATE(Table2[[#This Row],[Family Size2]],"members")</f>
        <v>2members</v>
      </c>
      <c r="L995" t="str">
        <f>CONCATENATE(Table2[[#This Row],[Family Size2]],"members")</f>
        <v>2members</v>
      </c>
      <c r="M995">
        <v>2</v>
      </c>
    </row>
    <row r="996" spans="1:13">
      <c r="A996">
        <v>995</v>
      </c>
      <c r="B996" t="s">
        <v>11</v>
      </c>
      <c r="C996">
        <v>85</v>
      </c>
      <c r="D996" t="str" cm="1">
        <f t="array" ref="D996">_xlfn.IFS(Table2[[#This Row],[Age]]&lt;=11,"Gen A",Table2[[#This Row],[Age]]&lt;=27,"Gen Z",Table2[[#This Row],[Age]]&lt;=43,"Millenials",Table2[[#This Row],[Age]]&lt;=59,"Gen X",Table2[[#This Row],[Age]]&lt;=78,"Baby Boomers",Table2[[#This Row],[Age]]&lt;=96,"Silent",Table2[[#This Row],[Age]]&gt;=97,"Greatest")</f>
        <v>Silent</v>
      </c>
      <c r="E996" s="1">
        <v>118161</v>
      </c>
      <c r="F996">
        <v>74</v>
      </c>
      <c r="G996" t="str" cm="1">
        <f t="array" ref="G996">_xlfn.IFS(Table2[[#This Row],[Spending Score (1-100)]]&lt;=25,"Low",Table2[[#This Row],[Spending Score (1-100)]]&lt;=50,"Medium",Table2[[#This Row],[Spending Score (1-100)]]&lt;=75,"High",Table2[[#This Row],[Spending Score (1-100)]]&lt;=100,"Very High")</f>
        <v>High</v>
      </c>
      <c r="H996" t="s">
        <v>10</v>
      </c>
      <c r="I996">
        <v>0</v>
      </c>
      <c r="J996" t="str">
        <f>CONCATENATE(Table2[[#This Row],[Work Experience]],"years")</f>
        <v>0years</v>
      </c>
      <c r="K996" t="str">
        <f>CONCATENATE(Table2[[#This Row],[Family Size2]],"members")</f>
        <v>4members</v>
      </c>
      <c r="L996" t="str">
        <f>CONCATENATE(Table2[[#This Row],[Family Size2]],"members")</f>
        <v>4members</v>
      </c>
      <c r="M996">
        <v>4</v>
      </c>
    </row>
    <row r="997" spans="1:13">
      <c r="A997">
        <v>996</v>
      </c>
      <c r="B997" t="s">
        <v>8</v>
      </c>
      <c r="C997">
        <v>65</v>
      </c>
      <c r="D997" t="str" cm="1">
        <f t="array" ref="D997">_xlfn.IFS(Table2[[#This Row],[Age]]&lt;=11,"Gen A",Table2[[#This Row],[Age]]&lt;=27,"Gen Z",Table2[[#This Row],[Age]]&lt;=43,"Millenials",Table2[[#This Row],[Age]]&lt;=59,"Gen X",Table2[[#This Row],[Age]]&lt;=78,"Baby Boomers",Table2[[#This Row],[Age]]&lt;=96,"Silent",Table2[[#This Row],[Age]]&gt;=97,"Greatest")</f>
        <v>Baby Boomers</v>
      </c>
      <c r="E997" s="1">
        <v>56583</v>
      </c>
      <c r="F997">
        <v>65</v>
      </c>
      <c r="G997" t="str" cm="1">
        <f t="array" ref="G997">_xlfn.IFS(Table2[[#This Row],[Spending Score (1-100)]]&lt;=25,"Low",Table2[[#This Row],[Spending Score (1-100)]]&lt;=50,"Medium",Table2[[#This Row],[Spending Score (1-100)]]&lt;=75,"High",Table2[[#This Row],[Spending Score (1-100)]]&lt;=100,"Very High")</f>
        <v>High</v>
      </c>
      <c r="H997" t="s">
        <v>9</v>
      </c>
      <c r="I997">
        <v>2</v>
      </c>
      <c r="J997" t="str">
        <f>CONCATENATE(Table2[[#This Row],[Work Experience]],"years")</f>
        <v>2years</v>
      </c>
      <c r="K997" t="str">
        <f>CONCATENATE(Table2[[#This Row],[Family Size2]],"members")</f>
        <v>3members</v>
      </c>
      <c r="L997" t="str">
        <f>CONCATENATE(Table2[[#This Row],[Family Size2]],"members")</f>
        <v>3members</v>
      </c>
      <c r="M997">
        <v>3</v>
      </c>
    </row>
    <row r="998" spans="1:13">
      <c r="A998">
        <v>997</v>
      </c>
      <c r="B998" t="s">
        <v>11</v>
      </c>
      <c r="C998">
        <v>17</v>
      </c>
      <c r="D998" t="str" cm="1">
        <f t="array" ref="D998">_xlfn.IFS(Table2[[#This Row],[Age]]&lt;=11,"Gen A",Table2[[#This Row],[Age]]&lt;=27,"Gen Z",Table2[[#This Row],[Age]]&lt;=43,"Millenials",Table2[[#This Row],[Age]]&lt;=59,"Gen X",Table2[[#This Row],[Age]]&lt;=78,"Baby Boomers",Table2[[#This Row],[Age]]&lt;=96,"Silent",Table2[[#This Row],[Age]]&gt;=97,"Greatest")</f>
        <v>Gen Z</v>
      </c>
      <c r="E998" s="1">
        <v>185843</v>
      </c>
      <c r="F998">
        <v>36</v>
      </c>
      <c r="G998" t="str" cm="1">
        <f t="array" ref="G998">_xlfn.IFS(Table2[[#This Row],[Spending Score (1-100)]]&lt;=25,"Low",Table2[[#This Row],[Spending Score (1-100)]]&lt;=50,"Medium",Table2[[#This Row],[Spending Score (1-100)]]&lt;=75,"High",Table2[[#This Row],[Spending Score (1-100)]]&lt;=100,"Very High")</f>
        <v>Medium</v>
      </c>
      <c r="H998" t="s">
        <v>14</v>
      </c>
      <c r="I998">
        <v>4</v>
      </c>
      <c r="J998" t="str">
        <f>CONCATENATE(Table2[[#This Row],[Work Experience]],"years")</f>
        <v>4years</v>
      </c>
      <c r="K998" t="str">
        <f>CONCATENATE(Table2[[#This Row],[Family Size2]],"members")</f>
        <v>3members</v>
      </c>
      <c r="L998" t="str">
        <f>CONCATENATE(Table2[[#This Row],[Family Size2]],"members")</f>
        <v>3members</v>
      </c>
      <c r="M998">
        <v>3</v>
      </c>
    </row>
    <row r="999" spans="1:13">
      <c r="A999">
        <v>998</v>
      </c>
      <c r="B999" t="s">
        <v>11</v>
      </c>
      <c r="C999">
        <v>31</v>
      </c>
      <c r="D999" t="str" cm="1">
        <f t="array" ref="D999">_xlfn.IFS(Table2[[#This Row],[Age]]&lt;=11,"Gen A",Table2[[#This Row],[Age]]&lt;=27,"Gen Z",Table2[[#This Row],[Age]]&lt;=43,"Millenials",Table2[[#This Row],[Age]]&lt;=59,"Gen X",Table2[[#This Row],[Age]]&lt;=78,"Baby Boomers",Table2[[#This Row],[Age]]&lt;=96,"Silent",Table2[[#This Row],[Age]]&gt;=97,"Greatest")</f>
        <v>Millenials</v>
      </c>
      <c r="E999" s="1">
        <v>171825</v>
      </c>
      <c r="F999">
        <v>22</v>
      </c>
      <c r="G999" t="str" cm="1">
        <f t="array" ref="G999">_xlfn.IFS(Table2[[#This Row],[Spending Score (1-100)]]&lt;=25,"Low",Table2[[#This Row],[Spending Score (1-100)]]&lt;=50,"Medium",Table2[[#This Row],[Spending Score (1-100)]]&lt;=75,"High",Table2[[#This Row],[Spending Score (1-100)]]&lt;=100,"Very High")</f>
        <v>Low</v>
      </c>
      <c r="H999" t="s">
        <v>13</v>
      </c>
      <c r="I999">
        <v>10</v>
      </c>
      <c r="J999" t="str">
        <f>CONCATENATE(Table2[[#This Row],[Work Experience]],"years")</f>
        <v>10years</v>
      </c>
      <c r="K999" t="str">
        <f>CONCATENATE(Table2[[#This Row],[Family Size2]],"members")</f>
        <v>4members</v>
      </c>
      <c r="L999" t="str">
        <f>CONCATENATE(Table2[[#This Row],[Family Size2]],"members")</f>
        <v>4members</v>
      </c>
      <c r="M999">
        <v>4</v>
      </c>
    </row>
    <row r="1000" spans="1:13">
      <c r="A1000">
        <v>999</v>
      </c>
      <c r="B1000" t="s">
        <v>8</v>
      </c>
      <c r="C1000">
        <v>24</v>
      </c>
      <c r="D1000" t="str" cm="1">
        <f t="array" ref="D1000">_xlfn.IFS(Table2[[#This Row],[Age]]&lt;=11,"Gen A",Table2[[#This Row],[Age]]&lt;=27,"Gen Z",Table2[[#This Row],[Age]]&lt;=43,"Millenials",Table2[[#This Row],[Age]]&lt;=59,"Gen X",Table2[[#This Row],[Age]]&lt;=78,"Baby Boomers",Table2[[#This Row],[Age]]&lt;=96,"Silent",Table2[[#This Row],[Age]]&gt;=97,"Greatest")</f>
        <v>Gen Z</v>
      </c>
      <c r="E1000" s="1">
        <v>77976</v>
      </c>
      <c r="F1000">
        <v>95</v>
      </c>
      <c r="G1000" t="str" cm="1">
        <f t="array" ref="G1000">_xlfn.IFS(Table2[[#This Row],[Spending Score (1-100)]]&lt;=25,"Low",Table2[[#This Row],[Spending Score (1-100)]]&lt;=50,"Medium",Table2[[#This Row],[Spending Score (1-100)]]&lt;=75,"High",Table2[[#This Row],[Spending Score (1-100)]]&lt;=100,"Very High")</f>
        <v>Very High</v>
      </c>
      <c r="H1000" t="s">
        <v>14</v>
      </c>
      <c r="I1000">
        <v>11</v>
      </c>
      <c r="J1000" t="str">
        <f>CONCATENATE(Table2[[#This Row],[Work Experience]],"years")</f>
        <v>11years</v>
      </c>
      <c r="K1000" t="str">
        <f>CONCATENATE(Table2[[#This Row],[Family Size2]],"members")</f>
        <v>3members</v>
      </c>
      <c r="L1000" t="str">
        <f>CONCATENATE(Table2[[#This Row],[Family Size2]],"members")</f>
        <v>3members</v>
      </c>
      <c r="M1000">
        <v>3</v>
      </c>
    </row>
    <row r="1001" spans="1:13">
      <c r="A1001">
        <v>1000</v>
      </c>
      <c r="B1001" t="s">
        <v>8</v>
      </c>
      <c r="C1001">
        <v>97</v>
      </c>
      <c r="D1001" t="str" cm="1">
        <f t="array" ref="D1001">_xlfn.IFS(Table2[[#This Row],[Age]]&lt;=11,"Gen A",Table2[[#This Row],[Age]]&lt;=27,"Gen Z",Table2[[#This Row],[Age]]&lt;=43,"Millenials",Table2[[#This Row],[Age]]&lt;=59,"Gen X",Table2[[#This Row],[Age]]&lt;=78,"Baby Boomers",Table2[[#This Row],[Age]]&lt;=96,"Silent",Table2[[#This Row],[Age]]&gt;=97,"Greatest")</f>
        <v>Greatest</v>
      </c>
      <c r="E1001" s="1">
        <v>66312</v>
      </c>
      <c r="F1001">
        <v>75</v>
      </c>
      <c r="G1001" t="str" cm="1">
        <f t="array" ref="G1001">_xlfn.IFS(Table2[[#This Row],[Spending Score (1-100)]]&lt;=25,"Low",Table2[[#This Row],[Spending Score (1-100)]]&lt;=50,"Medium",Table2[[#This Row],[Spending Score (1-100)]]&lt;=75,"High",Table2[[#This Row],[Spending Score (1-100)]]&lt;=100,"Very High")</f>
        <v>High</v>
      </c>
      <c r="H1001" t="s">
        <v>13</v>
      </c>
      <c r="I1001">
        <v>0</v>
      </c>
      <c r="J1001" t="str">
        <f>CONCATENATE(Table2[[#This Row],[Work Experience]],"years")</f>
        <v>0years</v>
      </c>
      <c r="K1001" t="str">
        <f>CONCATENATE(Table2[[#This Row],[Family Size2]],"members")</f>
        <v>1members</v>
      </c>
      <c r="L1001" t="str">
        <f>CONCATENATE(Table2[[#This Row],[Family Size2]],"members")</f>
        <v>1members</v>
      </c>
      <c r="M1001">
        <v>1</v>
      </c>
    </row>
    <row r="1002" spans="1:13">
      <c r="A1002">
        <v>1001</v>
      </c>
      <c r="B1002" t="s">
        <v>11</v>
      </c>
      <c r="C1002">
        <v>92</v>
      </c>
      <c r="D1002" t="str" cm="1">
        <f t="array" ref="D1002">_xlfn.IFS(Table2[[#This Row],[Age]]&lt;=11,"Gen A",Table2[[#This Row],[Age]]&lt;=27,"Gen Z",Table2[[#This Row],[Age]]&lt;=43,"Millenials",Table2[[#This Row],[Age]]&lt;=59,"Gen X",Table2[[#This Row],[Age]]&lt;=78,"Baby Boomers",Table2[[#This Row],[Age]]&lt;=96,"Silent",Table2[[#This Row],[Age]]&gt;=97,"Greatest")</f>
        <v>Silent</v>
      </c>
      <c r="E1002" s="1">
        <v>81839</v>
      </c>
      <c r="F1002">
        <v>11</v>
      </c>
      <c r="G1002" t="str" cm="1">
        <f t="array" ref="G1002">_xlfn.IFS(Table2[[#This Row],[Spending Score (1-100)]]&lt;=25,"Low",Table2[[#This Row],[Spending Score (1-100)]]&lt;=50,"Medium",Table2[[#This Row],[Spending Score (1-100)]]&lt;=75,"High",Table2[[#This Row],[Spending Score (1-100)]]&lt;=100,"Very High")</f>
        <v>Low</v>
      </c>
      <c r="H1002" t="s">
        <v>13</v>
      </c>
      <c r="I1002">
        <v>0</v>
      </c>
      <c r="J1002" t="str">
        <f>CONCATENATE(Table2[[#This Row],[Work Experience]],"years")</f>
        <v>0years</v>
      </c>
      <c r="K1002" t="str">
        <f>CONCATENATE(Table2[[#This Row],[Family Size2]],"members")</f>
        <v>4members</v>
      </c>
      <c r="L1002" t="str">
        <f>CONCATENATE(Table2[[#This Row],[Family Size2]],"members")</f>
        <v>4members</v>
      </c>
      <c r="M1002">
        <v>4</v>
      </c>
    </row>
    <row r="1003" spans="1:13">
      <c r="A1003">
        <v>1002</v>
      </c>
      <c r="B1003" t="s">
        <v>11</v>
      </c>
      <c r="C1003">
        <v>80</v>
      </c>
      <c r="D1003" t="str" cm="1">
        <f t="array" ref="D1003">_xlfn.IFS(Table2[[#This Row],[Age]]&lt;=11,"Gen A",Table2[[#This Row],[Age]]&lt;=27,"Gen Z",Table2[[#This Row],[Age]]&lt;=43,"Millenials",Table2[[#This Row],[Age]]&lt;=59,"Gen X",Table2[[#This Row],[Age]]&lt;=78,"Baby Boomers",Table2[[#This Row],[Age]]&lt;=96,"Silent",Table2[[#This Row],[Age]]&gt;=97,"Greatest")</f>
        <v>Silent</v>
      </c>
      <c r="E1003" s="1">
        <v>55712</v>
      </c>
      <c r="F1003">
        <v>5</v>
      </c>
      <c r="G1003" t="str" cm="1">
        <f t="array" ref="G1003">_xlfn.IFS(Table2[[#This Row],[Spending Score (1-100)]]&lt;=25,"Low",Table2[[#This Row],[Spending Score (1-100)]]&lt;=50,"Medium",Table2[[#This Row],[Spending Score (1-100)]]&lt;=75,"High",Table2[[#This Row],[Spending Score (1-100)]]&lt;=100,"Very High")</f>
        <v>Low</v>
      </c>
      <c r="H1003" t="s">
        <v>14</v>
      </c>
      <c r="I1003">
        <v>5</v>
      </c>
      <c r="J1003" t="str">
        <f>CONCATENATE(Table2[[#This Row],[Work Experience]],"years")</f>
        <v>5years</v>
      </c>
      <c r="K1003" t="str">
        <f>CONCATENATE(Table2[[#This Row],[Family Size2]],"members")</f>
        <v>6members</v>
      </c>
      <c r="L1003" t="str">
        <f>CONCATENATE(Table2[[#This Row],[Family Size2]],"members")</f>
        <v>6members</v>
      </c>
      <c r="M1003">
        <v>6</v>
      </c>
    </row>
    <row r="1004" spans="1:13">
      <c r="A1004">
        <v>1003</v>
      </c>
      <c r="B1004" t="s">
        <v>8</v>
      </c>
      <c r="C1004">
        <v>33</v>
      </c>
      <c r="D1004" t="str" cm="1">
        <f t="array" ref="D1004">_xlfn.IFS(Table2[[#This Row],[Age]]&lt;=11,"Gen A",Table2[[#This Row],[Age]]&lt;=27,"Gen Z",Table2[[#This Row],[Age]]&lt;=43,"Millenials",Table2[[#This Row],[Age]]&lt;=59,"Gen X",Table2[[#This Row],[Age]]&lt;=78,"Baby Boomers",Table2[[#This Row],[Age]]&lt;=96,"Silent",Table2[[#This Row],[Age]]&gt;=97,"Greatest")</f>
        <v>Millenials</v>
      </c>
      <c r="E1004" s="1">
        <v>158335</v>
      </c>
      <c r="F1004">
        <v>45</v>
      </c>
      <c r="G1004" t="str" cm="1">
        <f t="array" ref="G1004">_xlfn.IFS(Table2[[#This Row],[Spending Score (1-100)]]&lt;=25,"Low",Table2[[#This Row],[Spending Score (1-100)]]&lt;=50,"Medium",Table2[[#This Row],[Spending Score (1-100)]]&lt;=75,"High",Table2[[#This Row],[Spending Score (1-100)]]&lt;=100,"Very High")</f>
        <v>Medium</v>
      </c>
      <c r="H1004" t="s">
        <v>9</v>
      </c>
      <c r="I1004">
        <v>2</v>
      </c>
      <c r="J1004" t="str">
        <f>CONCATENATE(Table2[[#This Row],[Work Experience]],"years")</f>
        <v>2years</v>
      </c>
      <c r="K1004" t="str">
        <f>CONCATENATE(Table2[[#This Row],[Family Size2]],"members")</f>
        <v>5members</v>
      </c>
      <c r="L1004" t="str">
        <f>CONCATENATE(Table2[[#This Row],[Family Size2]],"members")</f>
        <v>5members</v>
      </c>
      <c r="M1004">
        <v>5</v>
      </c>
    </row>
    <row r="1005" spans="1:13">
      <c r="A1005">
        <v>1004</v>
      </c>
      <c r="B1005" t="s">
        <v>8</v>
      </c>
      <c r="C1005">
        <v>8</v>
      </c>
      <c r="D1005" t="str" cm="1">
        <f t="array" ref="D1005">_xlfn.IFS(Table2[[#This Row],[Age]]&lt;=11,"Gen A",Table2[[#This Row],[Age]]&lt;=27,"Gen Z",Table2[[#This Row],[Age]]&lt;=43,"Millenials",Table2[[#This Row],[Age]]&lt;=59,"Gen X",Table2[[#This Row],[Age]]&lt;=78,"Baby Boomers",Table2[[#This Row],[Age]]&lt;=96,"Silent",Table2[[#This Row],[Age]]&gt;=97,"Greatest")</f>
        <v>Gen A</v>
      </c>
      <c r="E1005" s="1">
        <v>74253</v>
      </c>
      <c r="F1005">
        <v>45</v>
      </c>
      <c r="G1005" t="str" cm="1">
        <f t="array" ref="G1005">_xlfn.IFS(Table2[[#This Row],[Spending Score (1-100)]]&lt;=25,"Low",Table2[[#This Row],[Spending Score (1-100)]]&lt;=50,"Medium",Table2[[#This Row],[Spending Score (1-100)]]&lt;=75,"High",Table2[[#This Row],[Spending Score (1-100)]]&lt;=100,"Very High")</f>
        <v>Medium</v>
      </c>
      <c r="H1005" t="s">
        <v>12</v>
      </c>
      <c r="I1005">
        <v>1</v>
      </c>
      <c r="J1005" t="str">
        <f>CONCATENATE(Table2[[#This Row],[Work Experience]],"years")</f>
        <v>1years</v>
      </c>
      <c r="K1005" t="str">
        <f>CONCATENATE(Table2[[#This Row],[Family Size2]],"members")</f>
        <v>6members</v>
      </c>
      <c r="L1005" t="str">
        <f>CONCATENATE(Table2[[#This Row],[Family Size2]],"members")</f>
        <v>6members</v>
      </c>
      <c r="M1005">
        <v>6</v>
      </c>
    </row>
    <row r="1006" spans="1:13">
      <c r="A1006">
        <v>1005</v>
      </c>
      <c r="B1006" t="s">
        <v>8</v>
      </c>
      <c r="C1006">
        <v>67</v>
      </c>
      <c r="D1006" t="str" cm="1">
        <f t="array" ref="D1006">_xlfn.IFS(Table2[[#This Row],[Age]]&lt;=11,"Gen A",Table2[[#This Row],[Age]]&lt;=27,"Gen Z",Table2[[#This Row],[Age]]&lt;=43,"Millenials",Table2[[#This Row],[Age]]&lt;=59,"Gen X",Table2[[#This Row],[Age]]&lt;=78,"Baby Boomers",Table2[[#This Row],[Age]]&lt;=96,"Silent",Table2[[#This Row],[Age]]&gt;=97,"Greatest")</f>
        <v>Baby Boomers</v>
      </c>
      <c r="E1006" s="1">
        <v>119625</v>
      </c>
      <c r="F1006">
        <v>3</v>
      </c>
      <c r="G1006" t="str" cm="1">
        <f t="array" ref="G1006">_xlfn.IFS(Table2[[#This Row],[Spending Score (1-100)]]&lt;=25,"Low",Table2[[#This Row],[Spending Score (1-100)]]&lt;=50,"Medium",Table2[[#This Row],[Spending Score (1-100)]]&lt;=75,"High",Table2[[#This Row],[Spending Score (1-100)]]&lt;=100,"Very High")</f>
        <v>Low</v>
      </c>
      <c r="H1006" t="s">
        <v>9</v>
      </c>
      <c r="I1006">
        <v>4</v>
      </c>
      <c r="J1006" t="str">
        <f>CONCATENATE(Table2[[#This Row],[Work Experience]],"years")</f>
        <v>4years</v>
      </c>
      <c r="K1006" t="str">
        <f>CONCATENATE(Table2[[#This Row],[Family Size2]],"members")</f>
        <v>4members</v>
      </c>
      <c r="L1006" t="str">
        <f>CONCATENATE(Table2[[#This Row],[Family Size2]],"members")</f>
        <v>4members</v>
      </c>
      <c r="M1006">
        <v>4</v>
      </c>
    </row>
    <row r="1007" spans="1:13">
      <c r="A1007">
        <v>1006</v>
      </c>
      <c r="B1007" t="s">
        <v>11</v>
      </c>
      <c r="C1007">
        <v>8</v>
      </c>
      <c r="D1007" t="str" cm="1">
        <f t="array" ref="D1007">_xlfn.IFS(Table2[[#This Row],[Age]]&lt;=11,"Gen A",Table2[[#This Row],[Age]]&lt;=27,"Gen Z",Table2[[#This Row],[Age]]&lt;=43,"Millenials",Table2[[#This Row],[Age]]&lt;=59,"Gen X",Table2[[#This Row],[Age]]&lt;=78,"Baby Boomers",Table2[[#This Row],[Age]]&lt;=96,"Silent",Table2[[#This Row],[Age]]&gt;=97,"Greatest")</f>
        <v>Gen A</v>
      </c>
      <c r="E1007" s="1">
        <v>129743</v>
      </c>
      <c r="F1007">
        <v>6</v>
      </c>
      <c r="G1007" t="str" cm="1">
        <f t="array" ref="G1007">_xlfn.IFS(Table2[[#This Row],[Spending Score (1-100)]]&lt;=25,"Low",Table2[[#This Row],[Spending Score (1-100)]]&lt;=50,"Medium",Table2[[#This Row],[Spending Score (1-100)]]&lt;=75,"High",Table2[[#This Row],[Spending Score (1-100)]]&lt;=100,"Very High")</f>
        <v>Low</v>
      </c>
      <c r="H1007" t="s">
        <v>14</v>
      </c>
      <c r="I1007">
        <v>0</v>
      </c>
      <c r="J1007" t="str">
        <f>CONCATENATE(Table2[[#This Row],[Work Experience]],"years")</f>
        <v>0years</v>
      </c>
      <c r="K1007" t="str">
        <f>CONCATENATE(Table2[[#This Row],[Family Size2]],"members")</f>
        <v>2members</v>
      </c>
      <c r="L1007" t="str">
        <f>CONCATENATE(Table2[[#This Row],[Family Size2]],"members")</f>
        <v>2members</v>
      </c>
      <c r="M1007">
        <v>2</v>
      </c>
    </row>
    <row r="1008" spans="1:13">
      <c r="A1008">
        <v>1007</v>
      </c>
      <c r="B1008" t="s">
        <v>11</v>
      </c>
      <c r="C1008">
        <v>61</v>
      </c>
      <c r="D1008" t="str" cm="1">
        <f t="array" ref="D1008">_xlfn.IFS(Table2[[#This Row],[Age]]&lt;=11,"Gen A",Table2[[#This Row],[Age]]&lt;=27,"Gen Z",Table2[[#This Row],[Age]]&lt;=43,"Millenials",Table2[[#This Row],[Age]]&lt;=59,"Gen X",Table2[[#This Row],[Age]]&lt;=78,"Baby Boomers",Table2[[#This Row],[Age]]&lt;=96,"Silent",Table2[[#This Row],[Age]]&gt;=97,"Greatest")</f>
        <v>Baby Boomers</v>
      </c>
      <c r="E1008" s="1">
        <v>101007</v>
      </c>
      <c r="F1008">
        <v>60</v>
      </c>
      <c r="G1008" t="str" cm="1">
        <f t="array" ref="G1008">_xlfn.IFS(Table2[[#This Row],[Spending Score (1-100)]]&lt;=25,"Low",Table2[[#This Row],[Spending Score (1-100)]]&lt;=50,"Medium",Table2[[#This Row],[Spending Score (1-100)]]&lt;=75,"High",Table2[[#This Row],[Spending Score (1-100)]]&lt;=100,"Very High")</f>
        <v>High</v>
      </c>
      <c r="H1008" t="s">
        <v>12</v>
      </c>
      <c r="I1008">
        <v>0</v>
      </c>
      <c r="J1008" t="str">
        <f>CONCATENATE(Table2[[#This Row],[Work Experience]],"years")</f>
        <v>0years</v>
      </c>
      <c r="K1008" t="str">
        <f>CONCATENATE(Table2[[#This Row],[Family Size2]],"members")</f>
        <v>6members</v>
      </c>
      <c r="L1008" t="str">
        <f>CONCATENATE(Table2[[#This Row],[Family Size2]],"members")</f>
        <v>6members</v>
      </c>
      <c r="M1008">
        <v>6</v>
      </c>
    </row>
    <row r="1009" spans="1:13">
      <c r="A1009">
        <v>1008</v>
      </c>
      <c r="B1009" t="s">
        <v>8</v>
      </c>
      <c r="C1009">
        <v>83</v>
      </c>
      <c r="D1009" t="str" cm="1">
        <f t="array" ref="D1009">_xlfn.IFS(Table2[[#This Row],[Age]]&lt;=11,"Gen A",Table2[[#This Row],[Age]]&lt;=27,"Gen Z",Table2[[#This Row],[Age]]&lt;=43,"Millenials",Table2[[#This Row],[Age]]&lt;=59,"Gen X",Table2[[#This Row],[Age]]&lt;=78,"Baby Boomers",Table2[[#This Row],[Age]]&lt;=96,"Silent",Table2[[#This Row],[Age]]&gt;=97,"Greatest")</f>
        <v>Silent</v>
      </c>
      <c r="E1009" s="1">
        <v>87529</v>
      </c>
      <c r="F1009">
        <v>49</v>
      </c>
      <c r="G1009" t="str" cm="1">
        <f t="array" ref="G1009">_xlfn.IFS(Table2[[#This Row],[Spending Score (1-100)]]&lt;=25,"Low",Table2[[#This Row],[Spending Score (1-100)]]&lt;=50,"Medium",Table2[[#This Row],[Spending Score (1-100)]]&lt;=75,"High",Table2[[#This Row],[Spending Score (1-100)]]&lt;=100,"Very High")</f>
        <v>Medium</v>
      </c>
      <c r="H1009" t="s">
        <v>14</v>
      </c>
      <c r="I1009">
        <v>9</v>
      </c>
      <c r="J1009" t="str">
        <f>CONCATENATE(Table2[[#This Row],[Work Experience]],"years")</f>
        <v>9years</v>
      </c>
      <c r="K1009" t="str">
        <f>CONCATENATE(Table2[[#This Row],[Family Size2]],"members")</f>
        <v>7members</v>
      </c>
      <c r="L1009" t="str">
        <f>CONCATENATE(Table2[[#This Row],[Family Size2]],"members")</f>
        <v>7members</v>
      </c>
      <c r="M1009">
        <v>7</v>
      </c>
    </row>
    <row r="1010" spans="1:13">
      <c r="A1010">
        <v>1009</v>
      </c>
      <c r="B1010" t="s">
        <v>8</v>
      </c>
      <c r="C1010">
        <v>8</v>
      </c>
      <c r="D1010" t="str" cm="1">
        <f t="array" ref="D1010">_xlfn.IFS(Table2[[#This Row],[Age]]&lt;=11,"Gen A",Table2[[#This Row],[Age]]&lt;=27,"Gen Z",Table2[[#This Row],[Age]]&lt;=43,"Millenials",Table2[[#This Row],[Age]]&lt;=59,"Gen X",Table2[[#This Row],[Age]]&lt;=78,"Baby Boomers",Table2[[#This Row],[Age]]&lt;=96,"Silent",Table2[[#This Row],[Age]]&gt;=97,"Greatest")</f>
        <v>Gen A</v>
      </c>
      <c r="E1010" s="1">
        <v>151648</v>
      </c>
      <c r="F1010">
        <v>98</v>
      </c>
      <c r="G1010" t="str" cm="1">
        <f t="array" ref="G1010">_xlfn.IFS(Table2[[#This Row],[Spending Score (1-100)]]&lt;=25,"Low",Table2[[#This Row],[Spending Score (1-100)]]&lt;=50,"Medium",Table2[[#This Row],[Spending Score (1-100)]]&lt;=75,"High",Table2[[#This Row],[Spending Score (1-100)]]&lt;=100,"Very High")</f>
        <v>Very High</v>
      </c>
      <c r="H1010" t="s">
        <v>9</v>
      </c>
      <c r="I1010">
        <v>8</v>
      </c>
      <c r="J1010" t="str">
        <f>CONCATENATE(Table2[[#This Row],[Work Experience]],"years")</f>
        <v>8years</v>
      </c>
      <c r="K1010" t="str">
        <f>CONCATENATE(Table2[[#This Row],[Family Size2]],"members")</f>
        <v>6members</v>
      </c>
      <c r="L1010" t="str">
        <f>CONCATENATE(Table2[[#This Row],[Family Size2]],"members")</f>
        <v>6members</v>
      </c>
      <c r="M1010">
        <v>6</v>
      </c>
    </row>
    <row r="1011" spans="1:13">
      <c r="A1011">
        <v>1010</v>
      </c>
      <c r="B1011" t="s">
        <v>8</v>
      </c>
      <c r="C1011">
        <v>69</v>
      </c>
      <c r="D1011" t="str" cm="1">
        <f t="array" ref="D1011">_xlfn.IFS(Table2[[#This Row],[Age]]&lt;=11,"Gen A",Table2[[#This Row],[Age]]&lt;=27,"Gen Z",Table2[[#This Row],[Age]]&lt;=43,"Millenials",Table2[[#This Row],[Age]]&lt;=59,"Gen X",Table2[[#This Row],[Age]]&lt;=78,"Baby Boomers",Table2[[#This Row],[Age]]&lt;=96,"Silent",Table2[[#This Row],[Age]]&gt;=97,"Greatest")</f>
        <v>Baby Boomers</v>
      </c>
      <c r="E1011" s="1">
        <v>61637</v>
      </c>
      <c r="F1011">
        <v>67</v>
      </c>
      <c r="G1011" t="str" cm="1">
        <f t="array" ref="G1011">_xlfn.IFS(Table2[[#This Row],[Spending Score (1-100)]]&lt;=25,"Low",Table2[[#This Row],[Spending Score (1-100)]]&lt;=50,"Medium",Table2[[#This Row],[Spending Score (1-100)]]&lt;=75,"High",Table2[[#This Row],[Spending Score (1-100)]]&lt;=100,"Very High")</f>
        <v>High</v>
      </c>
      <c r="H1011" t="s">
        <v>19</v>
      </c>
      <c r="I1011">
        <v>0</v>
      </c>
      <c r="J1011" t="str">
        <f>CONCATENATE(Table2[[#This Row],[Work Experience]],"years")</f>
        <v>0years</v>
      </c>
      <c r="K1011" t="str">
        <f>CONCATENATE(Table2[[#This Row],[Family Size2]],"members")</f>
        <v>5members</v>
      </c>
      <c r="L1011" t="str">
        <f>CONCATENATE(Table2[[#This Row],[Family Size2]],"members")</f>
        <v>5members</v>
      </c>
      <c r="M1011">
        <v>5</v>
      </c>
    </row>
    <row r="1012" spans="1:13">
      <c r="A1012">
        <v>1011</v>
      </c>
      <c r="B1012" t="s">
        <v>8</v>
      </c>
      <c r="C1012">
        <v>14</v>
      </c>
      <c r="D1012" t="str" cm="1">
        <f t="array" ref="D1012">_xlfn.IFS(Table2[[#This Row],[Age]]&lt;=11,"Gen A",Table2[[#This Row],[Age]]&lt;=27,"Gen Z",Table2[[#This Row],[Age]]&lt;=43,"Millenials",Table2[[#This Row],[Age]]&lt;=59,"Gen X",Table2[[#This Row],[Age]]&lt;=78,"Baby Boomers",Table2[[#This Row],[Age]]&lt;=96,"Silent",Table2[[#This Row],[Age]]&gt;=97,"Greatest")</f>
        <v>Gen Z</v>
      </c>
      <c r="E1012" s="1">
        <v>164659</v>
      </c>
      <c r="F1012">
        <v>59</v>
      </c>
      <c r="G1012" t="str" cm="1">
        <f t="array" ref="G1012">_xlfn.IFS(Table2[[#This Row],[Spending Score (1-100)]]&lt;=25,"Low",Table2[[#This Row],[Spending Score (1-100)]]&lt;=50,"Medium",Table2[[#This Row],[Spending Score (1-100)]]&lt;=75,"High",Table2[[#This Row],[Spending Score (1-100)]]&lt;=100,"Very High")</f>
        <v>High</v>
      </c>
      <c r="H1012" t="s">
        <v>13</v>
      </c>
      <c r="I1012">
        <v>1</v>
      </c>
      <c r="J1012" t="str">
        <f>CONCATENATE(Table2[[#This Row],[Work Experience]],"years")</f>
        <v>1years</v>
      </c>
      <c r="K1012" t="str">
        <f>CONCATENATE(Table2[[#This Row],[Family Size2]],"members")</f>
        <v>6members</v>
      </c>
      <c r="L1012" t="str">
        <f>CONCATENATE(Table2[[#This Row],[Family Size2]],"members")</f>
        <v>6members</v>
      </c>
      <c r="M1012">
        <v>6</v>
      </c>
    </row>
    <row r="1013" spans="1:13">
      <c r="A1013">
        <v>1012</v>
      </c>
      <c r="B1013" t="s">
        <v>11</v>
      </c>
      <c r="C1013">
        <v>80</v>
      </c>
      <c r="D1013" t="str" cm="1">
        <f t="array" ref="D1013">_xlfn.IFS(Table2[[#This Row],[Age]]&lt;=11,"Gen A",Table2[[#This Row],[Age]]&lt;=27,"Gen Z",Table2[[#This Row],[Age]]&lt;=43,"Millenials",Table2[[#This Row],[Age]]&lt;=59,"Gen X",Table2[[#This Row],[Age]]&lt;=78,"Baby Boomers",Table2[[#This Row],[Age]]&lt;=96,"Silent",Table2[[#This Row],[Age]]&gt;=97,"Greatest")</f>
        <v>Silent</v>
      </c>
      <c r="E1013" s="1">
        <v>125623</v>
      </c>
      <c r="F1013">
        <v>62</v>
      </c>
      <c r="G1013" t="str" cm="1">
        <f t="array" ref="G1013">_xlfn.IFS(Table2[[#This Row],[Spending Score (1-100)]]&lt;=25,"Low",Table2[[#This Row],[Spending Score (1-100)]]&lt;=50,"Medium",Table2[[#This Row],[Spending Score (1-100)]]&lt;=75,"High",Table2[[#This Row],[Spending Score (1-100)]]&lt;=100,"Very High")</f>
        <v>High</v>
      </c>
      <c r="H1013" t="s">
        <v>15</v>
      </c>
      <c r="I1013">
        <v>0</v>
      </c>
      <c r="J1013" t="str">
        <f>CONCATENATE(Table2[[#This Row],[Work Experience]],"years")</f>
        <v>0years</v>
      </c>
      <c r="K1013" t="str">
        <f>CONCATENATE(Table2[[#This Row],[Family Size2]],"members")</f>
        <v>4members</v>
      </c>
      <c r="L1013" t="str">
        <f>CONCATENATE(Table2[[#This Row],[Family Size2]],"members")</f>
        <v>4members</v>
      </c>
      <c r="M1013">
        <v>4</v>
      </c>
    </row>
    <row r="1014" spans="1:13">
      <c r="A1014">
        <v>1013</v>
      </c>
      <c r="B1014" t="s">
        <v>11</v>
      </c>
      <c r="C1014">
        <v>85</v>
      </c>
      <c r="D1014" t="str" cm="1">
        <f t="array" ref="D1014">_xlfn.IFS(Table2[[#This Row],[Age]]&lt;=11,"Gen A",Table2[[#This Row],[Age]]&lt;=27,"Gen Z",Table2[[#This Row],[Age]]&lt;=43,"Millenials",Table2[[#This Row],[Age]]&lt;=59,"Gen X",Table2[[#This Row],[Age]]&lt;=78,"Baby Boomers",Table2[[#This Row],[Age]]&lt;=96,"Silent",Table2[[#This Row],[Age]]&gt;=97,"Greatest")</f>
        <v>Silent</v>
      </c>
      <c r="E1014" s="1">
        <v>104054</v>
      </c>
      <c r="F1014">
        <v>22</v>
      </c>
      <c r="G1014" t="str" cm="1">
        <f t="array" ref="G1014">_xlfn.IFS(Table2[[#This Row],[Spending Score (1-100)]]&lt;=25,"Low",Table2[[#This Row],[Spending Score (1-100)]]&lt;=50,"Medium",Table2[[#This Row],[Spending Score (1-100)]]&lt;=75,"High",Table2[[#This Row],[Spending Score (1-100)]]&lt;=100,"Very High")</f>
        <v>Low</v>
      </c>
      <c r="H1014" t="s">
        <v>14</v>
      </c>
      <c r="I1014">
        <v>8</v>
      </c>
      <c r="J1014" t="str">
        <f>CONCATENATE(Table2[[#This Row],[Work Experience]],"years")</f>
        <v>8years</v>
      </c>
      <c r="K1014" t="str">
        <f>CONCATENATE(Table2[[#This Row],[Family Size2]],"members")</f>
        <v>4members</v>
      </c>
      <c r="L1014" t="str">
        <f>CONCATENATE(Table2[[#This Row],[Family Size2]],"members")</f>
        <v>4members</v>
      </c>
      <c r="M1014">
        <v>4</v>
      </c>
    </row>
    <row r="1015" spans="1:13">
      <c r="A1015">
        <v>1014</v>
      </c>
      <c r="B1015" t="s">
        <v>8</v>
      </c>
      <c r="C1015">
        <v>88</v>
      </c>
      <c r="D1015" t="str" cm="1">
        <f t="array" ref="D1015">_xlfn.IFS(Table2[[#This Row],[Age]]&lt;=11,"Gen A",Table2[[#This Row],[Age]]&lt;=27,"Gen Z",Table2[[#This Row],[Age]]&lt;=43,"Millenials",Table2[[#This Row],[Age]]&lt;=59,"Gen X",Table2[[#This Row],[Age]]&lt;=78,"Baby Boomers",Table2[[#This Row],[Age]]&lt;=96,"Silent",Table2[[#This Row],[Age]]&gt;=97,"Greatest")</f>
        <v>Silent</v>
      </c>
      <c r="E1015" s="1">
        <v>83535</v>
      </c>
      <c r="F1015">
        <v>56</v>
      </c>
      <c r="G1015" t="str" cm="1">
        <f t="array" ref="G1015">_xlfn.IFS(Table2[[#This Row],[Spending Score (1-100)]]&lt;=25,"Low",Table2[[#This Row],[Spending Score (1-100)]]&lt;=50,"Medium",Table2[[#This Row],[Spending Score (1-100)]]&lt;=75,"High",Table2[[#This Row],[Spending Score (1-100)]]&lt;=100,"Very High")</f>
        <v>High</v>
      </c>
      <c r="H1015" t="s">
        <v>14</v>
      </c>
      <c r="I1015">
        <v>1</v>
      </c>
      <c r="J1015" t="str">
        <f>CONCATENATE(Table2[[#This Row],[Work Experience]],"years")</f>
        <v>1years</v>
      </c>
      <c r="K1015" t="str">
        <f>CONCATENATE(Table2[[#This Row],[Family Size2]],"members")</f>
        <v>5members</v>
      </c>
      <c r="L1015" t="str">
        <f>CONCATENATE(Table2[[#This Row],[Family Size2]],"members")</f>
        <v>5members</v>
      </c>
      <c r="M1015">
        <v>5</v>
      </c>
    </row>
    <row r="1016" spans="1:13">
      <c r="A1016">
        <v>1015</v>
      </c>
      <c r="B1016" t="s">
        <v>11</v>
      </c>
      <c r="C1016">
        <v>76</v>
      </c>
      <c r="D1016" t="str" cm="1">
        <f t="array" ref="D1016">_xlfn.IFS(Table2[[#This Row],[Age]]&lt;=11,"Gen A",Table2[[#This Row],[Age]]&lt;=27,"Gen Z",Table2[[#This Row],[Age]]&lt;=43,"Millenials",Table2[[#This Row],[Age]]&lt;=59,"Gen X",Table2[[#This Row],[Age]]&lt;=78,"Baby Boomers",Table2[[#This Row],[Age]]&lt;=96,"Silent",Table2[[#This Row],[Age]]&gt;=97,"Greatest")</f>
        <v>Baby Boomers</v>
      </c>
      <c r="E1016" s="1">
        <v>166245</v>
      </c>
      <c r="F1016">
        <v>13</v>
      </c>
      <c r="G1016" t="str" cm="1">
        <f t="array" ref="G1016">_xlfn.IFS(Table2[[#This Row],[Spending Score (1-100)]]&lt;=25,"Low",Table2[[#This Row],[Spending Score (1-100)]]&lt;=50,"Medium",Table2[[#This Row],[Spending Score (1-100)]]&lt;=75,"High",Table2[[#This Row],[Spending Score (1-100)]]&lt;=100,"Very High")</f>
        <v>Low</v>
      </c>
      <c r="H1016" t="s">
        <v>15</v>
      </c>
      <c r="I1016">
        <v>7</v>
      </c>
      <c r="J1016" t="str">
        <f>CONCATENATE(Table2[[#This Row],[Work Experience]],"years")</f>
        <v>7years</v>
      </c>
      <c r="K1016" t="str">
        <f>CONCATENATE(Table2[[#This Row],[Family Size2]],"members")</f>
        <v>3members</v>
      </c>
      <c r="L1016" t="str">
        <f>CONCATENATE(Table2[[#This Row],[Family Size2]],"members")</f>
        <v>3members</v>
      </c>
      <c r="M1016">
        <v>3</v>
      </c>
    </row>
    <row r="1017" spans="1:13">
      <c r="A1017">
        <v>1016</v>
      </c>
      <c r="B1017" t="s">
        <v>11</v>
      </c>
      <c r="C1017">
        <v>32</v>
      </c>
      <c r="D1017" t="str" cm="1">
        <f t="array" ref="D1017">_xlfn.IFS(Table2[[#This Row],[Age]]&lt;=11,"Gen A",Table2[[#This Row],[Age]]&lt;=27,"Gen Z",Table2[[#This Row],[Age]]&lt;=43,"Millenials",Table2[[#This Row],[Age]]&lt;=59,"Gen X",Table2[[#This Row],[Age]]&lt;=78,"Baby Boomers",Table2[[#This Row],[Age]]&lt;=96,"Silent",Table2[[#This Row],[Age]]&gt;=97,"Greatest")</f>
        <v>Millenials</v>
      </c>
      <c r="E1017" s="1">
        <v>100890</v>
      </c>
      <c r="F1017">
        <v>60</v>
      </c>
      <c r="G1017" t="str" cm="1">
        <f t="array" ref="G1017">_xlfn.IFS(Table2[[#This Row],[Spending Score (1-100)]]&lt;=25,"Low",Table2[[#This Row],[Spending Score (1-100)]]&lt;=50,"Medium",Table2[[#This Row],[Spending Score (1-100)]]&lt;=75,"High",Table2[[#This Row],[Spending Score (1-100)]]&lt;=100,"Very High")</f>
        <v>High</v>
      </c>
      <c r="H1017" t="s">
        <v>13</v>
      </c>
      <c r="I1017">
        <v>4</v>
      </c>
      <c r="J1017" t="str">
        <f>CONCATENATE(Table2[[#This Row],[Work Experience]],"years")</f>
        <v>4years</v>
      </c>
      <c r="K1017" t="str">
        <f>CONCATENATE(Table2[[#This Row],[Family Size2]],"members")</f>
        <v>4members</v>
      </c>
      <c r="L1017" t="str">
        <f>CONCATENATE(Table2[[#This Row],[Family Size2]],"members")</f>
        <v>4members</v>
      </c>
      <c r="M1017">
        <v>4</v>
      </c>
    </row>
    <row r="1018" spans="1:13">
      <c r="A1018">
        <v>1017</v>
      </c>
      <c r="B1018" t="s">
        <v>11</v>
      </c>
      <c r="C1018">
        <v>99</v>
      </c>
      <c r="D1018" t="str" cm="1">
        <f t="array" ref="D1018">_xlfn.IFS(Table2[[#This Row],[Age]]&lt;=11,"Gen A",Table2[[#This Row],[Age]]&lt;=27,"Gen Z",Table2[[#This Row],[Age]]&lt;=43,"Millenials",Table2[[#This Row],[Age]]&lt;=59,"Gen X",Table2[[#This Row],[Age]]&lt;=78,"Baby Boomers",Table2[[#This Row],[Age]]&lt;=96,"Silent",Table2[[#This Row],[Age]]&gt;=97,"Greatest")</f>
        <v>Greatest</v>
      </c>
      <c r="E1018" s="1">
        <v>55972</v>
      </c>
      <c r="F1018">
        <v>83</v>
      </c>
      <c r="G1018" t="str" cm="1">
        <f t="array" ref="G1018">_xlfn.IFS(Table2[[#This Row],[Spending Score (1-100)]]&lt;=25,"Low",Table2[[#This Row],[Spending Score (1-100)]]&lt;=50,"Medium",Table2[[#This Row],[Spending Score (1-100)]]&lt;=75,"High",Table2[[#This Row],[Spending Score (1-100)]]&lt;=100,"Very High")</f>
        <v>Very High</v>
      </c>
      <c r="H1018" t="s">
        <v>13</v>
      </c>
      <c r="I1018">
        <v>1</v>
      </c>
      <c r="J1018" t="str">
        <f>CONCATENATE(Table2[[#This Row],[Work Experience]],"years")</f>
        <v>1years</v>
      </c>
      <c r="K1018" t="str">
        <f>CONCATENATE(Table2[[#This Row],[Family Size2]],"members")</f>
        <v>7members</v>
      </c>
      <c r="L1018" t="str">
        <f>CONCATENATE(Table2[[#This Row],[Family Size2]],"members")</f>
        <v>7members</v>
      </c>
      <c r="M1018">
        <v>7</v>
      </c>
    </row>
    <row r="1019" spans="1:13">
      <c r="A1019">
        <v>1018</v>
      </c>
      <c r="B1019" t="s">
        <v>11</v>
      </c>
      <c r="C1019">
        <v>85</v>
      </c>
      <c r="D1019" t="str" cm="1">
        <f t="array" ref="D1019">_xlfn.IFS(Table2[[#This Row],[Age]]&lt;=11,"Gen A",Table2[[#This Row],[Age]]&lt;=27,"Gen Z",Table2[[#This Row],[Age]]&lt;=43,"Millenials",Table2[[#This Row],[Age]]&lt;=59,"Gen X",Table2[[#This Row],[Age]]&lt;=78,"Baby Boomers",Table2[[#This Row],[Age]]&lt;=96,"Silent",Table2[[#This Row],[Age]]&gt;=97,"Greatest")</f>
        <v>Silent</v>
      </c>
      <c r="E1019" s="1">
        <v>134282</v>
      </c>
      <c r="F1019">
        <v>39</v>
      </c>
      <c r="G1019" t="str" cm="1">
        <f t="array" ref="G1019">_xlfn.IFS(Table2[[#This Row],[Spending Score (1-100)]]&lt;=25,"Low",Table2[[#This Row],[Spending Score (1-100)]]&lt;=50,"Medium",Table2[[#This Row],[Spending Score (1-100)]]&lt;=75,"High",Table2[[#This Row],[Spending Score (1-100)]]&lt;=100,"Very High")</f>
        <v>Medium</v>
      </c>
      <c r="H1019" t="s">
        <v>14</v>
      </c>
      <c r="I1019">
        <v>2</v>
      </c>
      <c r="J1019" t="str">
        <f>CONCATENATE(Table2[[#This Row],[Work Experience]],"years")</f>
        <v>2years</v>
      </c>
      <c r="K1019" t="str">
        <f>CONCATENATE(Table2[[#This Row],[Family Size2]],"members")</f>
        <v>5members</v>
      </c>
      <c r="L1019" t="str">
        <f>CONCATENATE(Table2[[#This Row],[Family Size2]],"members")</f>
        <v>5members</v>
      </c>
      <c r="M1019">
        <v>5</v>
      </c>
    </row>
    <row r="1020" spans="1:13">
      <c r="A1020">
        <v>1019</v>
      </c>
      <c r="B1020" t="s">
        <v>11</v>
      </c>
      <c r="C1020">
        <v>25</v>
      </c>
      <c r="D1020" t="str" cm="1">
        <f t="array" ref="D1020">_xlfn.IFS(Table2[[#This Row],[Age]]&lt;=11,"Gen A",Table2[[#This Row],[Age]]&lt;=27,"Gen Z",Table2[[#This Row],[Age]]&lt;=43,"Millenials",Table2[[#This Row],[Age]]&lt;=59,"Gen X",Table2[[#This Row],[Age]]&lt;=78,"Baby Boomers",Table2[[#This Row],[Age]]&lt;=96,"Silent",Table2[[#This Row],[Age]]&gt;=97,"Greatest")</f>
        <v>Gen Z</v>
      </c>
      <c r="E1020" s="1">
        <v>106669</v>
      </c>
      <c r="F1020">
        <v>22</v>
      </c>
      <c r="G1020" t="str" cm="1">
        <f t="array" ref="G1020">_xlfn.IFS(Table2[[#This Row],[Spending Score (1-100)]]&lt;=25,"Low",Table2[[#This Row],[Spending Score (1-100)]]&lt;=50,"Medium",Table2[[#This Row],[Spending Score (1-100)]]&lt;=75,"High",Table2[[#This Row],[Spending Score (1-100)]]&lt;=100,"Very High")</f>
        <v>Low</v>
      </c>
      <c r="H1020" t="s">
        <v>12</v>
      </c>
      <c r="I1020">
        <v>1</v>
      </c>
      <c r="J1020" t="str">
        <f>CONCATENATE(Table2[[#This Row],[Work Experience]],"years")</f>
        <v>1years</v>
      </c>
      <c r="K1020" t="str">
        <f>CONCATENATE(Table2[[#This Row],[Family Size2]],"members")</f>
        <v>7members</v>
      </c>
      <c r="L1020" t="str">
        <f>CONCATENATE(Table2[[#This Row],[Family Size2]],"members")</f>
        <v>7members</v>
      </c>
      <c r="M1020">
        <v>7</v>
      </c>
    </row>
    <row r="1021" spans="1:13">
      <c r="A1021">
        <v>1020</v>
      </c>
      <c r="B1021" t="s">
        <v>11</v>
      </c>
      <c r="C1021">
        <v>99</v>
      </c>
      <c r="D1021" t="str" cm="1">
        <f t="array" ref="D1021">_xlfn.IFS(Table2[[#This Row],[Age]]&lt;=11,"Gen A",Table2[[#This Row],[Age]]&lt;=27,"Gen Z",Table2[[#This Row],[Age]]&lt;=43,"Millenials",Table2[[#This Row],[Age]]&lt;=59,"Gen X",Table2[[#This Row],[Age]]&lt;=78,"Baby Boomers",Table2[[#This Row],[Age]]&lt;=96,"Silent",Table2[[#This Row],[Age]]&gt;=97,"Greatest")</f>
        <v>Greatest</v>
      </c>
      <c r="E1021" s="1">
        <v>145777</v>
      </c>
      <c r="F1021">
        <v>94</v>
      </c>
      <c r="G1021" t="str" cm="1">
        <f t="array" ref="G1021">_xlfn.IFS(Table2[[#This Row],[Spending Score (1-100)]]&lt;=25,"Low",Table2[[#This Row],[Spending Score (1-100)]]&lt;=50,"Medium",Table2[[#This Row],[Spending Score (1-100)]]&lt;=75,"High",Table2[[#This Row],[Spending Score (1-100)]]&lt;=100,"Very High")</f>
        <v>Very High</v>
      </c>
      <c r="H1021" t="s">
        <v>15</v>
      </c>
      <c r="I1021">
        <v>1</v>
      </c>
      <c r="J1021" t="str">
        <f>CONCATENATE(Table2[[#This Row],[Work Experience]],"years")</f>
        <v>1years</v>
      </c>
      <c r="K1021" t="str">
        <f>CONCATENATE(Table2[[#This Row],[Family Size2]],"members")</f>
        <v>5members</v>
      </c>
      <c r="L1021" t="str">
        <f>CONCATENATE(Table2[[#This Row],[Family Size2]],"members")</f>
        <v>5members</v>
      </c>
      <c r="M1021">
        <v>5</v>
      </c>
    </row>
    <row r="1022" spans="1:13">
      <c r="A1022">
        <v>1021</v>
      </c>
      <c r="B1022" t="s">
        <v>8</v>
      </c>
      <c r="C1022">
        <v>41</v>
      </c>
      <c r="D1022" t="str" cm="1">
        <f t="array" ref="D1022">_xlfn.IFS(Table2[[#This Row],[Age]]&lt;=11,"Gen A",Table2[[#This Row],[Age]]&lt;=27,"Gen Z",Table2[[#This Row],[Age]]&lt;=43,"Millenials",Table2[[#This Row],[Age]]&lt;=59,"Gen X",Table2[[#This Row],[Age]]&lt;=78,"Baby Boomers",Table2[[#This Row],[Age]]&lt;=96,"Silent",Table2[[#This Row],[Age]]&gt;=97,"Greatest")</f>
        <v>Millenials</v>
      </c>
      <c r="E1022" s="1">
        <v>119259</v>
      </c>
      <c r="F1022">
        <v>91</v>
      </c>
      <c r="G1022" t="str" cm="1">
        <f t="array" ref="G1022">_xlfn.IFS(Table2[[#This Row],[Spending Score (1-100)]]&lt;=25,"Low",Table2[[#This Row],[Spending Score (1-100)]]&lt;=50,"Medium",Table2[[#This Row],[Spending Score (1-100)]]&lt;=75,"High",Table2[[#This Row],[Spending Score (1-100)]]&lt;=100,"Very High")</f>
        <v>Very High</v>
      </c>
      <c r="H1022" t="s">
        <v>9</v>
      </c>
      <c r="I1022">
        <v>1</v>
      </c>
      <c r="J1022" t="str">
        <f>CONCATENATE(Table2[[#This Row],[Work Experience]],"years")</f>
        <v>1years</v>
      </c>
      <c r="K1022" t="str">
        <f>CONCATENATE(Table2[[#This Row],[Family Size2]],"members")</f>
        <v>5members</v>
      </c>
      <c r="L1022" t="str">
        <f>CONCATENATE(Table2[[#This Row],[Family Size2]],"members")</f>
        <v>5members</v>
      </c>
      <c r="M1022">
        <v>5</v>
      </c>
    </row>
    <row r="1023" spans="1:13">
      <c r="A1023">
        <v>1022</v>
      </c>
      <c r="B1023" t="s">
        <v>11</v>
      </c>
      <c r="C1023">
        <v>1</v>
      </c>
      <c r="D1023" t="str" cm="1">
        <f t="array" ref="D1023">_xlfn.IFS(Table2[[#This Row],[Age]]&lt;=11,"Gen A",Table2[[#This Row],[Age]]&lt;=27,"Gen Z",Table2[[#This Row],[Age]]&lt;=43,"Millenials",Table2[[#This Row],[Age]]&lt;=59,"Gen X",Table2[[#This Row],[Age]]&lt;=78,"Baby Boomers",Table2[[#This Row],[Age]]&lt;=96,"Silent",Table2[[#This Row],[Age]]&gt;=97,"Greatest")</f>
        <v>Gen A</v>
      </c>
      <c r="E1023" s="1">
        <v>150174</v>
      </c>
      <c r="F1023">
        <v>59</v>
      </c>
      <c r="G1023" t="str" cm="1">
        <f t="array" ref="G1023">_xlfn.IFS(Table2[[#This Row],[Spending Score (1-100)]]&lt;=25,"Low",Table2[[#This Row],[Spending Score (1-100)]]&lt;=50,"Medium",Table2[[#This Row],[Spending Score (1-100)]]&lt;=75,"High",Table2[[#This Row],[Spending Score (1-100)]]&lt;=100,"Very High")</f>
        <v>High</v>
      </c>
      <c r="H1023" t="s">
        <v>14</v>
      </c>
      <c r="I1023">
        <v>2</v>
      </c>
      <c r="J1023" t="str">
        <f>CONCATENATE(Table2[[#This Row],[Work Experience]],"years")</f>
        <v>2years</v>
      </c>
      <c r="K1023" t="str">
        <f>CONCATENATE(Table2[[#This Row],[Family Size2]],"members")</f>
        <v>2members</v>
      </c>
      <c r="L1023" t="str">
        <f>CONCATENATE(Table2[[#This Row],[Family Size2]],"members")</f>
        <v>2members</v>
      </c>
      <c r="M1023">
        <v>2</v>
      </c>
    </row>
    <row r="1024" spans="1:13">
      <c r="A1024">
        <v>1023</v>
      </c>
      <c r="B1024" t="s">
        <v>11</v>
      </c>
      <c r="C1024">
        <v>45</v>
      </c>
      <c r="D1024" t="str" cm="1">
        <f t="array" ref="D1024">_xlfn.IFS(Table2[[#This Row],[Age]]&lt;=11,"Gen A",Table2[[#This Row],[Age]]&lt;=27,"Gen Z",Table2[[#This Row],[Age]]&lt;=43,"Millenials",Table2[[#This Row],[Age]]&lt;=59,"Gen X",Table2[[#This Row],[Age]]&lt;=78,"Baby Boomers",Table2[[#This Row],[Age]]&lt;=96,"Silent",Table2[[#This Row],[Age]]&gt;=97,"Greatest")</f>
        <v>Gen X</v>
      </c>
      <c r="E1024" s="1">
        <v>55472</v>
      </c>
      <c r="F1024">
        <v>51</v>
      </c>
      <c r="G1024" t="str" cm="1">
        <f t="array" ref="G1024">_xlfn.IFS(Table2[[#This Row],[Spending Score (1-100)]]&lt;=25,"Low",Table2[[#This Row],[Spending Score (1-100)]]&lt;=50,"Medium",Table2[[#This Row],[Spending Score (1-100)]]&lt;=75,"High",Table2[[#This Row],[Spending Score (1-100)]]&lt;=100,"Very High")</f>
        <v>High</v>
      </c>
      <c r="H1024" t="s">
        <v>9</v>
      </c>
      <c r="I1024">
        <v>1</v>
      </c>
      <c r="J1024" t="str">
        <f>CONCATENATE(Table2[[#This Row],[Work Experience]],"years")</f>
        <v>1years</v>
      </c>
      <c r="K1024" t="str">
        <f>CONCATENATE(Table2[[#This Row],[Family Size2]],"members")</f>
        <v>3members</v>
      </c>
      <c r="L1024" t="str">
        <f>CONCATENATE(Table2[[#This Row],[Family Size2]],"members")</f>
        <v>3members</v>
      </c>
      <c r="M1024">
        <v>3</v>
      </c>
    </row>
    <row r="1025" spans="1:13">
      <c r="A1025">
        <v>1024</v>
      </c>
      <c r="B1025" t="s">
        <v>8</v>
      </c>
      <c r="C1025">
        <v>55</v>
      </c>
      <c r="D1025" t="str" cm="1">
        <f t="array" ref="D1025">_xlfn.IFS(Table2[[#This Row],[Age]]&lt;=11,"Gen A",Table2[[#This Row],[Age]]&lt;=27,"Gen Z",Table2[[#This Row],[Age]]&lt;=43,"Millenials",Table2[[#This Row],[Age]]&lt;=59,"Gen X",Table2[[#This Row],[Age]]&lt;=78,"Baby Boomers",Table2[[#This Row],[Age]]&lt;=96,"Silent",Table2[[#This Row],[Age]]&gt;=97,"Greatest")</f>
        <v>Gen X</v>
      </c>
      <c r="E1025" s="1">
        <v>99423</v>
      </c>
      <c r="F1025">
        <v>82</v>
      </c>
      <c r="G1025" t="str" cm="1">
        <f t="array" ref="G1025">_xlfn.IFS(Table2[[#This Row],[Spending Score (1-100)]]&lt;=25,"Low",Table2[[#This Row],[Spending Score (1-100)]]&lt;=50,"Medium",Table2[[#This Row],[Spending Score (1-100)]]&lt;=75,"High",Table2[[#This Row],[Spending Score (1-100)]]&lt;=100,"Very High")</f>
        <v>Very High</v>
      </c>
      <c r="H1025" t="s">
        <v>9</v>
      </c>
      <c r="I1025">
        <v>0</v>
      </c>
      <c r="J1025" t="str">
        <f>CONCATENATE(Table2[[#This Row],[Work Experience]],"years")</f>
        <v>0years</v>
      </c>
      <c r="K1025" t="str">
        <f>CONCATENATE(Table2[[#This Row],[Family Size2]],"members")</f>
        <v>5members</v>
      </c>
      <c r="L1025" t="str">
        <f>CONCATENATE(Table2[[#This Row],[Family Size2]],"members")</f>
        <v>5members</v>
      </c>
      <c r="M1025">
        <v>5</v>
      </c>
    </row>
    <row r="1026" spans="1:13">
      <c r="A1026">
        <v>1025</v>
      </c>
      <c r="B1026" t="s">
        <v>11</v>
      </c>
      <c r="C1026">
        <v>20</v>
      </c>
      <c r="D1026" t="str" cm="1">
        <f t="array" ref="D1026">_xlfn.IFS(Table2[[#This Row],[Age]]&lt;=11,"Gen A",Table2[[#This Row],[Age]]&lt;=27,"Gen Z",Table2[[#This Row],[Age]]&lt;=43,"Millenials",Table2[[#This Row],[Age]]&lt;=59,"Gen X",Table2[[#This Row],[Age]]&lt;=78,"Baby Boomers",Table2[[#This Row],[Age]]&lt;=96,"Silent",Table2[[#This Row],[Age]]&gt;=97,"Greatest")</f>
        <v>Gen Z</v>
      </c>
      <c r="E1026" s="1">
        <v>146221</v>
      </c>
      <c r="F1026">
        <v>25</v>
      </c>
      <c r="G1026" t="str" cm="1">
        <f t="array" ref="G1026">_xlfn.IFS(Table2[[#This Row],[Spending Score (1-100)]]&lt;=25,"Low",Table2[[#This Row],[Spending Score (1-100)]]&lt;=50,"Medium",Table2[[#This Row],[Spending Score (1-100)]]&lt;=75,"High",Table2[[#This Row],[Spending Score (1-100)]]&lt;=100,"Very High")</f>
        <v>Low</v>
      </c>
      <c r="H1026" t="s">
        <v>18</v>
      </c>
      <c r="I1026">
        <v>0</v>
      </c>
      <c r="J1026" t="str">
        <f>CONCATENATE(Table2[[#This Row],[Work Experience]],"years")</f>
        <v>0years</v>
      </c>
      <c r="K1026" t="str">
        <f>CONCATENATE(Table2[[#This Row],[Family Size2]],"members")</f>
        <v>3members</v>
      </c>
      <c r="L1026" t="str">
        <f>CONCATENATE(Table2[[#This Row],[Family Size2]],"members")</f>
        <v>3members</v>
      </c>
      <c r="M1026">
        <v>3</v>
      </c>
    </row>
    <row r="1027" spans="1:13">
      <c r="A1027">
        <v>1026</v>
      </c>
      <c r="B1027" t="s">
        <v>11</v>
      </c>
      <c r="C1027">
        <v>33</v>
      </c>
      <c r="D1027" t="str" cm="1">
        <f t="array" ref="D1027">_xlfn.IFS(Table2[[#This Row],[Age]]&lt;=11,"Gen A",Table2[[#This Row],[Age]]&lt;=27,"Gen Z",Table2[[#This Row],[Age]]&lt;=43,"Millenials",Table2[[#This Row],[Age]]&lt;=59,"Gen X",Table2[[#This Row],[Age]]&lt;=78,"Baby Boomers",Table2[[#This Row],[Age]]&lt;=96,"Silent",Table2[[#This Row],[Age]]&gt;=97,"Greatest")</f>
        <v>Millenials</v>
      </c>
      <c r="E1027" s="1">
        <v>84238</v>
      </c>
      <c r="F1027">
        <v>31</v>
      </c>
      <c r="G1027" t="str" cm="1">
        <f t="array" ref="G1027">_xlfn.IFS(Table2[[#This Row],[Spending Score (1-100)]]&lt;=25,"Low",Table2[[#This Row],[Spending Score (1-100)]]&lt;=50,"Medium",Table2[[#This Row],[Spending Score (1-100)]]&lt;=75,"High",Table2[[#This Row],[Spending Score (1-100)]]&lt;=100,"Very High")</f>
        <v>Medium</v>
      </c>
      <c r="H1027" t="s">
        <v>14</v>
      </c>
      <c r="I1027">
        <v>1</v>
      </c>
      <c r="J1027" t="str">
        <f>CONCATENATE(Table2[[#This Row],[Work Experience]],"years")</f>
        <v>1years</v>
      </c>
      <c r="K1027" t="str">
        <f>CONCATENATE(Table2[[#This Row],[Family Size2]],"members")</f>
        <v>2members</v>
      </c>
      <c r="L1027" t="str">
        <f>CONCATENATE(Table2[[#This Row],[Family Size2]],"members")</f>
        <v>2members</v>
      </c>
      <c r="M1027">
        <v>2</v>
      </c>
    </row>
    <row r="1028" spans="1:13">
      <c r="A1028">
        <v>1027</v>
      </c>
      <c r="B1028" t="s">
        <v>8</v>
      </c>
      <c r="C1028">
        <v>92</v>
      </c>
      <c r="D1028" t="str" cm="1">
        <f t="array" ref="D1028">_xlfn.IFS(Table2[[#This Row],[Age]]&lt;=11,"Gen A",Table2[[#This Row],[Age]]&lt;=27,"Gen Z",Table2[[#This Row],[Age]]&lt;=43,"Millenials",Table2[[#This Row],[Age]]&lt;=59,"Gen X",Table2[[#This Row],[Age]]&lt;=78,"Baby Boomers",Table2[[#This Row],[Age]]&lt;=96,"Silent",Table2[[#This Row],[Age]]&gt;=97,"Greatest")</f>
        <v>Silent</v>
      </c>
      <c r="E1028" s="1">
        <v>57032</v>
      </c>
      <c r="F1028">
        <v>75</v>
      </c>
      <c r="G1028" t="str" cm="1">
        <f t="array" ref="G1028">_xlfn.IFS(Table2[[#This Row],[Spending Score (1-100)]]&lt;=25,"Low",Table2[[#This Row],[Spending Score (1-100)]]&lt;=50,"Medium",Table2[[#This Row],[Spending Score (1-100)]]&lt;=75,"High",Table2[[#This Row],[Spending Score (1-100)]]&lt;=100,"Very High")</f>
        <v>High</v>
      </c>
      <c r="H1028" t="s">
        <v>13</v>
      </c>
      <c r="I1028">
        <v>1</v>
      </c>
      <c r="J1028" t="str">
        <f>CONCATENATE(Table2[[#This Row],[Work Experience]],"years")</f>
        <v>1years</v>
      </c>
      <c r="K1028" t="str">
        <f>CONCATENATE(Table2[[#This Row],[Family Size2]],"members")</f>
        <v>5members</v>
      </c>
      <c r="L1028" t="str">
        <f>CONCATENATE(Table2[[#This Row],[Family Size2]],"members")</f>
        <v>5members</v>
      </c>
      <c r="M1028">
        <v>5</v>
      </c>
    </row>
    <row r="1029" spans="1:13">
      <c r="A1029">
        <v>1028</v>
      </c>
      <c r="B1029" t="s">
        <v>8</v>
      </c>
      <c r="C1029">
        <v>93</v>
      </c>
      <c r="D1029" t="str" cm="1">
        <f t="array" ref="D1029">_xlfn.IFS(Table2[[#This Row],[Age]]&lt;=11,"Gen A",Table2[[#This Row],[Age]]&lt;=27,"Gen Z",Table2[[#This Row],[Age]]&lt;=43,"Millenials",Table2[[#This Row],[Age]]&lt;=59,"Gen X",Table2[[#This Row],[Age]]&lt;=78,"Baby Boomers",Table2[[#This Row],[Age]]&lt;=96,"Silent",Table2[[#This Row],[Age]]&gt;=97,"Greatest")</f>
        <v>Silent</v>
      </c>
      <c r="E1029" s="1">
        <v>88811</v>
      </c>
      <c r="F1029">
        <v>52</v>
      </c>
      <c r="G1029" t="str" cm="1">
        <f t="array" ref="G1029">_xlfn.IFS(Table2[[#This Row],[Spending Score (1-100)]]&lt;=25,"Low",Table2[[#This Row],[Spending Score (1-100)]]&lt;=50,"Medium",Table2[[#This Row],[Spending Score (1-100)]]&lt;=75,"High",Table2[[#This Row],[Spending Score (1-100)]]&lt;=100,"Very High")</f>
        <v>High</v>
      </c>
      <c r="H1029" t="s">
        <v>10</v>
      </c>
      <c r="I1029">
        <v>0</v>
      </c>
      <c r="J1029" t="str">
        <f>CONCATENATE(Table2[[#This Row],[Work Experience]],"years")</f>
        <v>0years</v>
      </c>
      <c r="K1029" t="str">
        <f>CONCATENATE(Table2[[#This Row],[Family Size2]],"members")</f>
        <v>4members</v>
      </c>
      <c r="L1029" t="str">
        <f>CONCATENATE(Table2[[#This Row],[Family Size2]],"members")</f>
        <v>4members</v>
      </c>
      <c r="M1029">
        <v>4</v>
      </c>
    </row>
    <row r="1030" spans="1:13">
      <c r="A1030">
        <v>1029</v>
      </c>
      <c r="B1030" t="s">
        <v>8</v>
      </c>
      <c r="C1030">
        <v>60</v>
      </c>
      <c r="D1030" t="str" cm="1">
        <f t="array" ref="D1030">_xlfn.IFS(Table2[[#This Row],[Age]]&lt;=11,"Gen A",Table2[[#This Row],[Age]]&lt;=27,"Gen Z",Table2[[#This Row],[Age]]&lt;=43,"Millenials",Table2[[#This Row],[Age]]&lt;=59,"Gen X",Table2[[#This Row],[Age]]&lt;=78,"Baby Boomers",Table2[[#This Row],[Age]]&lt;=96,"Silent",Table2[[#This Row],[Age]]&gt;=97,"Greatest")</f>
        <v>Baby Boomers</v>
      </c>
      <c r="E1030" s="1">
        <v>167420</v>
      </c>
      <c r="F1030">
        <v>38</v>
      </c>
      <c r="G1030" t="str" cm="1">
        <f t="array" ref="G1030">_xlfn.IFS(Table2[[#This Row],[Spending Score (1-100)]]&lt;=25,"Low",Table2[[#This Row],[Spending Score (1-100)]]&lt;=50,"Medium",Table2[[#This Row],[Spending Score (1-100)]]&lt;=75,"High",Table2[[#This Row],[Spending Score (1-100)]]&lt;=100,"Very High")</f>
        <v>Medium</v>
      </c>
      <c r="H1030" t="s">
        <v>14</v>
      </c>
      <c r="I1030">
        <v>5</v>
      </c>
      <c r="J1030" t="str">
        <f>CONCATENATE(Table2[[#This Row],[Work Experience]],"years")</f>
        <v>5years</v>
      </c>
      <c r="K1030" t="str">
        <f>CONCATENATE(Table2[[#This Row],[Family Size2]],"members")</f>
        <v>2members</v>
      </c>
      <c r="L1030" t="str">
        <f>CONCATENATE(Table2[[#This Row],[Family Size2]],"members")</f>
        <v>2members</v>
      </c>
      <c r="M1030">
        <v>2</v>
      </c>
    </row>
    <row r="1031" spans="1:13">
      <c r="A1031">
        <v>1030</v>
      </c>
      <c r="B1031" t="s">
        <v>8</v>
      </c>
      <c r="C1031">
        <v>38</v>
      </c>
      <c r="D1031" t="str" cm="1">
        <f t="array" ref="D1031">_xlfn.IFS(Table2[[#This Row],[Age]]&lt;=11,"Gen A",Table2[[#This Row],[Age]]&lt;=27,"Gen Z",Table2[[#This Row],[Age]]&lt;=43,"Millenials",Table2[[#This Row],[Age]]&lt;=59,"Gen X",Table2[[#This Row],[Age]]&lt;=78,"Baby Boomers",Table2[[#This Row],[Age]]&lt;=96,"Silent",Table2[[#This Row],[Age]]&gt;=97,"Greatest")</f>
        <v>Millenials</v>
      </c>
      <c r="E1031" s="1">
        <v>101846</v>
      </c>
      <c r="F1031">
        <v>17</v>
      </c>
      <c r="G1031" t="str" cm="1">
        <f t="array" ref="G1031">_xlfn.IFS(Table2[[#This Row],[Spending Score (1-100)]]&lt;=25,"Low",Table2[[#This Row],[Spending Score (1-100)]]&lt;=50,"Medium",Table2[[#This Row],[Spending Score (1-100)]]&lt;=75,"High",Table2[[#This Row],[Spending Score (1-100)]]&lt;=100,"Very High")</f>
        <v>Low</v>
      </c>
      <c r="H1031" t="s">
        <v>16</v>
      </c>
      <c r="I1031">
        <v>3</v>
      </c>
      <c r="J1031" t="str">
        <f>CONCATENATE(Table2[[#This Row],[Work Experience]],"years")</f>
        <v>3years</v>
      </c>
      <c r="K1031" t="str">
        <f>CONCATENATE(Table2[[#This Row],[Family Size2]],"members")</f>
        <v>2members</v>
      </c>
      <c r="L1031" t="str">
        <f>CONCATENATE(Table2[[#This Row],[Family Size2]],"members")</f>
        <v>2members</v>
      </c>
      <c r="M1031">
        <v>2</v>
      </c>
    </row>
    <row r="1032" spans="1:13">
      <c r="A1032">
        <v>1031</v>
      </c>
      <c r="B1032" t="s">
        <v>8</v>
      </c>
      <c r="C1032">
        <v>15</v>
      </c>
      <c r="D1032" t="str" cm="1">
        <f t="array" ref="D1032">_xlfn.IFS(Table2[[#This Row],[Age]]&lt;=11,"Gen A",Table2[[#This Row],[Age]]&lt;=27,"Gen Z",Table2[[#This Row],[Age]]&lt;=43,"Millenials",Table2[[#This Row],[Age]]&lt;=59,"Gen X",Table2[[#This Row],[Age]]&lt;=78,"Baby Boomers",Table2[[#This Row],[Age]]&lt;=96,"Silent",Table2[[#This Row],[Age]]&gt;=97,"Greatest")</f>
        <v>Gen Z</v>
      </c>
      <c r="E1032" s="1">
        <v>114061</v>
      </c>
      <c r="F1032">
        <v>87</v>
      </c>
      <c r="G1032" t="str" cm="1">
        <f t="array" ref="G1032">_xlfn.IFS(Table2[[#This Row],[Spending Score (1-100)]]&lt;=25,"Low",Table2[[#This Row],[Spending Score (1-100)]]&lt;=50,"Medium",Table2[[#This Row],[Spending Score (1-100)]]&lt;=75,"High",Table2[[#This Row],[Spending Score (1-100)]]&lt;=100,"Very High")</f>
        <v>Very High</v>
      </c>
      <c r="H1032" t="s">
        <v>14</v>
      </c>
      <c r="I1032">
        <v>2</v>
      </c>
      <c r="J1032" t="str">
        <f>CONCATENATE(Table2[[#This Row],[Work Experience]],"years")</f>
        <v>2years</v>
      </c>
      <c r="K1032" t="str">
        <f>CONCATENATE(Table2[[#This Row],[Family Size2]],"members")</f>
        <v>5members</v>
      </c>
      <c r="L1032" t="str">
        <f>CONCATENATE(Table2[[#This Row],[Family Size2]],"members")</f>
        <v>5members</v>
      </c>
      <c r="M1032">
        <v>5</v>
      </c>
    </row>
    <row r="1033" spans="1:13">
      <c r="A1033">
        <v>1032</v>
      </c>
      <c r="B1033" t="s">
        <v>8</v>
      </c>
      <c r="C1033">
        <v>74</v>
      </c>
      <c r="D1033" t="str" cm="1">
        <f t="array" ref="D1033">_xlfn.IFS(Table2[[#This Row],[Age]]&lt;=11,"Gen A",Table2[[#This Row],[Age]]&lt;=27,"Gen Z",Table2[[#This Row],[Age]]&lt;=43,"Millenials",Table2[[#This Row],[Age]]&lt;=59,"Gen X",Table2[[#This Row],[Age]]&lt;=78,"Baby Boomers",Table2[[#This Row],[Age]]&lt;=96,"Silent",Table2[[#This Row],[Age]]&gt;=97,"Greatest")</f>
        <v>Baby Boomers</v>
      </c>
      <c r="E1033" s="1">
        <v>147449</v>
      </c>
      <c r="F1033">
        <v>16</v>
      </c>
      <c r="G1033" t="str" cm="1">
        <f t="array" ref="G1033">_xlfn.IFS(Table2[[#This Row],[Spending Score (1-100)]]&lt;=25,"Low",Table2[[#This Row],[Spending Score (1-100)]]&lt;=50,"Medium",Table2[[#This Row],[Spending Score (1-100)]]&lt;=75,"High",Table2[[#This Row],[Spending Score (1-100)]]&lt;=100,"Very High")</f>
        <v>Low</v>
      </c>
      <c r="H1033" t="s">
        <v>14</v>
      </c>
      <c r="I1033">
        <v>1</v>
      </c>
      <c r="J1033" t="str">
        <f>CONCATENATE(Table2[[#This Row],[Work Experience]],"years")</f>
        <v>1years</v>
      </c>
      <c r="K1033" t="str">
        <f>CONCATENATE(Table2[[#This Row],[Family Size2]],"members")</f>
        <v>5members</v>
      </c>
      <c r="L1033" t="str">
        <f>CONCATENATE(Table2[[#This Row],[Family Size2]],"members")</f>
        <v>5members</v>
      </c>
      <c r="M1033">
        <v>5</v>
      </c>
    </row>
    <row r="1034" spans="1:13">
      <c r="A1034">
        <v>1033</v>
      </c>
      <c r="B1034" t="s">
        <v>11</v>
      </c>
      <c r="C1034">
        <v>47</v>
      </c>
      <c r="D1034" t="str" cm="1">
        <f t="array" ref="D1034">_xlfn.IFS(Table2[[#This Row],[Age]]&lt;=11,"Gen A",Table2[[#This Row],[Age]]&lt;=27,"Gen Z",Table2[[#This Row],[Age]]&lt;=43,"Millenials",Table2[[#This Row],[Age]]&lt;=59,"Gen X",Table2[[#This Row],[Age]]&lt;=78,"Baby Boomers",Table2[[#This Row],[Age]]&lt;=96,"Silent",Table2[[#This Row],[Age]]&gt;=97,"Greatest")</f>
        <v>Gen X</v>
      </c>
      <c r="E1034" s="1">
        <v>83043</v>
      </c>
      <c r="F1034">
        <v>76</v>
      </c>
      <c r="G1034" t="str" cm="1">
        <f t="array" ref="G1034">_xlfn.IFS(Table2[[#This Row],[Spending Score (1-100)]]&lt;=25,"Low",Table2[[#This Row],[Spending Score (1-100)]]&lt;=50,"Medium",Table2[[#This Row],[Spending Score (1-100)]]&lt;=75,"High",Table2[[#This Row],[Spending Score (1-100)]]&lt;=100,"Very High")</f>
        <v>Very High</v>
      </c>
      <c r="H1034" t="s">
        <v>15</v>
      </c>
      <c r="I1034">
        <v>0</v>
      </c>
      <c r="J1034" t="str">
        <f>CONCATENATE(Table2[[#This Row],[Work Experience]],"years")</f>
        <v>0years</v>
      </c>
      <c r="K1034" t="str">
        <f>CONCATENATE(Table2[[#This Row],[Family Size2]],"members")</f>
        <v>1members</v>
      </c>
      <c r="L1034" t="str">
        <f>CONCATENATE(Table2[[#This Row],[Family Size2]],"members")</f>
        <v>1members</v>
      </c>
      <c r="M1034">
        <v>1</v>
      </c>
    </row>
    <row r="1035" spans="1:13">
      <c r="A1035">
        <v>1034</v>
      </c>
      <c r="B1035" t="s">
        <v>11</v>
      </c>
      <c r="C1035">
        <v>96</v>
      </c>
      <c r="D1035" t="str" cm="1">
        <f t="array" ref="D1035">_xlfn.IFS(Table2[[#This Row],[Age]]&lt;=11,"Gen A",Table2[[#This Row],[Age]]&lt;=27,"Gen Z",Table2[[#This Row],[Age]]&lt;=43,"Millenials",Table2[[#This Row],[Age]]&lt;=59,"Gen X",Table2[[#This Row],[Age]]&lt;=78,"Baby Boomers",Table2[[#This Row],[Age]]&lt;=96,"Silent",Table2[[#This Row],[Age]]&gt;=97,"Greatest")</f>
        <v>Silent</v>
      </c>
      <c r="E1035" s="1">
        <v>168990</v>
      </c>
      <c r="F1035">
        <v>81</v>
      </c>
      <c r="G1035" t="str" cm="1">
        <f t="array" ref="G1035">_xlfn.IFS(Table2[[#This Row],[Spending Score (1-100)]]&lt;=25,"Low",Table2[[#This Row],[Spending Score (1-100)]]&lt;=50,"Medium",Table2[[#This Row],[Spending Score (1-100)]]&lt;=75,"High",Table2[[#This Row],[Spending Score (1-100)]]&lt;=100,"Very High")</f>
        <v>Very High</v>
      </c>
      <c r="H1035" t="s">
        <v>16</v>
      </c>
      <c r="I1035">
        <v>9</v>
      </c>
      <c r="J1035" t="str">
        <f>CONCATENATE(Table2[[#This Row],[Work Experience]],"years")</f>
        <v>9years</v>
      </c>
      <c r="K1035" t="str">
        <f>CONCATENATE(Table2[[#This Row],[Family Size2]],"members")</f>
        <v>5members</v>
      </c>
      <c r="L1035" t="str">
        <f>CONCATENATE(Table2[[#This Row],[Family Size2]],"members")</f>
        <v>5members</v>
      </c>
      <c r="M1035">
        <v>5</v>
      </c>
    </row>
    <row r="1036" spans="1:13">
      <c r="A1036">
        <v>1035</v>
      </c>
      <c r="B1036" t="s">
        <v>8</v>
      </c>
      <c r="C1036">
        <v>97</v>
      </c>
      <c r="D1036" t="str" cm="1">
        <f t="array" ref="D1036">_xlfn.IFS(Table2[[#This Row],[Age]]&lt;=11,"Gen A",Table2[[#This Row],[Age]]&lt;=27,"Gen Z",Table2[[#This Row],[Age]]&lt;=43,"Millenials",Table2[[#This Row],[Age]]&lt;=59,"Gen X",Table2[[#This Row],[Age]]&lt;=78,"Baby Boomers",Table2[[#This Row],[Age]]&lt;=96,"Silent",Table2[[#This Row],[Age]]&gt;=97,"Greatest")</f>
        <v>Greatest</v>
      </c>
      <c r="E1036" s="1">
        <v>73867</v>
      </c>
      <c r="F1036">
        <v>65</v>
      </c>
      <c r="G1036" t="str" cm="1">
        <f t="array" ref="G1036">_xlfn.IFS(Table2[[#This Row],[Spending Score (1-100)]]&lt;=25,"Low",Table2[[#This Row],[Spending Score (1-100)]]&lt;=50,"Medium",Table2[[#This Row],[Spending Score (1-100)]]&lt;=75,"High",Table2[[#This Row],[Spending Score (1-100)]]&lt;=100,"Very High")</f>
        <v>High</v>
      </c>
      <c r="H1036" t="s">
        <v>9</v>
      </c>
      <c r="I1036">
        <v>4</v>
      </c>
      <c r="J1036" t="str">
        <f>CONCATENATE(Table2[[#This Row],[Work Experience]],"years")</f>
        <v>4years</v>
      </c>
      <c r="K1036" t="str">
        <f>CONCATENATE(Table2[[#This Row],[Family Size2]],"members")</f>
        <v>5members</v>
      </c>
      <c r="L1036" t="str">
        <f>CONCATENATE(Table2[[#This Row],[Family Size2]],"members")</f>
        <v>5members</v>
      </c>
      <c r="M1036">
        <v>5</v>
      </c>
    </row>
    <row r="1037" spans="1:13">
      <c r="A1037">
        <v>1036</v>
      </c>
      <c r="B1037" t="s">
        <v>11</v>
      </c>
      <c r="C1037">
        <v>35</v>
      </c>
      <c r="D1037" t="str" cm="1">
        <f t="array" ref="D1037">_xlfn.IFS(Table2[[#This Row],[Age]]&lt;=11,"Gen A",Table2[[#This Row],[Age]]&lt;=27,"Gen Z",Table2[[#This Row],[Age]]&lt;=43,"Millenials",Table2[[#This Row],[Age]]&lt;=59,"Gen X",Table2[[#This Row],[Age]]&lt;=78,"Baby Boomers",Table2[[#This Row],[Age]]&lt;=96,"Silent",Table2[[#This Row],[Age]]&gt;=97,"Greatest")</f>
        <v>Millenials</v>
      </c>
      <c r="E1037" s="1">
        <v>165772</v>
      </c>
      <c r="F1037">
        <v>51</v>
      </c>
      <c r="G1037" t="str" cm="1">
        <f t="array" ref="G1037">_xlfn.IFS(Table2[[#This Row],[Spending Score (1-100)]]&lt;=25,"Low",Table2[[#This Row],[Spending Score (1-100)]]&lt;=50,"Medium",Table2[[#This Row],[Spending Score (1-100)]]&lt;=75,"High",Table2[[#This Row],[Spending Score (1-100)]]&lt;=100,"Very High")</f>
        <v>High</v>
      </c>
      <c r="H1037" t="s">
        <v>9</v>
      </c>
      <c r="I1037">
        <v>1</v>
      </c>
      <c r="J1037" t="str">
        <f>CONCATENATE(Table2[[#This Row],[Work Experience]],"years")</f>
        <v>1years</v>
      </c>
      <c r="K1037" t="str">
        <f>CONCATENATE(Table2[[#This Row],[Family Size2]],"members")</f>
        <v>4members</v>
      </c>
      <c r="L1037" t="str">
        <f>CONCATENATE(Table2[[#This Row],[Family Size2]],"members")</f>
        <v>4members</v>
      </c>
      <c r="M1037">
        <v>4</v>
      </c>
    </row>
    <row r="1038" spans="1:13">
      <c r="A1038">
        <v>1037</v>
      </c>
      <c r="B1038" t="s">
        <v>11</v>
      </c>
      <c r="C1038">
        <v>19</v>
      </c>
      <c r="D1038" t="str" cm="1">
        <f t="array" ref="D1038">_xlfn.IFS(Table2[[#This Row],[Age]]&lt;=11,"Gen A",Table2[[#This Row],[Age]]&lt;=27,"Gen Z",Table2[[#This Row],[Age]]&lt;=43,"Millenials",Table2[[#This Row],[Age]]&lt;=59,"Gen X",Table2[[#This Row],[Age]]&lt;=78,"Baby Boomers",Table2[[#This Row],[Age]]&lt;=96,"Silent",Table2[[#This Row],[Age]]&gt;=97,"Greatest")</f>
        <v>Gen Z</v>
      </c>
      <c r="E1038" s="1">
        <v>178217</v>
      </c>
      <c r="F1038">
        <v>38</v>
      </c>
      <c r="G1038" t="str" cm="1">
        <f t="array" ref="G1038">_xlfn.IFS(Table2[[#This Row],[Spending Score (1-100)]]&lt;=25,"Low",Table2[[#This Row],[Spending Score (1-100)]]&lt;=50,"Medium",Table2[[#This Row],[Spending Score (1-100)]]&lt;=75,"High",Table2[[#This Row],[Spending Score (1-100)]]&lt;=100,"Very High")</f>
        <v>Medium</v>
      </c>
      <c r="H1038" t="s">
        <v>18</v>
      </c>
      <c r="I1038">
        <v>0</v>
      </c>
      <c r="J1038" t="str">
        <f>CONCATENATE(Table2[[#This Row],[Work Experience]],"years")</f>
        <v>0years</v>
      </c>
      <c r="K1038" t="str">
        <f>CONCATENATE(Table2[[#This Row],[Family Size2]],"members")</f>
        <v>3members</v>
      </c>
      <c r="L1038" t="str">
        <f>CONCATENATE(Table2[[#This Row],[Family Size2]],"members")</f>
        <v>3members</v>
      </c>
      <c r="M1038">
        <v>3</v>
      </c>
    </row>
    <row r="1039" spans="1:13">
      <c r="A1039">
        <v>1038</v>
      </c>
      <c r="B1039" t="s">
        <v>8</v>
      </c>
      <c r="C1039">
        <v>60</v>
      </c>
      <c r="D1039" t="str" cm="1">
        <f t="array" ref="D1039">_xlfn.IFS(Table2[[#This Row],[Age]]&lt;=11,"Gen A",Table2[[#This Row],[Age]]&lt;=27,"Gen Z",Table2[[#This Row],[Age]]&lt;=43,"Millenials",Table2[[#This Row],[Age]]&lt;=59,"Gen X",Table2[[#This Row],[Age]]&lt;=78,"Baby Boomers",Table2[[#This Row],[Age]]&lt;=96,"Silent",Table2[[#This Row],[Age]]&gt;=97,"Greatest")</f>
        <v>Baby Boomers</v>
      </c>
      <c r="E1039" s="1">
        <v>162612</v>
      </c>
      <c r="F1039">
        <v>98</v>
      </c>
      <c r="G1039" t="str" cm="1">
        <f t="array" ref="G1039">_xlfn.IFS(Table2[[#This Row],[Spending Score (1-100)]]&lt;=25,"Low",Table2[[#This Row],[Spending Score (1-100)]]&lt;=50,"Medium",Table2[[#This Row],[Spending Score (1-100)]]&lt;=75,"High",Table2[[#This Row],[Spending Score (1-100)]]&lt;=100,"Very High")</f>
        <v>Very High</v>
      </c>
      <c r="H1039" t="s">
        <v>10</v>
      </c>
      <c r="I1039">
        <v>1</v>
      </c>
      <c r="J1039" t="str">
        <f>CONCATENATE(Table2[[#This Row],[Work Experience]],"years")</f>
        <v>1years</v>
      </c>
      <c r="K1039" t="str">
        <f>CONCATENATE(Table2[[#This Row],[Family Size2]],"members")</f>
        <v>6members</v>
      </c>
      <c r="L1039" t="str">
        <f>CONCATENATE(Table2[[#This Row],[Family Size2]],"members")</f>
        <v>6members</v>
      </c>
      <c r="M1039">
        <v>6</v>
      </c>
    </row>
    <row r="1040" spans="1:13">
      <c r="A1040">
        <v>1039</v>
      </c>
      <c r="B1040" t="s">
        <v>8</v>
      </c>
      <c r="C1040">
        <v>37</v>
      </c>
      <c r="D1040" t="str" cm="1">
        <f t="array" ref="D1040">_xlfn.IFS(Table2[[#This Row],[Age]]&lt;=11,"Gen A",Table2[[#This Row],[Age]]&lt;=27,"Gen Z",Table2[[#This Row],[Age]]&lt;=43,"Millenials",Table2[[#This Row],[Age]]&lt;=59,"Gen X",Table2[[#This Row],[Age]]&lt;=78,"Baby Boomers",Table2[[#This Row],[Age]]&lt;=96,"Silent",Table2[[#This Row],[Age]]&gt;=97,"Greatest")</f>
        <v>Millenials</v>
      </c>
      <c r="E1040" s="1">
        <v>99872</v>
      </c>
      <c r="F1040">
        <v>53</v>
      </c>
      <c r="G1040" t="str" cm="1">
        <f t="array" ref="G1040">_xlfn.IFS(Table2[[#This Row],[Spending Score (1-100)]]&lt;=25,"Low",Table2[[#This Row],[Spending Score (1-100)]]&lt;=50,"Medium",Table2[[#This Row],[Spending Score (1-100)]]&lt;=75,"High",Table2[[#This Row],[Spending Score (1-100)]]&lt;=100,"Very High")</f>
        <v>High</v>
      </c>
      <c r="H1040" t="s">
        <v>13</v>
      </c>
      <c r="I1040">
        <v>11</v>
      </c>
      <c r="J1040" t="str">
        <f>CONCATENATE(Table2[[#This Row],[Work Experience]],"years")</f>
        <v>11years</v>
      </c>
      <c r="K1040" t="str">
        <f>CONCATENATE(Table2[[#This Row],[Family Size2]],"members")</f>
        <v>3members</v>
      </c>
      <c r="L1040" t="str">
        <f>CONCATENATE(Table2[[#This Row],[Family Size2]],"members")</f>
        <v>3members</v>
      </c>
      <c r="M1040">
        <v>3</v>
      </c>
    </row>
    <row r="1041" spans="1:13">
      <c r="A1041">
        <v>1040</v>
      </c>
      <c r="B1041" t="s">
        <v>11</v>
      </c>
      <c r="C1041">
        <v>49</v>
      </c>
      <c r="D1041" t="str" cm="1">
        <f t="array" ref="D1041">_xlfn.IFS(Table2[[#This Row],[Age]]&lt;=11,"Gen A",Table2[[#This Row],[Age]]&lt;=27,"Gen Z",Table2[[#This Row],[Age]]&lt;=43,"Millenials",Table2[[#This Row],[Age]]&lt;=59,"Gen X",Table2[[#This Row],[Age]]&lt;=78,"Baby Boomers",Table2[[#This Row],[Age]]&lt;=96,"Silent",Table2[[#This Row],[Age]]&gt;=97,"Greatest")</f>
        <v>Gen X</v>
      </c>
      <c r="E1041" s="1">
        <v>142566</v>
      </c>
      <c r="F1041">
        <v>77</v>
      </c>
      <c r="G1041" t="str" cm="1">
        <f t="array" ref="G1041">_xlfn.IFS(Table2[[#This Row],[Spending Score (1-100)]]&lt;=25,"Low",Table2[[#This Row],[Spending Score (1-100)]]&lt;=50,"Medium",Table2[[#This Row],[Spending Score (1-100)]]&lt;=75,"High",Table2[[#This Row],[Spending Score (1-100)]]&lt;=100,"Very High")</f>
        <v>Very High</v>
      </c>
      <c r="H1041" t="s">
        <v>14</v>
      </c>
      <c r="I1041">
        <v>1</v>
      </c>
      <c r="J1041" t="str">
        <f>CONCATENATE(Table2[[#This Row],[Work Experience]],"years")</f>
        <v>1years</v>
      </c>
      <c r="K1041" t="str">
        <f>CONCATENATE(Table2[[#This Row],[Family Size2]],"members")</f>
        <v>7members</v>
      </c>
      <c r="L1041" t="str">
        <f>CONCATENATE(Table2[[#This Row],[Family Size2]],"members")</f>
        <v>7members</v>
      </c>
      <c r="M1041">
        <v>7</v>
      </c>
    </row>
    <row r="1042" spans="1:13">
      <c r="A1042">
        <v>1041</v>
      </c>
      <c r="B1042" t="s">
        <v>11</v>
      </c>
      <c r="C1042">
        <v>1</v>
      </c>
      <c r="D1042" t="str" cm="1">
        <f t="array" ref="D1042">_xlfn.IFS(Table2[[#This Row],[Age]]&lt;=11,"Gen A",Table2[[#This Row],[Age]]&lt;=27,"Gen Z",Table2[[#This Row],[Age]]&lt;=43,"Millenials",Table2[[#This Row],[Age]]&lt;=59,"Gen X",Table2[[#This Row],[Age]]&lt;=78,"Baby Boomers",Table2[[#This Row],[Age]]&lt;=96,"Silent",Table2[[#This Row],[Age]]&gt;=97,"Greatest")</f>
        <v>Gen A</v>
      </c>
      <c r="E1042" s="1">
        <v>111424</v>
      </c>
      <c r="F1042">
        <v>80</v>
      </c>
      <c r="G1042" t="str" cm="1">
        <f t="array" ref="G1042">_xlfn.IFS(Table2[[#This Row],[Spending Score (1-100)]]&lt;=25,"Low",Table2[[#This Row],[Spending Score (1-100)]]&lt;=50,"Medium",Table2[[#This Row],[Spending Score (1-100)]]&lt;=75,"High",Table2[[#This Row],[Spending Score (1-100)]]&lt;=100,"Very High")</f>
        <v>Very High</v>
      </c>
      <c r="H1042" t="s">
        <v>13</v>
      </c>
      <c r="I1042">
        <v>8</v>
      </c>
      <c r="J1042" t="str">
        <f>CONCATENATE(Table2[[#This Row],[Work Experience]],"years")</f>
        <v>8years</v>
      </c>
      <c r="K1042" t="str">
        <f>CONCATENATE(Table2[[#This Row],[Family Size2]],"members")</f>
        <v>5members</v>
      </c>
      <c r="L1042" t="str">
        <f>CONCATENATE(Table2[[#This Row],[Family Size2]],"members")</f>
        <v>5members</v>
      </c>
      <c r="M1042">
        <v>5</v>
      </c>
    </row>
    <row r="1043" spans="1:13">
      <c r="A1043">
        <v>1042</v>
      </c>
      <c r="B1043" t="s">
        <v>8</v>
      </c>
      <c r="C1043">
        <v>43</v>
      </c>
      <c r="D1043" t="str" cm="1">
        <f t="array" ref="D1043">_xlfn.IFS(Table2[[#This Row],[Age]]&lt;=11,"Gen A",Table2[[#This Row],[Age]]&lt;=27,"Gen Z",Table2[[#This Row],[Age]]&lt;=43,"Millenials",Table2[[#This Row],[Age]]&lt;=59,"Gen X",Table2[[#This Row],[Age]]&lt;=78,"Baby Boomers",Table2[[#This Row],[Age]]&lt;=96,"Silent",Table2[[#This Row],[Age]]&gt;=97,"Greatest")</f>
        <v>Millenials</v>
      </c>
      <c r="E1043" s="1">
        <v>187841</v>
      </c>
      <c r="F1043">
        <v>38</v>
      </c>
      <c r="G1043" t="str" cm="1">
        <f t="array" ref="G1043">_xlfn.IFS(Table2[[#This Row],[Spending Score (1-100)]]&lt;=25,"Low",Table2[[#This Row],[Spending Score (1-100)]]&lt;=50,"Medium",Table2[[#This Row],[Spending Score (1-100)]]&lt;=75,"High",Table2[[#This Row],[Spending Score (1-100)]]&lt;=100,"Very High")</f>
        <v>Medium</v>
      </c>
      <c r="H1043" t="s">
        <v>14</v>
      </c>
      <c r="I1043">
        <v>1</v>
      </c>
      <c r="J1043" t="str">
        <f>CONCATENATE(Table2[[#This Row],[Work Experience]],"years")</f>
        <v>1years</v>
      </c>
      <c r="K1043" t="str">
        <f>CONCATENATE(Table2[[#This Row],[Family Size2]],"members")</f>
        <v>4members</v>
      </c>
      <c r="L1043" t="str">
        <f>CONCATENATE(Table2[[#This Row],[Family Size2]],"members")</f>
        <v>4members</v>
      </c>
      <c r="M1043">
        <v>4</v>
      </c>
    </row>
    <row r="1044" spans="1:13">
      <c r="A1044">
        <v>1043</v>
      </c>
      <c r="B1044" t="s">
        <v>11</v>
      </c>
      <c r="C1044">
        <v>46</v>
      </c>
      <c r="D1044" t="str" cm="1">
        <f t="array" ref="D1044">_xlfn.IFS(Table2[[#This Row],[Age]]&lt;=11,"Gen A",Table2[[#This Row],[Age]]&lt;=27,"Gen Z",Table2[[#This Row],[Age]]&lt;=43,"Millenials",Table2[[#This Row],[Age]]&lt;=59,"Gen X",Table2[[#This Row],[Age]]&lt;=78,"Baby Boomers",Table2[[#This Row],[Age]]&lt;=96,"Silent",Table2[[#This Row],[Age]]&gt;=97,"Greatest")</f>
        <v>Gen X</v>
      </c>
      <c r="E1044" s="1">
        <v>171921</v>
      </c>
      <c r="F1044">
        <v>50</v>
      </c>
      <c r="G1044" t="str" cm="1">
        <f t="array" ref="G1044">_xlfn.IFS(Table2[[#This Row],[Spending Score (1-100)]]&lt;=25,"Low",Table2[[#This Row],[Spending Score (1-100)]]&lt;=50,"Medium",Table2[[#This Row],[Spending Score (1-100)]]&lt;=75,"High",Table2[[#This Row],[Spending Score (1-100)]]&lt;=100,"Very High")</f>
        <v>Medium</v>
      </c>
      <c r="H1044" t="s">
        <v>14</v>
      </c>
      <c r="I1044">
        <v>1</v>
      </c>
      <c r="J1044" t="str">
        <f>CONCATENATE(Table2[[#This Row],[Work Experience]],"years")</f>
        <v>1years</v>
      </c>
      <c r="K1044" t="str">
        <f>CONCATENATE(Table2[[#This Row],[Family Size2]],"members")</f>
        <v>6members</v>
      </c>
      <c r="L1044" t="str">
        <f>CONCATENATE(Table2[[#This Row],[Family Size2]],"members")</f>
        <v>6members</v>
      </c>
      <c r="M1044">
        <v>6</v>
      </c>
    </row>
    <row r="1045" spans="1:13">
      <c r="A1045">
        <v>1044</v>
      </c>
      <c r="B1045" t="s">
        <v>11</v>
      </c>
      <c r="C1045">
        <v>65</v>
      </c>
      <c r="D1045" t="str" cm="1">
        <f t="array" ref="D1045">_xlfn.IFS(Table2[[#This Row],[Age]]&lt;=11,"Gen A",Table2[[#This Row],[Age]]&lt;=27,"Gen Z",Table2[[#This Row],[Age]]&lt;=43,"Millenials",Table2[[#This Row],[Age]]&lt;=59,"Gen X",Table2[[#This Row],[Age]]&lt;=78,"Baby Boomers",Table2[[#This Row],[Age]]&lt;=96,"Silent",Table2[[#This Row],[Age]]&gt;=97,"Greatest")</f>
        <v>Baby Boomers</v>
      </c>
      <c r="E1045" s="1">
        <v>115299</v>
      </c>
      <c r="F1045">
        <v>87</v>
      </c>
      <c r="G1045" t="str" cm="1">
        <f t="array" ref="G1045">_xlfn.IFS(Table2[[#This Row],[Spending Score (1-100)]]&lt;=25,"Low",Table2[[#This Row],[Spending Score (1-100)]]&lt;=50,"Medium",Table2[[#This Row],[Spending Score (1-100)]]&lt;=75,"High",Table2[[#This Row],[Spending Score (1-100)]]&lt;=100,"Very High")</f>
        <v>Very High</v>
      </c>
      <c r="H1045" t="s">
        <v>14</v>
      </c>
      <c r="I1045">
        <v>6</v>
      </c>
      <c r="J1045" t="str">
        <f>CONCATENATE(Table2[[#This Row],[Work Experience]],"years")</f>
        <v>6years</v>
      </c>
      <c r="K1045" t="str">
        <f>CONCATENATE(Table2[[#This Row],[Family Size2]],"members")</f>
        <v>3members</v>
      </c>
      <c r="L1045" t="str">
        <f>CONCATENATE(Table2[[#This Row],[Family Size2]],"members")</f>
        <v>3members</v>
      </c>
      <c r="M1045">
        <v>3</v>
      </c>
    </row>
    <row r="1046" spans="1:13">
      <c r="A1046">
        <v>1045</v>
      </c>
      <c r="B1046" t="s">
        <v>8</v>
      </c>
      <c r="C1046">
        <v>75</v>
      </c>
      <c r="D1046" t="str" cm="1">
        <f t="array" ref="D1046">_xlfn.IFS(Table2[[#This Row],[Age]]&lt;=11,"Gen A",Table2[[#This Row],[Age]]&lt;=27,"Gen Z",Table2[[#This Row],[Age]]&lt;=43,"Millenials",Table2[[#This Row],[Age]]&lt;=59,"Gen X",Table2[[#This Row],[Age]]&lt;=78,"Baby Boomers",Table2[[#This Row],[Age]]&lt;=96,"Silent",Table2[[#This Row],[Age]]&gt;=97,"Greatest")</f>
        <v>Baby Boomers</v>
      </c>
      <c r="E1046" s="1">
        <v>94129</v>
      </c>
      <c r="F1046">
        <v>27</v>
      </c>
      <c r="G1046" t="str" cm="1">
        <f t="array" ref="G1046">_xlfn.IFS(Table2[[#This Row],[Spending Score (1-100)]]&lt;=25,"Low",Table2[[#This Row],[Spending Score (1-100)]]&lt;=50,"Medium",Table2[[#This Row],[Spending Score (1-100)]]&lt;=75,"High",Table2[[#This Row],[Spending Score (1-100)]]&lt;=100,"Very High")</f>
        <v>Medium</v>
      </c>
      <c r="H1046" t="s">
        <v>9</v>
      </c>
      <c r="I1046">
        <v>6</v>
      </c>
      <c r="J1046" t="str">
        <f>CONCATENATE(Table2[[#This Row],[Work Experience]],"years")</f>
        <v>6years</v>
      </c>
      <c r="K1046" t="str">
        <f>CONCATENATE(Table2[[#This Row],[Family Size2]],"members")</f>
        <v>7members</v>
      </c>
      <c r="L1046" t="str">
        <f>CONCATENATE(Table2[[#This Row],[Family Size2]],"members")</f>
        <v>7members</v>
      </c>
      <c r="M1046">
        <v>7</v>
      </c>
    </row>
    <row r="1047" spans="1:13">
      <c r="A1047">
        <v>1046</v>
      </c>
      <c r="B1047" t="s">
        <v>8</v>
      </c>
      <c r="C1047">
        <v>40</v>
      </c>
      <c r="D1047" t="str" cm="1">
        <f t="array" ref="D1047">_xlfn.IFS(Table2[[#This Row],[Age]]&lt;=11,"Gen A",Table2[[#This Row],[Age]]&lt;=27,"Gen Z",Table2[[#This Row],[Age]]&lt;=43,"Millenials",Table2[[#This Row],[Age]]&lt;=59,"Gen X",Table2[[#This Row],[Age]]&lt;=78,"Baby Boomers",Table2[[#This Row],[Age]]&lt;=96,"Silent",Table2[[#This Row],[Age]]&gt;=97,"Greatest")</f>
        <v>Millenials</v>
      </c>
      <c r="E1047" s="1">
        <v>172378</v>
      </c>
      <c r="F1047">
        <v>39</v>
      </c>
      <c r="G1047" t="str" cm="1">
        <f t="array" ref="G1047">_xlfn.IFS(Table2[[#This Row],[Spending Score (1-100)]]&lt;=25,"Low",Table2[[#This Row],[Spending Score (1-100)]]&lt;=50,"Medium",Table2[[#This Row],[Spending Score (1-100)]]&lt;=75,"High",Table2[[#This Row],[Spending Score (1-100)]]&lt;=100,"Very High")</f>
        <v>Medium</v>
      </c>
      <c r="H1047" t="s">
        <v>13</v>
      </c>
      <c r="I1047">
        <v>5</v>
      </c>
      <c r="J1047" t="str">
        <f>CONCATENATE(Table2[[#This Row],[Work Experience]],"years")</f>
        <v>5years</v>
      </c>
      <c r="K1047" t="str">
        <f>CONCATENATE(Table2[[#This Row],[Family Size2]],"members")</f>
        <v>6members</v>
      </c>
      <c r="L1047" t="str">
        <f>CONCATENATE(Table2[[#This Row],[Family Size2]],"members")</f>
        <v>6members</v>
      </c>
      <c r="M1047">
        <v>6</v>
      </c>
    </row>
    <row r="1048" spans="1:13">
      <c r="A1048">
        <v>1047</v>
      </c>
      <c r="B1048" t="s">
        <v>8</v>
      </c>
      <c r="C1048">
        <v>28</v>
      </c>
      <c r="D1048" t="str" cm="1">
        <f t="array" ref="D1048">_xlfn.IFS(Table2[[#This Row],[Age]]&lt;=11,"Gen A",Table2[[#This Row],[Age]]&lt;=27,"Gen Z",Table2[[#This Row],[Age]]&lt;=43,"Millenials",Table2[[#This Row],[Age]]&lt;=59,"Gen X",Table2[[#This Row],[Age]]&lt;=78,"Baby Boomers",Table2[[#This Row],[Age]]&lt;=96,"Silent",Table2[[#This Row],[Age]]&gt;=97,"Greatest")</f>
        <v>Millenials</v>
      </c>
      <c r="E1048" s="1">
        <v>146597</v>
      </c>
      <c r="F1048">
        <v>31</v>
      </c>
      <c r="G1048" t="str" cm="1">
        <f t="array" ref="G1048">_xlfn.IFS(Table2[[#This Row],[Spending Score (1-100)]]&lt;=25,"Low",Table2[[#This Row],[Spending Score (1-100)]]&lt;=50,"Medium",Table2[[#This Row],[Spending Score (1-100)]]&lt;=75,"High",Table2[[#This Row],[Spending Score (1-100)]]&lt;=100,"Very High")</f>
        <v>Medium</v>
      </c>
      <c r="H1048" t="s">
        <v>10</v>
      </c>
      <c r="I1048">
        <v>1</v>
      </c>
      <c r="J1048" t="str">
        <f>CONCATENATE(Table2[[#This Row],[Work Experience]],"years")</f>
        <v>1years</v>
      </c>
      <c r="K1048" t="str">
        <f>CONCATENATE(Table2[[#This Row],[Family Size2]],"members")</f>
        <v>4members</v>
      </c>
      <c r="L1048" t="str">
        <f>CONCATENATE(Table2[[#This Row],[Family Size2]],"members")</f>
        <v>4members</v>
      </c>
      <c r="M1048">
        <v>4</v>
      </c>
    </row>
    <row r="1049" spans="1:13">
      <c r="A1049">
        <v>1048</v>
      </c>
      <c r="B1049" t="s">
        <v>11</v>
      </c>
      <c r="C1049">
        <v>78</v>
      </c>
      <c r="D1049" t="str" cm="1">
        <f t="array" ref="D1049">_xlfn.IFS(Table2[[#This Row],[Age]]&lt;=11,"Gen A",Table2[[#This Row],[Age]]&lt;=27,"Gen Z",Table2[[#This Row],[Age]]&lt;=43,"Millenials",Table2[[#This Row],[Age]]&lt;=59,"Gen X",Table2[[#This Row],[Age]]&lt;=78,"Baby Boomers",Table2[[#This Row],[Age]]&lt;=96,"Silent",Table2[[#This Row],[Age]]&gt;=97,"Greatest")</f>
        <v>Baby Boomers</v>
      </c>
      <c r="E1049" s="1">
        <v>64057</v>
      </c>
      <c r="F1049">
        <v>44</v>
      </c>
      <c r="G1049" t="str" cm="1">
        <f t="array" ref="G1049">_xlfn.IFS(Table2[[#This Row],[Spending Score (1-100)]]&lt;=25,"Low",Table2[[#This Row],[Spending Score (1-100)]]&lt;=50,"Medium",Table2[[#This Row],[Spending Score (1-100)]]&lt;=75,"High",Table2[[#This Row],[Spending Score (1-100)]]&lt;=100,"Very High")</f>
        <v>Medium</v>
      </c>
      <c r="H1049" t="s">
        <v>16</v>
      </c>
      <c r="I1049">
        <v>0</v>
      </c>
      <c r="J1049" t="str">
        <f>CONCATENATE(Table2[[#This Row],[Work Experience]],"years")</f>
        <v>0years</v>
      </c>
      <c r="K1049" t="str">
        <f>CONCATENATE(Table2[[#This Row],[Family Size2]],"members")</f>
        <v>3members</v>
      </c>
      <c r="L1049" t="str">
        <f>CONCATENATE(Table2[[#This Row],[Family Size2]],"members")</f>
        <v>3members</v>
      </c>
      <c r="M1049">
        <v>3</v>
      </c>
    </row>
    <row r="1050" spans="1:13">
      <c r="A1050">
        <v>1049</v>
      </c>
      <c r="B1050" t="s">
        <v>11</v>
      </c>
      <c r="C1050">
        <v>22</v>
      </c>
      <c r="D1050" t="str" cm="1">
        <f t="array" ref="D1050">_xlfn.IFS(Table2[[#This Row],[Age]]&lt;=11,"Gen A",Table2[[#This Row],[Age]]&lt;=27,"Gen Z",Table2[[#This Row],[Age]]&lt;=43,"Millenials",Table2[[#This Row],[Age]]&lt;=59,"Gen X",Table2[[#This Row],[Age]]&lt;=78,"Baby Boomers",Table2[[#This Row],[Age]]&lt;=96,"Silent",Table2[[#This Row],[Age]]&gt;=97,"Greatest")</f>
        <v>Gen Z</v>
      </c>
      <c r="E1050" s="1">
        <v>163585</v>
      </c>
      <c r="F1050">
        <v>49</v>
      </c>
      <c r="G1050" t="str" cm="1">
        <f t="array" ref="G1050">_xlfn.IFS(Table2[[#This Row],[Spending Score (1-100)]]&lt;=25,"Low",Table2[[#This Row],[Spending Score (1-100)]]&lt;=50,"Medium",Table2[[#This Row],[Spending Score (1-100)]]&lt;=75,"High",Table2[[#This Row],[Spending Score (1-100)]]&lt;=100,"Very High")</f>
        <v>Medium</v>
      </c>
      <c r="H1050" t="s">
        <v>14</v>
      </c>
      <c r="I1050">
        <v>9</v>
      </c>
      <c r="J1050" t="str">
        <f>CONCATENATE(Table2[[#This Row],[Work Experience]],"years")</f>
        <v>9years</v>
      </c>
      <c r="K1050" t="str">
        <f>CONCATENATE(Table2[[#This Row],[Family Size2]],"members")</f>
        <v>5members</v>
      </c>
      <c r="L1050" t="str">
        <f>CONCATENATE(Table2[[#This Row],[Family Size2]],"members")</f>
        <v>5members</v>
      </c>
      <c r="M1050">
        <v>5</v>
      </c>
    </row>
    <row r="1051" spans="1:13">
      <c r="A1051">
        <v>1050</v>
      </c>
      <c r="B1051" t="s">
        <v>8</v>
      </c>
      <c r="C1051">
        <v>6</v>
      </c>
      <c r="D1051" t="str" cm="1">
        <f t="array" ref="D1051">_xlfn.IFS(Table2[[#This Row],[Age]]&lt;=11,"Gen A",Table2[[#This Row],[Age]]&lt;=27,"Gen Z",Table2[[#This Row],[Age]]&lt;=43,"Millenials",Table2[[#This Row],[Age]]&lt;=59,"Gen X",Table2[[#This Row],[Age]]&lt;=78,"Baby Boomers",Table2[[#This Row],[Age]]&lt;=96,"Silent",Table2[[#This Row],[Age]]&gt;=97,"Greatest")</f>
        <v>Gen A</v>
      </c>
      <c r="E1051" s="1">
        <v>93186</v>
      </c>
      <c r="F1051">
        <v>83</v>
      </c>
      <c r="G1051" t="str" cm="1">
        <f t="array" ref="G1051">_xlfn.IFS(Table2[[#This Row],[Spending Score (1-100)]]&lt;=25,"Low",Table2[[#This Row],[Spending Score (1-100)]]&lt;=50,"Medium",Table2[[#This Row],[Spending Score (1-100)]]&lt;=75,"High",Table2[[#This Row],[Spending Score (1-100)]]&lt;=100,"Very High")</f>
        <v>Very High</v>
      </c>
      <c r="H1051" t="s">
        <v>13</v>
      </c>
      <c r="I1051">
        <v>1</v>
      </c>
      <c r="J1051" t="str">
        <f>CONCATENATE(Table2[[#This Row],[Work Experience]],"years")</f>
        <v>1years</v>
      </c>
      <c r="K1051" t="str">
        <f>CONCATENATE(Table2[[#This Row],[Family Size2]],"members")</f>
        <v>3members</v>
      </c>
      <c r="L1051" t="str">
        <f>CONCATENATE(Table2[[#This Row],[Family Size2]],"members")</f>
        <v>3members</v>
      </c>
      <c r="M1051">
        <v>3</v>
      </c>
    </row>
    <row r="1052" spans="1:13">
      <c r="A1052">
        <v>1051</v>
      </c>
      <c r="B1052" t="s">
        <v>8</v>
      </c>
      <c r="C1052">
        <v>46</v>
      </c>
      <c r="D1052" t="str" cm="1">
        <f t="array" ref="D1052">_xlfn.IFS(Table2[[#This Row],[Age]]&lt;=11,"Gen A",Table2[[#This Row],[Age]]&lt;=27,"Gen Z",Table2[[#This Row],[Age]]&lt;=43,"Millenials",Table2[[#This Row],[Age]]&lt;=59,"Gen X",Table2[[#This Row],[Age]]&lt;=78,"Baby Boomers",Table2[[#This Row],[Age]]&lt;=96,"Silent",Table2[[#This Row],[Age]]&gt;=97,"Greatest")</f>
        <v>Gen X</v>
      </c>
      <c r="E1052" s="1">
        <v>149764</v>
      </c>
      <c r="F1052">
        <v>1</v>
      </c>
      <c r="G1052" t="str" cm="1">
        <f t="array" ref="G1052">_xlfn.IFS(Table2[[#This Row],[Spending Score (1-100)]]&lt;=25,"Low",Table2[[#This Row],[Spending Score (1-100)]]&lt;=50,"Medium",Table2[[#This Row],[Spending Score (1-100)]]&lt;=75,"High",Table2[[#This Row],[Spending Score (1-100)]]&lt;=100,"Very High")</f>
        <v>Low</v>
      </c>
      <c r="H1052" t="s">
        <v>13</v>
      </c>
      <c r="I1052">
        <v>0</v>
      </c>
      <c r="J1052" t="str">
        <f>CONCATENATE(Table2[[#This Row],[Work Experience]],"years")</f>
        <v>0years</v>
      </c>
      <c r="K1052" t="str">
        <f>CONCATENATE(Table2[[#This Row],[Family Size2]],"members")</f>
        <v>6members</v>
      </c>
      <c r="L1052" t="str">
        <f>CONCATENATE(Table2[[#This Row],[Family Size2]],"members")</f>
        <v>6members</v>
      </c>
      <c r="M1052">
        <v>6</v>
      </c>
    </row>
    <row r="1053" spans="1:13">
      <c r="A1053">
        <v>1052</v>
      </c>
      <c r="B1053" t="s">
        <v>8</v>
      </c>
      <c r="C1053">
        <v>17</v>
      </c>
      <c r="D1053" t="str" cm="1">
        <f t="array" ref="D1053">_xlfn.IFS(Table2[[#This Row],[Age]]&lt;=11,"Gen A",Table2[[#This Row],[Age]]&lt;=27,"Gen Z",Table2[[#This Row],[Age]]&lt;=43,"Millenials",Table2[[#This Row],[Age]]&lt;=59,"Gen X",Table2[[#This Row],[Age]]&lt;=78,"Baby Boomers",Table2[[#This Row],[Age]]&lt;=96,"Silent",Table2[[#This Row],[Age]]&gt;=97,"Greatest")</f>
        <v>Gen Z</v>
      </c>
      <c r="E1053" s="1">
        <v>116822</v>
      </c>
      <c r="F1053">
        <v>84</v>
      </c>
      <c r="G1053" t="str" cm="1">
        <f t="array" ref="G1053">_xlfn.IFS(Table2[[#This Row],[Spending Score (1-100)]]&lt;=25,"Low",Table2[[#This Row],[Spending Score (1-100)]]&lt;=50,"Medium",Table2[[#This Row],[Spending Score (1-100)]]&lt;=75,"High",Table2[[#This Row],[Spending Score (1-100)]]&lt;=100,"Very High")</f>
        <v>Very High</v>
      </c>
      <c r="H1053" t="s">
        <v>16</v>
      </c>
      <c r="I1053">
        <v>1</v>
      </c>
      <c r="J1053" t="str">
        <f>CONCATENATE(Table2[[#This Row],[Work Experience]],"years")</f>
        <v>1years</v>
      </c>
      <c r="K1053" t="str">
        <f>CONCATENATE(Table2[[#This Row],[Family Size2]],"members")</f>
        <v>3members</v>
      </c>
      <c r="L1053" t="str">
        <f>CONCATENATE(Table2[[#This Row],[Family Size2]],"members")</f>
        <v>3members</v>
      </c>
      <c r="M1053">
        <v>3</v>
      </c>
    </row>
    <row r="1054" spans="1:13">
      <c r="A1054">
        <v>1053</v>
      </c>
      <c r="B1054" t="s">
        <v>11</v>
      </c>
      <c r="C1054">
        <v>46</v>
      </c>
      <c r="D1054" t="str" cm="1">
        <f t="array" ref="D1054">_xlfn.IFS(Table2[[#This Row],[Age]]&lt;=11,"Gen A",Table2[[#This Row],[Age]]&lt;=27,"Gen Z",Table2[[#This Row],[Age]]&lt;=43,"Millenials",Table2[[#This Row],[Age]]&lt;=59,"Gen X",Table2[[#This Row],[Age]]&lt;=78,"Baby Boomers",Table2[[#This Row],[Age]]&lt;=96,"Silent",Table2[[#This Row],[Age]]&gt;=97,"Greatest")</f>
        <v>Gen X</v>
      </c>
      <c r="E1054" s="1">
        <v>109346</v>
      </c>
      <c r="F1054">
        <v>37</v>
      </c>
      <c r="G1054" t="str" cm="1">
        <f t="array" ref="G1054">_xlfn.IFS(Table2[[#This Row],[Spending Score (1-100)]]&lt;=25,"Low",Table2[[#This Row],[Spending Score (1-100)]]&lt;=50,"Medium",Table2[[#This Row],[Spending Score (1-100)]]&lt;=75,"High",Table2[[#This Row],[Spending Score (1-100)]]&lt;=100,"Very High")</f>
        <v>Medium</v>
      </c>
      <c r="H1054" t="s">
        <v>13</v>
      </c>
      <c r="I1054">
        <v>1</v>
      </c>
      <c r="J1054" t="str">
        <f>CONCATENATE(Table2[[#This Row],[Work Experience]],"years")</f>
        <v>1years</v>
      </c>
      <c r="K1054" t="str">
        <f>CONCATENATE(Table2[[#This Row],[Family Size2]],"members")</f>
        <v>2members</v>
      </c>
      <c r="L1054" t="str">
        <f>CONCATENATE(Table2[[#This Row],[Family Size2]],"members")</f>
        <v>2members</v>
      </c>
      <c r="M1054">
        <v>2</v>
      </c>
    </row>
    <row r="1055" spans="1:13">
      <c r="A1055">
        <v>1054</v>
      </c>
      <c r="B1055" t="s">
        <v>11</v>
      </c>
      <c r="C1055">
        <v>72</v>
      </c>
      <c r="D1055" t="str" cm="1">
        <f t="array" ref="D1055">_xlfn.IFS(Table2[[#This Row],[Age]]&lt;=11,"Gen A",Table2[[#This Row],[Age]]&lt;=27,"Gen Z",Table2[[#This Row],[Age]]&lt;=43,"Millenials",Table2[[#This Row],[Age]]&lt;=59,"Gen X",Table2[[#This Row],[Age]]&lt;=78,"Baby Boomers",Table2[[#This Row],[Age]]&lt;=96,"Silent",Table2[[#This Row],[Age]]&gt;=97,"Greatest")</f>
        <v>Baby Boomers</v>
      </c>
      <c r="E1055" s="1">
        <v>111587</v>
      </c>
      <c r="F1055">
        <v>99</v>
      </c>
      <c r="G1055" t="str" cm="1">
        <f t="array" ref="G1055">_xlfn.IFS(Table2[[#This Row],[Spending Score (1-100)]]&lt;=25,"Low",Table2[[#This Row],[Spending Score (1-100)]]&lt;=50,"Medium",Table2[[#This Row],[Spending Score (1-100)]]&lt;=75,"High",Table2[[#This Row],[Spending Score (1-100)]]&lt;=100,"Very High")</f>
        <v>Very High</v>
      </c>
      <c r="H1055" t="s">
        <v>14</v>
      </c>
      <c r="I1055">
        <v>7</v>
      </c>
      <c r="J1055" t="str">
        <f>CONCATENATE(Table2[[#This Row],[Work Experience]],"years")</f>
        <v>7years</v>
      </c>
      <c r="K1055" t="str">
        <f>CONCATENATE(Table2[[#This Row],[Family Size2]],"members")</f>
        <v>4members</v>
      </c>
      <c r="L1055" t="str">
        <f>CONCATENATE(Table2[[#This Row],[Family Size2]],"members")</f>
        <v>4members</v>
      </c>
      <c r="M1055">
        <v>4</v>
      </c>
    </row>
    <row r="1056" spans="1:13">
      <c r="A1056">
        <v>1055</v>
      </c>
      <c r="B1056" t="s">
        <v>11</v>
      </c>
      <c r="C1056">
        <v>38</v>
      </c>
      <c r="D1056" t="str" cm="1">
        <f t="array" ref="D1056">_xlfn.IFS(Table2[[#This Row],[Age]]&lt;=11,"Gen A",Table2[[#This Row],[Age]]&lt;=27,"Gen Z",Table2[[#This Row],[Age]]&lt;=43,"Millenials",Table2[[#This Row],[Age]]&lt;=59,"Gen X",Table2[[#This Row],[Age]]&lt;=78,"Baby Boomers",Table2[[#This Row],[Age]]&lt;=96,"Silent",Table2[[#This Row],[Age]]&gt;=97,"Greatest")</f>
        <v>Millenials</v>
      </c>
      <c r="E1056" s="1">
        <v>166644</v>
      </c>
      <c r="F1056">
        <v>66</v>
      </c>
      <c r="G1056" t="str" cm="1">
        <f t="array" ref="G1056">_xlfn.IFS(Table2[[#This Row],[Spending Score (1-100)]]&lt;=25,"Low",Table2[[#This Row],[Spending Score (1-100)]]&lt;=50,"Medium",Table2[[#This Row],[Spending Score (1-100)]]&lt;=75,"High",Table2[[#This Row],[Spending Score (1-100)]]&lt;=100,"Very High")</f>
        <v>High</v>
      </c>
      <c r="H1056" t="s">
        <v>14</v>
      </c>
      <c r="I1056">
        <v>8</v>
      </c>
      <c r="J1056" t="str">
        <f>CONCATENATE(Table2[[#This Row],[Work Experience]],"years")</f>
        <v>8years</v>
      </c>
      <c r="K1056" t="str">
        <f>CONCATENATE(Table2[[#This Row],[Family Size2]],"members")</f>
        <v>6members</v>
      </c>
      <c r="L1056" t="str">
        <f>CONCATENATE(Table2[[#This Row],[Family Size2]],"members")</f>
        <v>6members</v>
      </c>
      <c r="M1056">
        <v>6</v>
      </c>
    </row>
    <row r="1057" spans="1:13">
      <c r="A1057">
        <v>1056</v>
      </c>
      <c r="B1057" t="s">
        <v>11</v>
      </c>
      <c r="C1057">
        <v>50</v>
      </c>
      <c r="D1057" t="str" cm="1">
        <f t="array" ref="D1057">_xlfn.IFS(Table2[[#This Row],[Age]]&lt;=11,"Gen A",Table2[[#This Row],[Age]]&lt;=27,"Gen Z",Table2[[#This Row],[Age]]&lt;=43,"Millenials",Table2[[#This Row],[Age]]&lt;=59,"Gen X",Table2[[#This Row],[Age]]&lt;=78,"Baby Boomers",Table2[[#This Row],[Age]]&lt;=96,"Silent",Table2[[#This Row],[Age]]&gt;=97,"Greatest")</f>
        <v>Gen X</v>
      </c>
      <c r="E1057" s="1">
        <v>181270</v>
      </c>
      <c r="F1057">
        <v>56</v>
      </c>
      <c r="G1057" t="str" cm="1">
        <f t="array" ref="G1057">_xlfn.IFS(Table2[[#This Row],[Spending Score (1-100)]]&lt;=25,"Low",Table2[[#This Row],[Spending Score (1-100)]]&lt;=50,"Medium",Table2[[#This Row],[Spending Score (1-100)]]&lt;=75,"High",Table2[[#This Row],[Spending Score (1-100)]]&lt;=100,"Very High")</f>
        <v>High</v>
      </c>
      <c r="H1057" t="s">
        <v>14</v>
      </c>
      <c r="I1057">
        <v>1</v>
      </c>
      <c r="J1057" t="str">
        <f>CONCATENATE(Table2[[#This Row],[Work Experience]],"years")</f>
        <v>1years</v>
      </c>
      <c r="K1057" t="str">
        <f>CONCATENATE(Table2[[#This Row],[Family Size2]],"members")</f>
        <v>1members</v>
      </c>
      <c r="L1057" t="str">
        <f>CONCATENATE(Table2[[#This Row],[Family Size2]],"members")</f>
        <v>1members</v>
      </c>
      <c r="M1057">
        <v>1</v>
      </c>
    </row>
    <row r="1058" spans="1:13">
      <c r="A1058">
        <v>1057</v>
      </c>
      <c r="B1058" t="s">
        <v>8</v>
      </c>
      <c r="C1058">
        <v>47</v>
      </c>
      <c r="D1058" t="str" cm="1">
        <f t="array" ref="D1058">_xlfn.IFS(Table2[[#This Row],[Age]]&lt;=11,"Gen A",Table2[[#This Row],[Age]]&lt;=27,"Gen Z",Table2[[#This Row],[Age]]&lt;=43,"Millenials",Table2[[#This Row],[Age]]&lt;=59,"Gen X",Table2[[#This Row],[Age]]&lt;=78,"Baby Boomers",Table2[[#This Row],[Age]]&lt;=96,"Silent",Table2[[#This Row],[Age]]&gt;=97,"Greatest")</f>
        <v>Gen X</v>
      </c>
      <c r="E1058" s="1">
        <v>65207</v>
      </c>
      <c r="F1058">
        <v>81</v>
      </c>
      <c r="G1058" t="str" cm="1">
        <f t="array" ref="G1058">_xlfn.IFS(Table2[[#This Row],[Spending Score (1-100)]]&lt;=25,"Low",Table2[[#This Row],[Spending Score (1-100)]]&lt;=50,"Medium",Table2[[#This Row],[Spending Score (1-100)]]&lt;=75,"High",Table2[[#This Row],[Spending Score (1-100)]]&lt;=100,"Very High")</f>
        <v>Very High</v>
      </c>
      <c r="H1058" t="s">
        <v>9</v>
      </c>
      <c r="I1058">
        <v>1</v>
      </c>
      <c r="J1058" t="str">
        <f>CONCATENATE(Table2[[#This Row],[Work Experience]],"years")</f>
        <v>1years</v>
      </c>
      <c r="K1058" t="str">
        <f>CONCATENATE(Table2[[#This Row],[Family Size2]],"members")</f>
        <v>2members</v>
      </c>
      <c r="L1058" t="str">
        <f>CONCATENATE(Table2[[#This Row],[Family Size2]],"members")</f>
        <v>2members</v>
      </c>
      <c r="M1058">
        <v>2</v>
      </c>
    </row>
    <row r="1059" spans="1:13">
      <c r="A1059">
        <v>1058</v>
      </c>
      <c r="B1059" t="s">
        <v>11</v>
      </c>
      <c r="C1059">
        <v>72</v>
      </c>
      <c r="D1059" t="str" cm="1">
        <f t="array" ref="D1059">_xlfn.IFS(Table2[[#This Row],[Age]]&lt;=11,"Gen A",Table2[[#This Row],[Age]]&lt;=27,"Gen Z",Table2[[#This Row],[Age]]&lt;=43,"Millenials",Table2[[#This Row],[Age]]&lt;=59,"Gen X",Table2[[#This Row],[Age]]&lt;=78,"Baby Boomers",Table2[[#This Row],[Age]]&lt;=96,"Silent",Table2[[#This Row],[Age]]&gt;=97,"Greatest")</f>
        <v>Baby Boomers</v>
      </c>
      <c r="E1059" s="1">
        <v>112146</v>
      </c>
      <c r="F1059">
        <v>21</v>
      </c>
      <c r="G1059" t="str" cm="1">
        <f t="array" ref="G1059">_xlfn.IFS(Table2[[#This Row],[Spending Score (1-100)]]&lt;=25,"Low",Table2[[#This Row],[Spending Score (1-100)]]&lt;=50,"Medium",Table2[[#This Row],[Spending Score (1-100)]]&lt;=75,"High",Table2[[#This Row],[Spending Score (1-100)]]&lt;=100,"Very High")</f>
        <v>Low</v>
      </c>
      <c r="H1059" t="s">
        <v>17</v>
      </c>
      <c r="I1059">
        <v>8</v>
      </c>
      <c r="J1059" t="str">
        <f>CONCATENATE(Table2[[#This Row],[Work Experience]],"years")</f>
        <v>8years</v>
      </c>
      <c r="K1059" t="str">
        <f>CONCATENATE(Table2[[#This Row],[Family Size2]],"members")</f>
        <v>4members</v>
      </c>
      <c r="L1059" t="str">
        <f>CONCATENATE(Table2[[#This Row],[Family Size2]],"members")</f>
        <v>4members</v>
      </c>
      <c r="M1059">
        <v>4</v>
      </c>
    </row>
    <row r="1060" spans="1:13">
      <c r="A1060">
        <v>1059</v>
      </c>
      <c r="B1060" t="s">
        <v>8</v>
      </c>
      <c r="C1060">
        <v>8</v>
      </c>
      <c r="D1060" t="str" cm="1">
        <f t="array" ref="D1060">_xlfn.IFS(Table2[[#This Row],[Age]]&lt;=11,"Gen A",Table2[[#This Row],[Age]]&lt;=27,"Gen Z",Table2[[#This Row],[Age]]&lt;=43,"Millenials",Table2[[#This Row],[Age]]&lt;=59,"Gen X",Table2[[#This Row],[Age]]&lt;=78,"Baby Boomers",Table2[[#This Row],[Age]]&lt;=96,"Silent",Table2[[#This Row],[Age]]&gt;=97,"Greatest")</f>
        <v>Gen A</v>
      </c>
      <c r="E1060" s="1">
        <v>104953</v>
      </c>
      <c r="F1060">
        <v>57</v>
      </c>
      <c r="G1060" t="str" cm="1">
        <f t="array" ref="G1060">_xlfn.IFS(Table2[[#This Row],[Spending Score (1-100)]]&lt;=25,"Low",Table2[[#This Row],[Spending Score (1-100)]]&lt;=50,"Medium",Table2[[#This Row],[Spending Score (1-100)]]&lt;=75,"High",Table2[[#This Row],[Spending Score (1-100)]]&lt;=100,"Very High")</f>
        <v>High</v>
      </c>
      <c r="H1060" t="s">
        <v>16</v>
      </c>
      <c r="I1060">
        <v>1</v>
      </c>
      <c r="J1060" t="str">
        <f>CONCATENATE(Table2[[#This Row],[Work Experience]],"years")</f>
        <v>1years</v>
      </c>
      <c r="K1060" t="str">
        <f>CONCATENATE(Table2[[#This Row],[Family Size2]],"members")</f>
        <v>6members</v>
      </c>
      <c r="L1060" t="str">
        <f>CONCATENATE(Table2[[#This Row],[Family Size2]],"members")</f>
        <v>6members</v>
      </c>
      <c r="M1060">
        <v>6</v>
      </c>
    </row>
    <row r="1061" spans="1:13">
      <c r="A1061">
        <v>1060</v>
      </c>
      <c r="B1061" t="s">
        <v>11</v>
      </c>
      <c r="C1061">
        <v>34</v>
      </c>
      <c r="D1061" t="str" cm="1">
        <f t="array" ref="D1061">_xlfn.IFS(Table2[[#This Row],[Age]]&lt;=11,"Gen A",Table2[[#This Row],[Age]]&lt;=27,"Gen Z",Table2[[#This Row],[Age]]&lt;=43,"Millenials",Table2[[#This Row],[Age]]&lt;=59,"Gen X",Table2[[#This Row],[Age]]&lt;=78,"Baby Boomers",Table2[[#This Row],[Age]]&lt;=96,"Silent",Table2[[#This Row],[Age]]&gt;=97,"Greatest")</f>
        <v>Millenials</v>
      </c>
      <c r="E1061" s="1">
        <v>139009</v>
      </c>
      <c r="F1061">
        <v>24</v>
      </c>
      <c r="G1061" t="str" cm="1">
        <f t="array" ref="G1061">_xlfn.IFS(Table2[[#This Row],[Spending Score (1-100)]]&lt;=25,"Low",Table2[[#This Row],[Spending Score (1-100)]]&lt;=50,"Medium",Table2[[#This Row],[Spending Score (1-100)]]&lt;=75,"High",Table2[[#This Row],[Spending Score (1-100)]]&lt;=100,"Very High")</f>
        <v>Low</v>
      </c>
      <c r="H1061" t="s">
        <v>14</v>
      </c>
      <c r="I1061">
        <v>0</v>
      </c>
      <c r="J1061" t="str">
        <f>CONCATENATE(Table2[[#This Row],[Work Experience]],"years")</f>
        <v>0years</v>
      </c>
      <c r="K1061" t="str">
        <f>CONCATENATE(Table2[[#This Row],[Family Size2]],"members")</f>
        <v>4members</v>
      </c>
      <c r="L1061" t="str">
        <f>CONCATENATE(Table2[[#This Row],[Family Size2]],"members")</f>
        <v>4members</v>
      </c>
      <c r="M1061">
        <v>4</v>
      </c>
    </row>
    <row r="1062" spans="1:13">
      <c r="A1062">
        <v>1061</v>
      </c>
      <c r="B1062" t="s">
        <v>11</v>
      </c>
      <c r="C1062">
        <v>53</v>
      </c>
      <c r="D1062" t="str" cm="1">
        <f t="array" ref="D1062">_xlfn.IFS(Table2[[#This Row],[Age]]&lt;=11,"Gen A",Table2[[#This Row],[Age]]&lt;=27,"Gen Z",Table2[[#This Row],[Age]]&lt;=43,"Millenials",Table2[[#This Row],[Age]]&lt;=59,"Gen X",Table2[[#This Row],[Age]]&lt;=78,"Baby Boomers",Table2[[#This Row],[Age]]&lt;=96,"Silent",Table2[[#This Row],[Age]]&gt;=97,"Greatest")</f>
        <v>Gen X</v>
      </c>
      <c r="E1062" s="1">
        <v>67916</v>
      </c>
      <c r="F1062">
        <v>82</v>
      </c>
      <c r="G1062" t="str" cm="1">
        <f t="array" ref="G1062">_xlfn.IFS(Table2[[#This Row],[Spending Score (1-100)]]&lt;=25,"Low",Table2[[#This Row],[Spending Score (1-100)]]&lt;=50,"Medium",Table2[[#This Row],[Spending Score (1-100)]]&lt;=75,"High",Table2[[#This Row],[Spending Score (1-100)]]&lt;=100,"Very High")</f>
        <v>Very High</v>
      </c>
      <c r="H1062" t="s">
        <v>9</v>
      </c>
      <c r="I1062">
        <v>0</v>
      </c>
      <c r="J1062" t="str">
        <f>CONCATENATE(Table2[[#This Row],[Work Experience]],"years")</f>
        <v>0years</v>
      </c>
      <c r="K1062" t="str">
        <f>CONCATENATE(Table2[[#This Row],[Family Size2]],"members")</f>
        <v>6members</v>
      </c>
      <c r="L1062" t="str">
        <f>CONCATENATE(Table2[[#This Row],[Family Size2]],"members")</f>
        <v>6members</v>
      </c>
      <c r="M1062">
        <v>6</v>
      </c>
    </row>
    <row r="1063" spans="1:13">
      <c r="A1063">
        <v>1062</v>
      </c>
      <c r="B1063" t="s">
        <v>11</v>
      </c>
      <c r="C1063">
        <v>82</v>
      </c>
      <c r="D1063" t="str" cm="1">
        <f t="array" ref="D1063">_xlfn.IFS(Table2[[#This Row],[Age]]&lt;=11,"Gen A",Table2[[#This Row],[Age]]&lt;=27,"Gen Z",Table2[[#This Row],[Age]]&lt;=43,"Millenials",Table2[[#This Row],[Age]]&lt;=59,"Gen X",Table2[[#This Row],[Age]]&lt;=78,"Baby Boomers",Table2[[#This Row],[Age]]&lt;=96,"Silent",Table2[[#This Row],[Age]]&gt;=97,"Greatest")</f>
        <v>Silent</v>
      </c>
      <c r="E1063" s="1">
        <v>99983</v>
      </c>
      <c r="F1063">
        <v>88</v>
      </c>
      <c r="G1063" t="str" cm="1">
        <f t="array" ref="G1063">_xlfn.IFS(Table2[[#This Row],[Spending Score (1-100)]]&lt;=25,"Low",Table2[[#This Row],[Spending Score (1-100)]]&lt;=50,"Medium",Table2[[#This Row],[Spending Score (1-100)]]&lt;=75,"High",Table2[[#This Row],[Spending Score (1-100)]]&lt;=100,"Very High")</f>
        <v>Very High</v>
      </c>
      <c r="H1063" t="s">
        <v>15</v>
      </c>
      <c r="I1063">
        <v>0</v>
      </c>
      <c r="J1063" t="str">
        <f>CONCATENATE(Table2[[#This Row],[Work Experience]],"years")</f>
        <v>0years</v>
      </c>
      <c r="K1063" t="str">
        <f>CONCATENATE(Table2[[#This Row],[Family Size2]],"members")</f>
        <v>1members</v>
      </c>
      <c r="L1063" t="str">
        <f>CONCATENATE(Table2[[#This Row],[Family Size2]],"members")</f>
        <v>1members</v>
      </c>
      <c r="M1063">
        <v>1</v>
      </c>
    </row>
    <row r="1064" spans="1:13">
      <c r="A1064">
        <v>1063</v>
      </c>
      <c r="B1064" t="s">
        <v>8</v>
      </c>
      <c r="C1064">
        <v>63</v>
      </c>
      <c r="D1064" t="str" cm="1">
        <f t="array" ref="D1064">_xlfn.IFS(Table2[[#This Row],[Age]]&lt;=11,"Gen A",Table2[[#This Row],[Age]]&lt;=27,"Gen Z",Table2[[#This Row],[Age]]&lt;=43,"Millenials",Table2[[#This Row],[Age]]&lt;=59,"Gen X",Table2[[#This Row],[Age]]&lt;=78,"Baby Boomers",Table2[[#This Row],[Age]]&lt;=96,"Silent",Table2[[#This Row],[Age]]&gt;=97,"Greatest")</f>
        <v>Baby Boomers</v>
      </c>
      <c r="E1064" s="1">
        <v>131122</v>
      </c>
      <c r="F1064">
        <v>40</v>
      </c>
      <c r="G1064" t="str" cm="1">
        <f t="array" ref="G1064">_xlfn.IFS(Table2[[#This Row],[Spending Score (1-100)]]&lt;=25,"Low",Table2[[#This Row],[Spending Score (1-100)]]&lt;=50,"Medium",Table2[[#This Row],[Spending Score (1-100)]]&lt;=75,"High",Table2[[#This Row],[Spending Score (1-100)]]&lt;=100,"Very High")</f>
        <v>Medium</v>
      </c>
      <c r="H1064" t="s">
        <v>14</v>
      </c>
      <c r="I1064">
        <v>9</v>
      </c>
      <c r="J1064" t="str">
        <f>CONCATENATE(Table2[[#This Row],[Work Experience]],"years")</f>
        <v>9years</v>
      </c>
      <c r="K1064" t="str">
        <f>CONCATENATE(Table2[[#This Row],[Family Size2]],"members")</f>
        <v>6members</v>
      </c>
      <c r="L1064" t="str">
        <f>CONCATENATE(Table2[[#This Row],[Family Size2]],"members")</f>
        <v>6members</v>
      </c>
      <c r="M1064">
        <v>6</v>
      </c>
    </row>
    <row r="1065" spans="1:13">
      <c r="A1065">
        <v>1064</v>
      </c>
      <c r="B1065" t="s">
        <v>11</v>
      </c>
      <c r="C1065">
        <v>58</v>
      </c>
      <c r="D1065" t="str" cm="1">
        <f t="array" ref="D1065">_xlfn.IFS(Table2[[#This Row],[Age]]&lt;=11,"Gen A",Table2[[#This Row],[Age]]&lt;=27,"Gen Z",Table2[[#This Row],[Age]]&lt;=43,"Millenials",Table2[[#This Row],[Age]]&lt;=59,"Gen X",Table2[[#This Row],[Age]]&lt;=78,"Baby Boomers",Table2[[#This Row],[Age]]&lt;=96,"Silent",Table2[[#This Row],[Age]]&gt;=97,"Greatest")</f>
        <v>Gen X</v>
      </c>
      <c r="E1065" s="1">
        <v>173190</v>
      </c>
      <c r="F1065">
        <v>37</v>
      </c>
      <c r="G1065" t="str" cm="1">
        <f t="array" ref="G1065">_xlfn.IFS(Table2[[#This Row],[Spending Score (1-100)]]&lt;=25,"Low",Table2[[#This Row],[Spending Score (1-100)]]&lt;=50,"Medium",Table2[[#This Row],[Spending Score (1-100)]]&lt;=75,"High",Table2[[#This Row],[Spending Score (1-100)]]&lt;=100,"Very High")</f>
        <v>Medium</v>
      </c>
      <c r="H1065" t="s">
        <v>16</v>
      </c>
      <c r="I1065">
        <v>9</v>
      </c>
      <c r="J1065" t="str">
        <f>CONCATENATE(Table2[[#This Row],[Work Experience]],"years")</f>
        <v>9years</v>
      </c>
      <c r="K1065" t="str">
        <f>CONCATENATE(Table2[[#This Row],[Family Size2]],"members")</f>
        <v>4members</v>
      </c>
      <c r="L1065" t="str">
        <f>CONCATENATE(Table2[[#This Row],[Family Size2]],"members")</f>
        <v>4members</v>
      </c>
      <c r="M1065">
        <v>4</v>
      </c>
    </row>
    <row r="1066" spans="1:13">
      <c r="A1066">
        <v>1065</v>
      </c>
      <c r="B1066" t="s">
        <v>8</v>
      </c>
      <c r="C1066">
        <v>23</v>
      </c>
      <c r="D1066" t="str" cm="1">
        <f t="array" ref="D1066">_xlfn.IFS(Table2[[#This Row],[Age]]&lt;=11,"Gen A",Table2[[#This Row],[Age]]&lt;=27,"Gen Z",Table2[[#This Row],[Age]]&lt;=43,"Millenials",Table2[[#This Row],[Age]]&lt;=59,"Gen X",Table2[[#This Row],[Age]]&lt;=78,"Baby Boomers",Table2[[#This Row],[Age]]&lt;=96,"Silent",Table2[[#This Row],[Age]]&gt;=97,"Greatest")</f>
        <v>Gen Z</v>
      </c>
      <c r="E1066" s="1">
        <v>122712</v>
      </c>
      <c r="F1066">
        <v>21</v>
      </c>
      <c r="G1066" t="str" cm="1">
        <f t="array" ref="G1066">_xlfn.IFS(Table2[[#This Row],[Spending Score (1-100)]]&lt;=25,"Low",Table2[[#This Row],[Spending Score (1-100)]]&lt;=50,"Medium",Table2[[#This Row],[Spending Score (1-100)]]&lt;=75,"High",Table2[[#This Row],[Spending Score (1-100)]]&lt;=100,"Very High")</f>
        <v>Low</v>
      </c>
      <c r="H1066" t="s">
        <v>18</v>
      </c>
      <c r="I1066">
        <v>1</v>
      </c>
      <c r="J1066" t="str">
        <f>CONCATENATE(Table2[[#This Row],[Work Experience]],"years")</f>
        <v>1years</v>
      </c>
      <c r="K1066" t="str">
        <f>CONCATENATE(Table2[[#This Row],[Family Size2]],"members")</f>
        <v>1members</v>
      </c>
      <c r="L1066" t="str">
        <f>CONCATENATE(Table2[[#This Row],[Family Size2]],"members")</f>
        <v>1members</v>
      </c>
      <c r="M1066">
        <v>1</v>
      </c>
    </row>
    <row r="1067" spans="1:13">
      <c r="A1067">
        <v>1066</v>
      </c>
      <c r="B1067" t="s">
        <v>11</v>
      </c>
      <c r="C1067">
        <v>80</v>
      </c>
      <c r="D1067" t="str" cm="1">
        <f t="array" ref="D1067">_xlfn.IFS(Table2[[#This Row],[Age]]&lt;=11,"Gen A",Table2[[#This Row],[Age]]&lt;=27,"Gen Z",Table2[[#This Row],[Age]]&lt;=43,"Millenials",Table2[[#This Row],[Age]]&lt;=59,"Gen X",Table2[[#This Row],[Age]]&lt;=78,"Baby Boomers",Table2[[#This Row],[Age]]&lt;=96,"Silent",Table2[[#This Row],[Age]]&gt;=97,"Greatest")</f>
        <v>Silent</v>
      </c>
      <c r="E1067" s="1">
        <v>55792</v>
      </c>
      <c r="F1067">
        <v>30</v>
      </c>
      <c r="G1067" t="str" cm="1">
        <f t="array" ref="G1067">_xlfn.IFS(Table2[[#This Row],[Spending Score (1-100)]]&lt;=25,"Low",Table2[[#This Row],[Spending Score (1-100)]]&lt;=50,"Medium",Table2[[#This Row],[Spending Score (1-100)]]&lt;=75,"High",Table2[[#This Row],[Spending Score (1-100)]]&lt;=100,"Very High")</f>
        <v>Medium</v>
      </c>
      <c r="H1067" t="s">
        <v>14</v>
      </c>
      <c r="I1067">
        <v>1</v>
      </c>
      <c r="J1067" t="str">
        <f>CONCATENATE(Table2[[#This Row],[Work Experience]],"years")</f>
        <v>1years</v>
      </c>
      <c r="K1067" t="str">
        <f>CONCATENATE(Table2[[#This Row],[Family Size2]],"members")</f>
        <v>6members</v>
      </c>
      <c r="L1067" t="str">
        <f>CONCATENATE(Table2[[#This Row],[Family Size2]],"members")</f>
        <v>6members</v>
      </c>
      <c r="M1067">
        <v>6</v>
      </c>
    </row>
    <row r="1068" spans="1:13">
      <c r="A1068">
        <v>1067</v>
      </c>
      <c r="B1068" t="s">
        <v>8</v>
      </c>
      <c r="C1068">
        <v>45</v>
      </c>
      <c r="D1068" t="str" cm="1">
        <f t="array" ref="D1068">_xlfn.IFS(Table2[[#This Row],[Age]]&lt;=11,"Gen A",Table2[[#This Row],[Age]]&lt;=27,"Gen Z",Table2[[#This Row],[Age]]&lt;=43,"Millenials",Table2[[#This Row],[Age]]&lt;=59,"Gen X",Table2[[#This Row],[Age]]&lt;=78,"Baby Boomers",Table2[[#This Row],[Age]]&lt;=96,"Silent",Table2[[#This Row],[Age]]&gt;=97,"Greatest")</f>
        <v>Gen X</v>
      </c>
      <c r="E1068" s="1">
        <v>73892</v>
      </c>
      <c r="F1068">
        <v>45</v>
      </c>
      <c r="G1068" t="str" cm="1">
        <f t="array" ref="G1068">_xlfn.IFS(Table2[[#This Row],[Spending Score (1-100)]]&lt;=25,"Low",Table2[[#This Row],[Spending Score (1-100)]]&lt;=50,"Medium",Table2[[#This Row],[Spending Score (1-100)]]&lt;=75,"High",Table2[[#This Row],[Spending Score (1-100)]]&lt;=100,"Very High")</f>
        <v>Medium</v>
      </c>
      <c r="H1068" t="s">
        <v>16</v>
      </c>
      <c r="I1068">
        <v>1</v>
      </c>
      <c r="J1068" t="str">
        <f>CONCATENATE(Table2[[#This Row],[Work Experience]],"years")</f>
        <v>1years</v>
      </c>
      <c r="K1068" t="str">
        <f>CONCATENATE(Table2[[#This Row],[Family Size2]],"members")</f>
        <v>4members</v>
      </c>
      <c r="L1068" t="str">
        <f>CONCATENATE(Table2[[#This Row],[Family Size2]],"members")</f>
        <v>4members</v>
      </c>
      <c r="M1068">
        <v>4</v>
      </c>
    </row>
    <row r="1069" spans="1:13">
      <c r="A1069">
        <v>1068</v>
      </c>
      <c r="B1069" t="s">
        <v>11</v>
      </c>
      <c r="C1069">
        <v>30</v>
      </c>
      <c r="D1069" t="str" cm="1">
        <f t="array" ref="D1069">_xlfn.IFS(Table2[[#This Row],[Age]]&lt;=11,"Gen A",Table2[[#This Row],[Age]]&lt;=27,"Gen Z",Table2[[#This Row],[Age]]&lt;=43,"Millenials",Table2[[#This Row],[Age]]&lt;=59,"Gen X",Table2[[#This Row],[Age]]&lt;=78,"Baby Boomers",Table2[[#This Row],[Age]]&lt;=96,"Silent",Table2[[#This Row],[Age]]&gt;=97,"Greatest")</f>
        <v>Millenials</v>
      </c>
      <c r="E1069" s="1">
        <v>78821</v>
      </c>
      <c r="F1069">
        <v>46</v>
      </c>
      <c r="G1069" t="str" cm="1">
        <f t="array" ref="G1069">_xlfn.IFS(Table2[[#This Row],[Spending Score (1-100)]]&lt;=25,"Low",Table2[[#This Row],[Spending Score (1-100)]]&lt;=50,"Medium",Table2[[#This Row],[Spending Score (1-100)]]&lt;=75,"High",Table2[[#This Row],[Spending Score (1-100)]]&lt;=100,"Very High")</f>
        <v>Medium</v>
      </c>
      <c r="H1069" t="s">
        <v>19</v>
      </c>
      <c r="I1069">
        <v>1</v>
      </c>
      <c r="J1069" t="str">
        <f>CONCATENATE(Table2[[#This Row],[Work Experience]],"years")</f>
        <v>1years</v>
      </c>
      <c r="K1069" t="str">
        <f>CONCATENATE(Table2[[#This Row],[Family Size2]],"members")</f>
        <v>4members</v>
      </c>
      <c r="L1069" t="str">
        <f>CONCATENATE(Table2[[#This Row],[Family Size2]],"members")</f>
        <v>4members</v>
      </c>
      <c r="M1069">
        <v>4</v>
      </c>
    </row>
    <row r="1070" spans="1:13">
      <c r="A1070">
        <v>1069</v>
      </c>
      <c r="B1070" t="s">
        <v>11</v>
      </c>
      <c r="C1070">
        <v>84</v>
      </c>
      <c r="D1070" t="str" cm="1">
        <f t="array" ref="D1070">_xlfn.IFS(Table2[[#This Row],[Age]]&lt;=11,"Gen A",Table2[[#This Row],[Age]]&lt;=27,"Gen Z",Table2[[#This Row],[Age]]&lt;=43,"Millenials",Table2[[#This Row],[Age]]&lt;=59,"Gen X",Table2[[#This Row],[Age]]&lt;=78,"Baby Boomers",Table2[[#This Row],[Age]]&lt;=96,"Silent",Table2[[#This Row],[Age]]&gt;=97,"Greatest")</f>
        <v>Silent</v>
      </c>
      <c r="E1070" s="1">
        <v>152475</v>
      </c>
      <c r="F1070">
        <v>12</v>
      </c>
      <c r="G1070" t="str" cm="1">
        <f t="array" ref="G1070">_xlfn.IFS(Table2[[#This Row],[Spending Score (1-100)]]&lt;=25,"Low",Table2[[#This Row],[Spending Score (1-100)]]&lt;=50,"Medium",Table2[[#This Row],[Spending Score (1-100)]]&lt;=75,"High",Table2[[#This Row],[Spending Score (1-100)]]&lt;=100,"Very High")</f>
        <v>Low</v>
      </c>
      <c r="H1070" t="s">
        <v>14</v>
      </c>
      <c r="I1070">
        <v>0</v>
      </c>
      <c r="J1070" t="str">
        <f>CONCATENATE(Table2[[#This Row],[Work Experience]],"years")</f>
        <v>0years</v>
      </c>
      <c r="K1070" t="str">
        <f>CONCATENATE(Table2[[#This Row],[Family Size2]],"members")</f>
        <v>7members</v>
      </c>
      <c r="L1070" t="str">
        <f>CONCATENATE(Table2[[#This Row],[Family Size2]],"members")</f>
        <v>7members</v>
      </c>
      <c r="M1070">
        <v>7</v>
      </c>
    </row>
    <row r="1071" spans="1:13">
      <c r="A1071">
        <v>1070</v>
      </c>
      <c r="B1071" t="s">
        <v>8</v>
      </c>
      <c r="C1071">
        <v>45</v>
      </c>
      <c r="D1071" t="str" cm="1">
        <f t="array" ref="D1071">_xlfn.IFS(Table2[[#This Row],[Age]]&lt;=11,"Gen A",Table2[[#This Row],[Age]]&lt;=27,"Gen Z",Table2[[#This Row],[Age]]&lt;=43,"Millenials",Table2[[#This Row],[Age]]&lt;=59,"Gen X",Table2[[#This Row],[Age]]&lt;=78,"Baby Boomers",Table2[[#This Row],[Age]]&lt;=96,"Silent",Table2[[#This Row],[Age]]&gt;=97,"Greatest")</f>
        <v>Gen X</v>
      </c>
      <c r="E1071" s="1">
        <v>152226</v>
      </c>
      <c r="F1071">
        <v>87</v>
      </c>
      <c r="G1071" t="str" cm="1">
        <f t="array" ref="G1071">_xlfn.IFS(Table2[[#This Row],[Spending Score (1-100)]]&lt;=25,"Low",Table2[[#This Row],[Spending Score (1-100)]]&lt;=50,"Medium",Table2[[#This Row],[Spending Score (1-100)]]&lt;=75,"High",Table2[[#This Row],[Spending Score (1-100)]]&lt;=100,"Very High")</f>
        <v>Very High</v>
      </c>
      <c r="H1071" t="s">
        <v>14</v>
      </c>
      <c r="I1071">
        <v>4</v>
      </c>
      <c r="J1071" t="str">
        <f>CONCATENATE(Table2[[#This Row],[Work Experience]],"years")</f>
        <v>4years</v>
      </c>
      <c r="K1071" t="str">
        <f>CONCATENATE(Table2[[#This Row],[Family Size2]],"members")</f>
        <v>4members</v>
      </c>
      <c r="L1071" t="str">
        <f>CONCATENATE(Table2[[#This Row],[Family Size2]],"members")</f>
        <v>4members</v>
      </c>
      <c r="M1071">
        <v>4</v>
      </c>
    </row>
    <row r="1072" spans="1:13">
      <c r="A1072">
        <v>1071</v>
      </c>
      <c r="B1072" t="s">
        <v>8</v>
      </c>
      <c r="C1072">
        <v>85</v>
      </c>
      <c r="D1072" t="str" cm="1">
        <f t="array" ref="D1072">_xlfn.IFS(Table2[[#This Row],[Age]]&lt;=11,"Gen A",Table2[[#This Row],[Age]]&lt;=27,"Gen Z",Table2[[#This Row],[Age]]&lt;=43,"Millenials",Table2[[#This Row],[Age]]&lt;=59,"Gen X",Table2[[#This Row],[Age]]&lt;=78,"Baby Boomers",Table2[[#This Row],[Age]]&lt;=96,"Silent",Table2[[#This Row],[Age]]&gt;=97,"Greatest")</f>
        <v>Silent</v>
      </c>
      <c r="E1072" s="1">
        <v>117679</v>
      </c>
      <c r="F1072">
        <v>18</v>
      </c>
      <c r="G1072" t="str" cm="1">
        <f t="array" ref="G1072">_xlfn.IFS(Table2[[#This Row],[Spending Score (1-100)]]&lt;=25,"Low",Table2[[#This Row],[Spending Score (1-100)]]&lt;=50,"Medium",Table2[[#This Row],[Spending Score (1-100)]]&lt;=75,"High",Table2[[#This Row],[Spending Score (1-100)]]&lt;=100,"Very High")</f>
        <v>Low</v>
      </c>
      <c r="H1072" t="s">
        <v>13</v>
      </c>
      <c r="I1072">
        <v>1</v>
      </c>
      <c r="J1072" t="str">
        <f>CONCATENATE(Table2[[#This Row],[Work Experience]],"years")</f>
        <v>1years</v>
      </c>
      <c r="K1072" t="str">
        <f>CONCATENATE(Table2[[#This Row],[Family Size2]],"members")</f>
        <v>3members</v>
      </c>
      <c r="L1072" t="str">
        <f>CONCATENATE(Table2[[#This Row],[Family Size2]],"members")</f>
        <v>3members</v>
      </c>
      <c r="M1072">
        <v>3</v>
      </c>
    </row>
    <row r="1073" spans="1:13">
      <c r="A1073">
        <v>1072</v>
      </c>
      <c r="B1073" t="s">
        <v>8</v>
      </c>
      <c r="C1073">
        <v>23</v>
      </c>
      <c r="D1073" t="str" cm="1">
        <f t="array" ref="D1073">_xlfn.IFS(Table2[[#This Row],[Age]]&lt;=11,"Gen A",Table2[[#This Row],[Age]]&lt;=27,"Gen Z",Table2[[#This Row],[Age]]&lt;=43,"Millenials",Table2[[#This Row],[Age]]&lt;=59,"Gen X",Table2[[#This Row],[Age]]&lt;=78,"Baby Boomers",Table2[[#This Row],[Age]]&lt;=96,"Silent",Table2[[#This Row],[Age]]&gt;=97,"Greatest")</f>
        <v>Gen Z</v>
      </c>
      <c r="E1073" s="1">
        <v>146473</v>
      </c>
      <c r="F1073">
        <v>87</v>
      </c>
      <c r="G1073" t="str" cm="1">
        <f t="array" ref="G1073">_xlfn.IFS(Table2[[#This Row],[Spending Score (1-100)]]&lt;=25,"Low",Table2[[#This Row],[Spending Score (1-100)]]&lt;=50,"Medium",Table2[[#This Row],[Spending Score (1-100)]]&lt;=75,"High",Table2[[#This Row],[Spending Score (1-100)]]&lt;=100,"Very High")</f>
        <v>Very High</v>
      </c>
      <c r="H1073" t="s">
        <v>14</v>
      </c>
      <c r="I1073">
        <v>1</v>
      </c>
      <c r="J1073" t="str">
        <f>CONCATENATE(Table2[[#This Row],[Work Experience]],"years")</f>
        <v>1years</v>
      </c>
      <c r="K1073" t="str">
        <f>CONCATENATE(Table2[[#This Row],[Family Size2]],"members")</f>
        <v>4members</v>
      </c>
      <c r="L1073" t="str">
        <f>CONCATENATE(Table2[[#This Row],[Family Size2]],"members")</f>
        <v>4members</v>
      </c>
      <c r="M1073">
        <v>4</v>
      </c>
    </row>
    <row r="1074" spans="1:13">
      <c r="A1074">
        <v>1073</v>
      </c>
      <c r="B1074" t="s">
        <v>8</v>
      </c>
      <c r="C1074">
        <v>79</v>
      </c>
      <c r="D1074" t="str" cm="1">
        <f t="array" ref="D1074">_xlfn.IFS(Table2[[#This Row],[Age]]&lt;=11,"Gen A",Table2[[#This Row],[Age]]&lt;=27,"Gen Z",Table2[[#This Row],[Age]]&lt;=43,"Millenials",Table2[[#This Row],[Age]]&lt;=59,"Gen X",Table2[[#This Row],[Age]]&lt;=78,"Baby Boomers",Table2[[#This Row],[Age]]&lt;=96,"Silent",Table2[[#This Row],[Age]]&gt;=97,"Greatest")</f>
        <v>Silent</v>
      </c>
      <c r="E1074" s="1">
        <v>66051</v>
      </c>
      <c r="F1074">
        <v>75</v>
      </c>
      <c r="G1074" t="str" cm="1">
        <f t="array" ref="G1074">_xlfn.IFS(Table2[[#This Row],[Spending Score (1-100)]]&lt;=25,"Low",Table2[[#This Row],[Spending Score (1-100)]]&lt;=50,"Medium",Table2[[#This Row],[Spending Score (1-100)]]&lt;=75,"High",Table2[[#This Row],[Spending Score (1-100)]]&lt;=100,"Very High")</f>
        <v>High</v>
      </c>
      <c r="H1074" t="s">
        <v>9</v>
      </c>
      <c r="I1074">
        <v>1</v>
      </c>
      <c r="J1074" t="str">
        <f>CONCATENATE(Table2[[#This Row],[Work Experience]],"years")</f>
        <v>1years</v>
      </c>
      <c r="K1074" t="str">
        <f>CONCATENATE(Table2[[#This Row],[Family Size2]],"members")</f>
        <v>7members</v>
      </c>
      <c r="L1074" t="str">
        <f>CONCATENATE(Table2[[#This Row],[Family Size2]],"members")</f>
        <v>7members</v>
      </c>
      <c r="M1074">
        <v>7</v>
      </c>
    </row>
    <row r="1075" spans="1:13">
      <c r="A1075">
        <v>1074</v>
      </c>
      <c r="B1075" t="s">
        <v>8</v>
      </c>
      <c r="C1075">
        <v>47</v>
      </c>
      <c r="D1075" t="str" cm="1">
        <f t="array" ref="D1075">_xlfn.IFS(Table2[[#This Row],[Age]]&lt;=11,"Gen A",Table2[[#This Row],[Age]]&lt;=27,"Gen Z",Table2[[#This Row],[Age]]&lt;=43,"Millenials",Table2[[#This Row],[Age]]&lt;=59,"Gen X",Table2[[#This Row],[Age]]&lt;=78,"Baby Boomers",Table2[[#This Row],[Age]]&lt;=96,"Silent",Table2[[#This Row],[Age]]&gt;=97,"Greatest")</f>
        <v>Gen X</v>
      </c>
      <c r="E1075" s="1">
        <v>162332</v>
      </c>
      <c r="F1075">
        <v>72</v>
      </c>
      <c r="G1075" t="str" cm="1">
        <f t="array" ref="G1075">_xlfn.IFS(Table2[[#This Row],[Spending Score (1-100)]]&lt;=25,"Low",Table2[[#This Row],[Spending Score (1-100)]]&lt;=50,"Medium",Table2[[#This Row],[Spending Score (1-100)]]&lt;=75,"High",Table2[[#This Row],[Spending Score (1-100)]]&lt;=100,"Very High")</f>
        <v>High</v>
      </c>
      <c r="H1075" t="s">
        <v>13</v>
      </c>
      <c r="I1075">
        <v>1</v>
      </c>
      <c r="J1075" t="str">
        <f>CONCATENATE(Table2[[#This Row],[Work Experience]],"years")</f>
        <v>1years</v>
      </c>
      <c r="K1075" t="str">
        <f>CONCATENATE(Table2[[#This Row],[Family Size2]],"members")</f>
        <v>5members</v>
      </c>
      <c r="L1075" t="str">
        <f>CONCATENATE(Table2[[#This Row],[Family Size2]],"members")</f>
        <v>5members</v>
      </c>
      <c r="M1075">
        <v>5</v>
      </c>
    </row>
    <row r="1076" spans="1:13">
      <c r="A1076">
        <v>1075</v>
      </c>
      <c r="B1076" t="s">
        <v>11</v>
      </c>
      <c r="C1076">
        <v>93</v>
      </c>
      <c r="D1076" t="str" cm="1">
        <f t="array" ref="D1076">_xlfn.IFS(Table2[[#This Row],[Age]]&lt;=11,"Gen A",Table2[[#This Row],[Age]]&lt;=27,"Gen Z",Table2[[#This Row],[Age]]&lt;=43,"Millenials",Table2[[#This Row],[Age]]&lt;=59,"Gen X",Table2[[#This Row],[Age]]&lt;=78,"Baby Boomers",Table2[[#This Row],[Age]]&lt;=96,"Silent",Table2[[#This Row],[Age]]&gt;=97,"Greatest")</f>
        <v>Silent</v>
      </c>
      <c r="E1076" s="1">
        <v>166018</v>
      </c>
      <c r="F1076">
        <v>71</v>
      </c>
      <c r="G1076" t="str" cm="1">
        <f t="array" ref="G1076">_xlfn.IFS(Table2[[#This Row],[Spending Score (1-100)]]&lt;=25,"Low",Table2[[#This Row],[Spending Score (1-100)]]&lt;=50,"Medium",Table2[[#This Row],[Spending Score (1-100)]]&lt;=75,"High",Table2[[#This Row],[Spending Score (1-100)]]&lt;=100,"Very High")</f>
        <v>High</v>
      </c>
      <c r="H1076" t="s">
        <v>16</v>
      </c>
      <c r="I1076">
        <v>0</v>
      </c>
      <c r="J1076" t="str">
        <f>CONCATENATE(Table2[[#This Row],[Work Experience]],"years")</f>
        <v>0years</v>
      </c>
      <c r="K1076" t="str">
        <f>CONCATENATE(Table2[[#This Row],[Family Size2]],"members")</f>
        <v>3members</v>
      </c>
      <c r="L1076" t="str">
        <f>CONCATENATE(Table2[[#This Row],[Family Size2]],"members")</f>
        <v>3members</v>
      </c>
      <c r="M1076">
        <v>3</v>
      </c>
    </row>
    <row r="1077" spans="1:13">
      <c r="A1077">
        <v>1076</v>
      </c>
      <c r="B1077" t="s">
        <v>11</v>
      </c>
      <c r="C1077">
        <v>95</v>
      </c>
      <c r="D1077" t="str" cm="1">
        <f t="array" ref="D1077">_xlfn.IFS(Table2[[#This Row],[Age]]&lt;=11,"Gen A",Table2[[#This Row],[Age]]&lt;=27,"Gen Z",Table2[[#This Row],[Age]]&lt;=43,"Millenials",Table2[[#This Row],[Age]]&lt;=59,"Gen X",Table2[[#This Row],[Age]]&lt;=78,"Baby Boomers",Table2[[#This Row],[Age]]&lt;=96,"Silent",Table2[[#This Row],[Age]]&gt;=97,"Greatest")</f>
        <v>Silent</v>
      </c>
      <c r="E1077" s="1">
        <v>67398</v>
      </c>
      <c r="F1077">
        <v>81</v>
      </c>
      <c r="G1077" t="str" cm="1">
        <f t="array" ref="G1077">_xlfn.IFS(Table2[[#This Row],[Spending Score (1-100)]]&lt;=25,"Low",Table2[[#This Row],[Spending Score (1-100)]]&lt;=50,"Medium",Table2[[#This Row],[Spending Score (1-100)]]&lt;=75,"High",Table2[[#This Row],[Spending Score (1-100)]]&lt;=100,"Very High")</f>
        <v>Very High</v>
      </c>
      <c r="H1077" t="s">
        <v>13</v>
      </c>
      <c r="I1077">
        <v>2</v>
      </c>
      <c r="J1077" t="str">
        <f>CONCATENATE(Table2[[#This Row],[Work Experience]],"years")</f>
        <v>2years</v>
      </c>
      <c r="K1077" t="str">
        <f>CONCATENATE(Table2[[#This Row],[Family Size2]],"members")</f>
        <v>5members</v>
      </c>
      <c r="L1077" t="str">
        <f>CONCATENATE(Table2[[#This Row],[Family Size2]],"members")</f>
        <v>5members</v>
      </c>
      <c r="M1077">
        <v>5</v>
      </c>
    </row>
    <row r="1078" spans="1:13">
      <c r="A1078">
        <v>1077</v>
      </c>
      <c r="B1078" t="s">
        <v>8</v>
      </c>
      <c r="C1078">
        <v>44</v>
      </c>
      <c r="D1078" t="str" cm="1">
        <f t="array" ref="D1078">_xlfn.IFS(Table2[[#This Row],[Age]]&lt;=11,"Gen A",Table2[[#This Row],[Age]]&lt;=27,"Gen Z",Table2[[#This Row],[Age]]&lt;=43,"Millenials",Table2[[#This Row],[Age]]&lt;=59,"Gen X",Table2[[#This Row],[Age]]&lt;=78,"Baby Boomers",Table2[[#This Row],[Age]]&lt;=96,"Silent",Table2[[#This Row],[Age]]&gt;=97,"Greatest")</f>
        <v>Gen X</v>
      </c>
      <c r="E1078" s="1">
        <v>73760</v>
      </c>
      <c r="F1078">
        <v>70</v>
      </c>
      <c r="G1078" t="str" cm="1">
        <f t="array" ref="G1078">_xlfn.IFS(Table2[[#This Row],[Spending Score (1-100)]]&lt;=25,"Low",Table2[[#This Row],[Spending Score (1-100)]]&lt;=50,"Medium",Table2[[#This Row],[Spending Score (1-100)]]&lt;=75,"High",Table2[[#This Row],[Spending Score (1-100)]]&lt;=100,"Very High")</f>
        <v>High</v>
      </c>
      <c r="H1078" t="s">
        <v>13</v>
      </c>
      <c r="I1078">
        <v>1</v>
      </c>
      <c r="J1078" t="str">
        <f>CONCATENATE(Table2[[#This Row],[Work Experience]],"years")</f>
        <v>1years</v>
      </c>
      <c r="K1078" t="str">
        <f>CONCATENATE(Table2[[#This Row],[Family Size2]],"members")</f>
        <v>6members</v>
      </c>
      <c r="L1078" t="str">
        <f>CONCATENATE(Table2[[#This Row],[Family Size2]],"members")</f>
        <v>6members</v>
      </c>
      <c r="M1078">
        <v>6</v>
      </c>
    </row>
    <row r="1079" spans="1:13">
      <c r="A1079">
        <v>1078</v>
      </c>
      <c r="B1079" t="s">
        <v>8</v>
      </c>
      <c r="C1079">
        <v>95</v>
      </c>
      <c r="D1079" t="str" cm="1">
        <f t="array" ref="D1079">_xlfn.IFS(Table2[[#This Row],[Age]]&lt;=11,"Gen A",Table2[[#This Row],[Age]]&lt;=27,"Gen Z",Table2[[#This Row],[Age]]&lt;=43,"Millenials",Table2[[#This Row],[Age]]&lt;=59,"Gen X",Table2[[#This Row],[Age]]&lt;=78,"Baby Boomers",Table2[[#This Row],[Age]]&lt;=96,"Silent",Table2[[#This Row],[Age]]&gt;=97,"Greatest")</f>
        <v>Silent</v>
      </c>
      <c r="E1079" s="1">
        <v>167578</v>
      </c>
      <c r="F1079">
        <v>66</v>
      </c>
      <c r="G1079" t="str" cm="1">
        <f t="array" ref="G1079">_xlfn.IFS(Table2[[#This Row],[Spending Score (1-100)]]&lt;=25,"Low",Table2[[#This Row],[Spending Score (1-100)]]&lt;=50,"Medium",Table2[[#This Row],[Spending Score (1-100)]]&lt;=75,"High",Table2[[#This Row],[Spending Score (1-100)]]&lt;=100,"Very High")</f>
        <v>High</v>
      </c>
      <c r="H1079" t="s">
        <v>13</v>
      </c>
      <c r="I1079">
        <v>0</v>
      </c>
      <c r="J1079" t="str">
        <f>CONCATENATE(Table2[[#This Row],[Work Experience]],"years")</f>
        <v>0years</v>
      </c>
      <c r="K1079" t="str">
        <f>CONCATENATE(Table2[[#This Row],[Family Size2]],"members")</f>
        <v>1members</v>
      </c>
      <c r="L1079" t="str">
        <f>CONCATENATE(Table2[[#This Row],[Family Size2]],"members")</f>
        <v>1members</v>
      </c>
      <c r="M1079">
        <v>1</v>
      </c>
    </row>
    <row r="1080" spans="1:13">
      <c r="A1080">
        <v>1079</v>
      </c>
      <c r="B1080" t="s">
        <v>8</v>
      </c>
      <c r="C1080">
        <v>28</v>
      </c>
      <c r="D1080" t="str" cm="1">
        <f t="array" ref="D1080">_xlfn.IFS(Table2[[#This Row],[Age]]&lt;=11,"Gen A",Table2[[#This Row],[Age]]&lt;=27,"Gen Z",Table2[[#This Row],[Age]]&lt;=43,"Millenials",Table2[[#This Row],[Age]]&lt;=59,"Gen X",Table2[[#This Row],[Age]]&lt;=78,"Baby Boomers",Table2[[#This Row],[Age]]&lt;=96,"Silent",Table2[[#This Row],[Age]]&gt;=97,"Greatest")</f>
        <v>Millenials</v>
      </c>
      <c r="E1080" s="1">
        <v>130267</v>
      </c>
      <c r="F1080">
        <v>45</v>
      </c>
      <c r="G1080" t="str" cm="1">
        <f t="array" ref="G1080">_xlfn.IFS(Table2[[#This Row],[Spending Score (1-100)]]&lt;=25,"Low",Table2[[#This Row],[Spending Score (1-100)]]&lt;=50,"Medium",Table2[[#This Row],[Spending Score (1-100)]]&lt;=75,"High",Table2[[#This Row],[Spending Score (1-100)]]&lt;=100,"Very High")</f>
        <v>Medium</v>
      </c>
      <c r="H1080" t="s">
        <v>10</v>
      </c>
      <c r="I1080">
        <v>8</v>
      </c>
      <c r="J1080" t="str">
        <f>CONCATENATE(Table2[[#This Row],[Work Experience]],"years")</f>
        <v>8years</v>
      </c>
      <c r="K1080" t="str">
        <f>CONCATENATE(Table2[[#This Row],[Family Size2]],"members")</f>
        <v>4members</v>
      </c>
      <c r="L1080" t="str">
        <f>CONCATENATE(Table2[[#This Row],[Family Size2]],"members")</f>
        <v>4members</v>
      </c>
      <c r="M1080">
        <v>4</v>
      </c>
    </row>
    <row r="1081" spans="1:13">
      <c r="A1081">
        <v>1080</v>
      </c>
      <c r="B1081" t="s">
        <v>8</v>
      </c>
      <c r="C1081">
        <v>91</v>
      </c>
      <c r="D1081" t="str" cm="1">
        <f t="array" ref="D1081">_xlfn.IFS(Table2[[#This Row],[Age]]&lt;=11,"Gen A",Table2[[#This Row],[Age]]&lt;=27,"Gen Z",Table2[[#This Row],[Age]]&lt;=43,"Millenials",Table2[[#This Row],[Age]]&lt;=59,"Gen X",Table2[[#This Row],[Age]]&lt;=78,"Baby Boomers",Table2[[#This Row],[Age]]&lt;=96,"Silent",Table2[[#This Row],[Age]]&gt;=97,"Greatest")</f>
        <v>Silent</v>
      </c>
      <c r="E1081" s="1">
        <v>94846</v>
      </c>
      <c r="F1081">
        <v>95</v>
      </c>
      <c r="G1081" t="str" cm="1">
        <f t="array" ref="G1081">_xlfn.IFS(Table2[[#This Row],[Spending Score (1-100)]]&lt;=25,"Low",Table2[[#This Row],[Spending Score (1-100)]]&lt;=50,"Medium",Table2[[#This Row],[Spending Score (1-100)]]&lt;=75,"High",Table2[[#This Row],[Spending Score (1-100)]]&lt;=100,"Very High")</f>
        <v>Very High</v>
      </c>
      <c r="H1081" t="s">
        <v>10</v>
      </c>
      <c r="I1081">
        <v>0</v>
      </c>
      <c r="J1081" t="str">
        <f>CONCATENATE(Table2[[#This Row],[Work Experience]],"years")</f>
        <v>0years</v>
      </c>
      <c r="K1081" t="str">
        <f>CONCATENATE(Table2[[#This Row],[Family Size2]],"members")</f>
        <v>5members</v>
      </c>
      <c r="L1081" t="str">
        <f>CONCATENATE(Table2[[#This Row],[Family Size2]],"members")</f>
        <v>5members</v>
      </c>
      <c r="M1081">
        <v>5</v>
      </c>
    </row>
    <row r="1082" spans="1:13">
      <c r="A1082">
        <v>1081</v>
      </c>
      <c r="B1082" t="s">
        <v>11</v>
      </c>
      <c r="C1082">
        <v>81</v>
      </c>
      <c r="D1082" t="str" cm="1">
        <f t="array" ref="D1082">_xlfn.IFS(Table2[[#This Row],[Age]]&lt;=11,"Gen A",Table2[[#This Row],[Age]]&lt;=27,"Gen Z",Table2[[#This Row],[Age]]&lt;=43,"Millenials",Table2[[#This Row],[Age]]&lt;=59,"Gen X",Table2[[#This Row],[Age]]&lt;=78,"Baby Boomers",Table2[[#This Row],[Age]]&lt;=96,"Silent",Table2[[#This Row],[Age]]&gt;=97,"Greatest")</f>
        <v>Silent</v>
      </c>
      <c r="E1082" s="1">
        <v>155396</v>
      </c>
      <c r="F1082">
        <v>1</v>
      </c>
      <c r="G1082" t="str" cm="1">
        <f t="array" ref="G1082">_xlfn.IFS(Table2[[#This Row],[Spending Score (1-100)]]&lt;=25,"Low",Table2[[#This Row],[Spending Score (1-100)]]&lt;=50,"Medium",Table2[[#This Row],[Spending Score (1-100)]]&lt;=75,"High",Table2[[#This Row],[Spending Score (1-100)]]&lt;=100,"Very High")</f>
        <v>Low</v>
      </c>
      <c r="H1082" t="s">
        <v>10</v>
      </c>
      <c r="I1082">
        <v>9</v>
      </c>
      <c r="J1082" t="str">
        <f>CONCATENATE(Table2[[#This Row],[Work Experience]],"years")</f>
        <v>9years</v>
      </c>
      <c r="K1082" t="str">
        <f>CONCATENATE(Table2[[#This Row],[Family Size2]],"members")</f>
        <v>5members</v>
      </c>
      <c r="L1082" t="str">
        <f>CONCATENATE(Table2[[#This Row],[Family Size2]],"members")</f>
        <v>5members</v>
      </c>
      <c r="M1082">
        <v>5</v>
      </c>
    </row>
    <row r="1083" spans="1:13">
      <c r="A1083">
        <v>1082</v>
      </c>
      <c r="B1083" t="s">
        <v>11</v>
      </c>
      <c r="C1083">
        <v>90</v>
      </c>
      <c r="D1083" t="str" cm="1">
        <f t="array" ref="D1083">_xlfn.IFS(Table2[[#This Row],[Age]]&lt;=11,"Gen A",Table2[[#This Row],[Age]]&lt;=27,"Gen Z",Table2[[#This Row],[Age]]&lt;=43,"Millenials",Table2[[#This Row],[Age]]&lt;=59,"Gen X",Table2[[#This Row],[Age]]&lt;=78,"Baby Boomers",Table2[[#This Row],[Age]]&lt;=96,"Silent",Table2[[#This Row],[Age]]&gt;=97,"Greatest")</f>
        <v>Silent</v>
      </c>
      <c r="E1083" s="1">
        <v>138013</v>
      </c>
      <c r="F1083">
        <v>16</v>
      </c>
      <c r="G1083" t="str" cm="1">
        <f t="array" ref="G1083">_xlfn.IFS(Table2[[#This Row],[Spending Score (1-100)]]&lt;=25,"Low",Table2[[#This Row],[Spending Score (1-100)]]&lt;=50,"Medium",Table2[[#This Row],[Spending Score (1-100)]]&lt;=75,"High",Table2[[#This Row],[Spending Score (1-100)]]&lt;=100,"Very High")</f>
        <v>Low</v>
      </c>
      <c r="H1083" t="s">
        <v>14</v>
      </c>
      <c r="I1083">
        <v>8</v>
      </c>
      <c r="J1083" t="str">
        <f>CONCATENATE(Table2[[#This Row],[Work Experience]],"years")</f>
        <v>8years</v>
      </c>
      <c r="K1083" t="str">
        <f>CONCATENATE(Table2[[#This Row],[Family Size2]],"members")</f>
        <v>7members</v>
      </c>
      <c r="L1083" t="str">
        <f>CONCATENATE(Table2[[#This Row],[Family Size2]],"members")</f>
        <v>7members</v>
      </c>
      <c r="M1083">
        <v>7</v>
      </c>
    </row>
    <row r="1084" spans="1:13">
      <c r="A1084">
        <v>1083</v>
      </c>
      <c r="B1084" t="s">
        <v>8</v>
      </c>
      <c r="C1084">
        <v>79</v>
      </c>
      <c r="D1084" t="str" cm="1">
        <f t="array" ref="D1084">_xlfn.IFS(Table2[[#This Row],[Age]]&lt;=11,"Gen A",Table2[[#This Row],[Age]]&lt;=27,"Gen Z",Table2[[#This Row],[Age]]&lt;=43,"Millenials",Table2[[#This Row],[Age]]&lt;=59,"Gen X",Table2[[#This Row],[Age]]&lt;=78,"Baby Boomers",Table2[[#This Row],[Age]]&lt;=96,"Silent",Table2[[#This Row],[Age]]&gt;=97,"Greatest")</f>
        <v>Silent</v>
      </c>
      <c r="E1084" s="1">
        <v>148286</v>
      </c>
      <c r="F1084">
        <v>77</v>
      </c>
      <c r="G1084" t="str" cm="1">
        <f t="array" ref="G1084">_xlfn.IFS(Table2[[#This Row],[Spending Score (1-100)]]&lt;=25,"Low",Table2[[#This Row],[Spending Score (1-100)]]&lt;=50,"Medium",Table2[[#This Row],[Spending Score (1-100)]]&lt;=75,"High",Table2[[#This Row],[Spending Score (1-100)]]&lt;=100,"Very High")</f>
        <v>Very High</v>
      </c>
      <c r="H1084" t="s">
        <v>13</v>
      </c>
      <c r="I1084">
        <v>0</v>
      </c>
      <c r="J1084" t="str">
        <f>CONCATENATE(Table2[[#This Row],[Work Experience]],"years")</f>
        <v>0years</v>
      </c>
      <c r="K1084" t="str">
        <f>CONCATENATE(Table2[[#This Row],[Family Size2]],"members")</f>
        <v>4members</v>
      </c>
      <c r="L1084" t="str">
        <f>CONCATENATE(Table2[[#This Row],[Family Size2]],"members")</f>
        <v>4members</v>
      </c>
      <c r="M1084">
        <v>4</v>
      </c>
    </row>
    <row r="1085" spans="1:13">
      <c r="A1085">
        <v>1084</v>
      </c>
      <c r="B1085" t="s">
        <v>11</v>
      </c>
      <c r="C1085">
        <v>6</v>
      </c>
      <c r="D1085" t="str" cm="1">
        <f t="array" ref="D1085">_xlfn.IFS(Table2[[#This Row],[Age]]&lt;=11,"Gen A",Table2[[#This Row],[Age]]&lt;=27,"Gen Z",Table2[[#This Row],[Age]]&lt;=43,"Millenials",Table2[[#This Row],[Age]]&lt;=59,"Gen X",Table2[[#This Row],[Age]]&lt;=78,"Baby Boomers",Table2[[#This Row],[Age]]&lt;=96,"Silent",Table2[[#This Row],[Age]]&gt;=97,"Greatest")</f>
        <v>Gen A</v>
      </c>
      <c r="E1085" s="1">
        <v>101031</v>
      </c>
      <c r="F1085">
        <v>28</v>
      </c>
      <c r="G1085" t="str" cm="1">
        <f t="array" ref="G1085">_xlfn.IFS(Table2[[#This Row],[Spending Score (1-100)]]&lt;=25,"Low",Table2[[#This Row],[Spending Score (1-100)]]&lt;=50,"Medium",Table2[[#This Row],[Spending Score (1-100)]]&lt;=75,"High",Table2[[#This Row],[Spending Score (1-100)]]&lt;=100,"Very High")</f>
        <v>Medium</v>
      </c>
      <c r="H1085" t="s">
        <v>14</v>
      </c>
      <c r="I1085">
        <v>1</v>
      </c>
      <c r="J1085" t="str">
        <f>CONCATENATE(Table2[[#This Row],[Work Experience]],"years")</f>
        <v>1years</v>
      </c>
      <c r="K1085" t="str">
        <f>CONCATENATE(Table2[[#This Row],[Family Size2]],"members")</f>
        <v>1members</v>
      </c>
      <c r="L1085" t="str">
        <f>CONCATENATE(Table2[[#This Row],[Family Size2]],"members")</f>
        <v>1members</v>
      </c>
      <c r="M1085">
        <v>1</v>
      </c>
    </row>
    <row r="1086" spans="1:13">
      <c r="A1086">
        <v>1085</v>
      </c>
      <c r="B1086" t="s">
        <v>11</v>
      </c>
      <c r="C1086">
        <v>38</v>
      </c>
      <c r="D1086" t="str" cm="1">
        <f t="array" ref="D1086">_xlfn.IFS(Table2[[#This Row],[Age]]&lt;=11,"Gen A",Table2[[#This Row],[Age]]&lt;=27,"Gen Z",Table2[[#This Row],[Age]]&lt;=43,"Millenials",Table2[[#This Row],[Age]]&lt;=59,"Gen X",Table2[[#This Row],[Age]]&lt;=78,"Baby Boomers",Table2[[#This Row],[Age]]&lt;=96,"Silent",Table2[[#This Row],[Age]]&gt;=97,"Greatest")</f>
        <v>Millenials</v>
      </c>
      <c r="E1086" s="1">
        <v>52884</v>
      </c>
      <c r="F1086">
        <v>24</v>
      </c>
      <c r="G1086" t="str" cm="1">
        <f t="array" ref="G1086">_xlfn.IFS(Table2[[#This Row],[Spending Score (1-100)]]&lt;=25,"Low",Table2[[#This Row],[Spending Score (1-100)]]&lt;=50,"Medium",Table2[[#This Row],[Spending Score (1-100)]]&lt;=75,"High",Table2[[#This Row],[Spending Score (1-100)]]&lt;=100,"Very High")</f>
        <v>Low</v>
      </c>
      <c r="H1086" t="s">
        <v>12</v>
      </c>
      <c r="I1086">
        <v>1</v>
      </c>
      <c r="J1086" t="str">
        <f>CONCATENATE(Table2[[#This Row],[Work Experience]],"years")</f>
        <v>1years</v>
      </c>
      <c r="K1086" t="str">
        <f>CONCATENATE(Table2[[#This Row],[Family Size2]],"members")</f>
        <v>1members</v>
      </c>
      <c r="L1086" t="str">
        <f>CONCATENATE(Table2[[#This Row],[Family Size2]],"members")</f>
        <v>1members</v>
      </c>
      <c r="M1086">
        <v>1</v>
      </c>
    </row>
    <row r="1087" spans="1:13">
      <c r="A1087">
        <v>1086</v>
      </c>
      <c r="B1087" t="s">
        <v>8</v>
      </c>
      <c r="C1087">
        <v>87</v>
      </c>
      <c r="D1087" t="str" cm="1">
        <f t="array" ref="D1087">_xlfn.IFS(Table2[[#This Row],[Age]]&lt;=11,"Gen A",Table2[[#This Row],[Age]]&lt;=27,"Gen Z",Table2[[#This Row],[Age]]&lt;=43,"Millenials",Table2[[#This Row],[Age]]&lt;=59,"Gen X",Table2[[#This Row],[Age]]&lt;=78,"Baby Boomers",Table2[[#This Row],[Age]]&lt;=96,"Silent",Table2[[#This Row],[Age]]&gt;=97,"Greatest")</f>
        <v>Silent</v>
      </c>
      <c r="E1087" s="1">
        <v>153230</v>
      </c>
      <c r="F1087">
        <v>15</v>
      </c>
      <c r="G1087" t="str" cm="1">
        <f t="array" ref="G1087">_xlfn.IFS(Table2[[#This Row],[Spending Score (1-100)]]&lt;=25,"Low",Table2[[#This Row],[Spending Score (1-100)]]&lt;=50,"Medium",Table2[[#This Row],[Spending Score (1-100)]]&lt;=75,"High",Table2[[#This Row],[Spending Score (1-100)]]&lt;=100,"Very High")</f>
        <v>Low</v>
      </c>
      <c r="H1087" t="s">
        <v>9</v>
      </c>
      <c r="I1087">
        <v>8</v>
      </c>
      <c r="J1087" t="str">
        <f>CONCATENATE(Table2[[#This Row],[Work Experience]],"years")</f>
        <v>8years</v>
      </c>
      <c r="K1087" t="str">
        <f>CONCATENATE(Table2[[#This Row],[Family Size2]],"members")</f>
        <v>1members</v>
      </c>
      <c r="L1087" t="str">
        <f>CONCATENATE(Table2[[#This Row],[Family Size2]],"members")</f>
        <v>1members</v>
      </c>
      <c r="M1087">
        <v>1</v>
      </c>
    </row>
    <row r="1088" spans="1:13">
      <c r="A1088">
        <v>1087</v>
      </c>
      <c r="B1088" t="s">
        <v>11</v>
      </c>
      <c r="C1088">
        <v>93</v>
      </c>
      <c r="D1088" t="str" cm="1">
        <f t="array" ref="D1088">_xlfn.IFS(Table2[[#This Row],[Age]]&lt;=11,"Gen A",Table2[[#This Row],[Age]]&lt;=27,"Gen Z",Table2[[#This Row],[Age]]&lt;=43,"Millenials",Table2[[#This Row],[Age]]&lt;=59,"Gen X",Table2[[#This Row],[Age]]&lt;=78,"Baby Boomers",Table2[[#This Row],[Age]]&lt;=96,"Silent",Table2[[#This Row],[Age]]&gt;=97,"Greatest")</f>
        <v>Silent</v>
      </c>
      <c r="E1088" s="1">
        <v>63261</v>
      </c>
      <c r="F1088">
        <v>13</v>
      </c>
      <c r="G1088" t="str" cm="1">
        <f t="array" ref="G1088">_xlfn.IFS(Table2[[#This Row],[Spending Score (1-100)]]&lt;=25,"Low",Table2[[#This Row],[Spending Score (1-100)]]&lt;=50,"Medium",Table2[[#This Row],[Spending Score (1-100)]]&lt;=75,"High",Table2[[#This Row],[Spending Score (1-100)]]&lt;=100,"Very High")</f>
        <v>Low</v>
      </c>
      <c r="H1088" t="s">
        <v>10</v>
      </c>
      <c r="I1088">
        <v>1</v>
      </c>
      <c r="J1088" t="str">
        <f>CONCATENATE(Table2[[#This Row],[Work Experience]],"years")</f>
        <v>1years</v>
      </c>
      <c r="K1088" t="str">
        <f>CONCATENATE(Table2[[#This Row],[Family Size2]],"members")</f>
        <v>7members</v>
      </c>
      <c r="L1088" t="str">
        <f>CONCATENATE(Table2[[#This Row],[Family Size2]],"members")</f>
        <v>7members</v>
      </c>
      <c r="M1088">
        <v>7</v>
      </c>
    </row>
    <row r="1089" spans="1:13">
      <c r="A1089">
        <v>1088</v>
      </c>
      <c r="B1089" t="s">
        <v>8</v>
      </c>
      <c r="C1089">
        <v>44</v>
      </c>
      <c r="D1089" t="str" cm="1">
        <f t="array" ref="D1089">_xlfn.IFS(Table2[[#This Row],[Age]]&lt;=11,"Gen A",Table2[[#This Row],[Age]]&lt;=27,"Gen Z",Table2[[#This Row],[Age]]&lt;=43,"Millenials",Table2[[#This Row],[Age]]&lt;=59,"Gen X",Table2[[#This Row],[Age]]&lt;=78,"Baby Boomers",Table2[[#This Row],[Age]]&lt;=96,"Silent",Table2[[#This Row],[Age]]&gt;=97,"Greatest")</f>
        <v>Gen X</v>
      </c>
      <c r="E1089" s="1">
        <v>90167</v>
      </c>
      <c r="F1089">
        <v>84</v>
      </c>
      <c r="G1089" t="str" cm="1">
        <f t="array" ref="G1089">_xlfn.IFS(Table2[[#This Row],[Spending Score (1-100)]]&lt;=25,"Low",Table2[[#This Row],[Spending Score (1-100)]]&lt;=50,"Medium",Table2[[#This Row],[Spending Score (1-100)]]&lt;=75,"High",Table2[[#This Row],[Spending Score (1-100)]]&lt;=100,"Very High")</f>
        <v>Very High</v>
      </c>
      <c r="H1089" t="s">
        <v>10</v>
      </c>
      <c r="I1089">
        <v>0</v>
      </c>
      <c r="J1089" t="str">
        <f>CONCATENATE(Table2[[#This Row],[Work Experience]],"years")</f>
        <v>0years</v>
      </c>
      <c r="K1089" t="str">
        <f>CONCATENATE(Table2[[#This Row],[Family Size2]],"members")</f>
        <v>3members</v>
      </c>
      <c r="L1089" t="str">
        <f>CONCATENATE(Table2[[#This Row],[Family Size2]],"members")</f>
        <v>3members</v>
      </c>
      <c r="M1089">
        <v>3</v>
      </c>
    </row>
    <row r="1090" spans="1:13">
      <c r="A1090">
        <v>1089</v>
      </c>
      <c r="B1090" t="s">
        <v>11</v>
      </c>
      <c r="C1090">
        <v>10</v>
      </c>
      <c r="D1090" t="str" cm="1">
        <f t="array" ref="D1090">_xlfn.IFS(Table2[[#This Row],[Age]]&lt;=11,"Gen A",Table2[[#This Row],[Age]]&lt;=27,"Gen Z",Table2[[#This Row],[Age]]&lt;=43,"Millenials",Table2[[#This Row],[Age]]&lt;=59,"Gen X",Table2[[#This Row],[Age]]&lt;=78,"Baby Boomers",Table2[[#This Row],[Age]]&lt;=96,"Silent",Table2[[#This Row],[Age]]&gt;=97,"Greatest")</f>
        <v>Gen A</v>
      </c>
      <c r="E1090" s="1">
        <v>162076</v>
      </c>
      <c r="F1090">
        <v>78</v>
      </c>
      <c r="G1090" t="str" cm="1">
        <f t="array" ref="G1090">_xlfn.IFS(Table2[[#This Row],[Spending Score (1-100)]]&lt;=25,"Low",Table2[[#This Row],[Spending Score (1-100)]]&lt;=50,"Medium",Table2[[#This Row],[Spending Score (1-100)]]&lt;=75,"High",Table2[[#This Row],[Spending Score (1-100)]]&lt;=100,"Very High")</f>
        <v>Very High</v>
      </c>
      <c r="H1090" t="s">
        <v>19</v>
      </c>
      <c r="I1090">
        <v>0</v>
      </c>
      <c r="J1090" t="str">
        <f>CONCATENATE(Table2[[#This Row],[Work Experience]],"years")</f>
        <v>0years</v>
      </c>
      <c r="K1090" t="str">
        <f>CONCATENATE(Table2[[#This Row],[Family Size2]],"members")</f>
        <v>3members</v>
      </c>
      <c r="L1090" t="str">
        <f>CONCATENATE(Table2[[#This Row],[Family Size2]],"members")</f>
        <v>3members</v>
      </c>
      <c r="M1090">
        <v>3</v>
      </c>
    </row>
    <row r="1091" spans="1:13">
      <c r="A1091">
        <v>1090</v>
      </c>
      <c r="B1091" t="s">
        <v>11</v>
      </c>
      <c r="C1091">
        <v>84</v>
      </c>
      <c r="D1091" t="str" cm="1">
        <f t="array" ref="D1091">_xlfn.IFS(Table2[[#This Row],[Age]]&lt;=11,"Gen A",Table2[[#This Row],[Age]]&lt;=27,"Gen Z",Table2[[#This Row],[Age]]&lt;=43,"Millenials",Table2[[#This Row],[Age]]&lt;=59,"Gen X",Table2[[#This Row],[Age]]&lt;=78,"Baby Boomers",Table2[[#This Row],[Age]]&lt;=96,"Silent",Table2[[#This Row],[Age]]&gt;=97,"Greatest")</f>
        <v>Silent</v>
      </c>
      <c r="E1091" s="1">
        <v>53622</v>
      </c>
      <c r="F1091">
        <v>27</v>
      </c>
      <c r="G1091" t="str" cm="1">
        <f t="array" ref="G1091">_xlfn.IFS(Table2[[#This Row],[Spending Score (1-100)]]&lt;=25,"Low",Table2[[#This Row],[Spending Score (1-100)]]&lt;=50,"Medium",Table2[[#This Row],[Spending Score (1-100)]]&lt;=75,"High",Table2[[#This Row],[Spending Score (1-100)]]&lt;=100,"Very High")</f>
        <v>Medium</v>
      </c>
      <c r="H1091" t="s">
        <v>14</v>
      </c>
      <c r="I1091">
        <v>0</v>
      </c>
      <c r="J1091" t="str">
        <f>CONCATENATE(Table2[[#This Row],[Work Experience]],"years")</f>
        <v>0years</v>
      </c>
      <c r="K1091" t="str">
        <f>CONCATENATE(Table2[[#This Row],[Family Size2]],"members")</f>
        <v>3members</v>
      </c>
      <c r="L1091" t="str">
        <f>CONCATENATE(Table2[[#This Row],[Family Size2]],"members")</f>
        <v>3members</v>
      </c>
      <c r="M1091">
        <v>3</v>
      </c>
    </row>
    <row r="1092" spans="1:13">
      <c r="A1092">
        <v>1091</v>
      </c>
      <c r="B1092" t="s">
        <v>11</v>
      </c>
      <c r="C1092">
        <v>7</v>
      </c>
      <c r="D1092" t="str" cm="1">
        <f t="array" ref="D1092">_xlfn.IFS(Table2[[#This Row],[Age]]&lt;=11,"Gen A",Table2[[#This Row],[Age]]&lt;=27,"Gen Z",Table2[[#This Row],[Age]]&lt;=43,"Millenials",Table2[[#This Row],[Age]]&lt;=59,"Gen X",Table2[[#This Row],[Age]]&lt;=78,"Baby Boomers",Table2[[#This Row],[Age]]&lt;=96,"Silent",Table2[[#This Row],[Age]]&gt;=97,"Greatest")</f>
        <v>Gen A</v>
      </c>
      <c r="E1092" s="1">
        <v>172913</v>
      </c>
      <c r="F1092">
        <v>94</v>
      </c>
      <c r="G1092" t="str" cm="1">
        <f t="array" ref="G1092">_xlfn.IFS(Table2[[#This Row],[Spending Score (1-100)]]&lt;=25,"Low",Table2[[#This Row],[Spending Score (1-100)]]&lt;=50,"Medium",Table2[[#This Row],[Spending Score (1-100)]]&lt;=75,"High",Table2[[#This Row],[Spending Score (1-100)]]&lt;=100,"Very High")</f>
        <v>Very High</v>
      </c>
      <c r="H1092" t="s">
        <v>15</v>
      </c>
      <c r="I1092">
        <v>3</v>
      </c>
      <c r="J1092" t="str">
        <f>CONCATENATE(Table2[[#This Row],[Work Experience]],"years")</f>
        <v>3years</v>
      </c>
      <c r="K1092" t="str">
        <f>CONCATENATE(Table2[[#This Row],[Family Size2]],"members")</f>
        <v>4members</v>
      </c>
      <c r="L1092" t="str">
        <f>CONCATENATE(Table2[[#This Row],[Family Size2]],"members")</f>
        <v>4members</v>
      </c>
      <c r="M1092">
        <v>4</v>
      </c>
    </row>
    <row r="1093" spans="1:13">
      <c r="A1093">
        <v>1092</v>
      </c>
      <c r="B1093" t="s">
        <v>11</v>
      </c>
      <c r="C1093">
        <v>41</v>
      </c>
      <c r="D1093" t="str" cm="1">
        <f t="array" ref="D1093">_xlfn.IFS(Table2[[#This Row],[Age]]&lt;=11,"Gen A",Table2[[#This Row],[Age]]&lt;=27,"Gen Z",Table2[[#This Row],[Age]]&lt;=43,"Millenials",Table2[[#This Row],[Age]]&lt;=59,"Gen X",Table2[[#This Row],[Age]]&lt;=78,"Baby Boomers",Table2[[#This Row],[Age]]&lt;=96,"Silent",Table2[[#This Row],[Age]]&gt;=97,"Greatest")</f>
        <v>Millenials</v>
      </c>
      <c r="E1093" s="1">
        <v>94316</v>
      </c>
      <c r="F1093">
        <v>86</v>
      </c>
      <c r="G1093" t="str" cm="1">
        <f t="array" ref="G1093">_xlfn.IFS(Table2[[#This Row],[Spending Score (1-100)]]&lt;=25,"Low",Table2[[#This Row],[Spending Score (1-100)]]&lt;=50,"Medium",Table2[[#This Row],[Spending Score (1-100)]]&lt;=75,"High",Table2[[#This Row],[Spending Score (1-100)]]&lt;=100,"Very High")</f>
        <v>Very High</v>
      </c>
      <c r="H1093" t="s">
        <v>14</v>
      </c>
      <c r="I1093">
        <v>0</v>
      </c>
      <c r="J1093" t="str">
        <f>CONCATENATE(Table2[[#This Row],[Work Experience]],"years")</f>
        <v>0years</v>
      </c>
      <c r="K1093" t="str">
        <f>CONCATENATE(Table2[[#This Row],[Family Size2]],"members")</f>
        <v>6members</v>
      </c>
      <c r="L1093" t="str">
        <f>CONCATENATE(Table2[[#This Row],[Family Size2]],"members")</f>
        <v>6members</v>
      </c>
      <c r="M1093">
        <v>6</v>
      </c>
    </row>
    <row r="1094" spans="1:13">
      <c r="A1094">
        <v>1093</v>
      </c>
      <c r="B1094" t="s">
        <v>8</v>
      </c>
      <c r="C1094">
        <v>87</v>
      </c>
      <c r="D1094" t="str" cm="1">
        <f t="array" ref="D1094">_xlfn.IFS(Table2[[#This Row],[Age]]&lt;=11,"Gen A",Table2[[#This Row],[Age]]&lt;=27,"Gen Z",Table2[[#This Row],[Age]]&lt;=43,"Millenials",Table2[[#This Row],[Age]]&lt;=59,"Gen X",Table2[[#This Row],[Age]]&lt;=78,"Baby Boomers",Table2[[#This Row],[Age]]&lt;=96,"Silent",Table2[[#This Row],[Age]]&gt;=97,"Greatest")</f>
        <v>Silent</v>
      </c>
      <c r="E1094" s="1">
        <v>141383</v>
      </c>
      <c r="F1094">
        <v>3</v>
      </c>
      <c r="G1094" t="str" cm="1">
        <f t="array" ref="G1094">_xlfn.IFS(Table2[[#This Row],[Spending Score (1-100)]]&lt;=25,"Low",Table2[[#This Row],[Spending Score (1-100)]]&lt;=50,"Medium",Table2[[#This Row],[Spending Score (1-100)]]&lt;=75,"High",Table2[[#This Row],[Spending Score (1-100)]]&lt;=100,"Very High")</f>
        <v>Low</v>
      </c>
      <c r="H1094" t="s">
        <v>19</v>
      </c>
      <c r="I1094">
        <v>7</v>
      </c>
      <c r="J1094" t="str">
        <f>CONCATENATE(Table2[[#This Row],[Work Experience]],"years")</f>
        <v>7years</v>
      </c>
      <c r="K1094" t="str">
        <f>CONCATENATE(Table2[[#This Row],[Family Size2]],"members")</f>
        <v>5members</v>
      </c>
      <c r="L1094" t="str">
        <f>CONCATENATE(Table2[[#This Row],[Family Size2]],"members")</f>
        <v>5members</v>
      </c>
      <c r="M1094">
        <v>5</v>
      </c>
    </row>
    <row r="1095" spans="1:13">
      <c r="A1095">
        <v>1094</v>
      </c>
      <c r="B1095" t="s">
        <v>11</v>
      </c>
      <c r="C1095">
        <v>33</v>
      </c>
      <c r="D1095" t="str" cm="1">
        <f t="array" ref="D1095">_xlfn.IFS(Table2[[#This Row],[Age]]&lt;=11,"Gen A",Table2[[#This Row],[Age]]&lt;=27,"Gen Z",Table2[[#This Row],[Age]]&lt;=43,"Millenials",Table2[[#This Row],[Age]]&lt;=59,"Gen X",Table2[[#This Row],[Age]]&lt;=78,"Baby Boomers",Table2[[#This Row],[Age]]&lt;=96,"Silent",Table2[[#This Row],[Age]]&gt;=97,"Greatest")</f>
        <v>Millenials</v>
      </c>
      <c r="E1095" s="1">
        <v>67874</v>
      </c>
      <c r="F1095">
        <v>55</v>
      </c>
      <c r="G1095" t="str" cm="1">
        <f t="array" ref="G1095">_xlfn.IFS(Table2[[#This Row],[Spending Score (1-100)]]&lt;=25,"Low",Table2[[#This Row],[Spending Score (1-100)]]&lt;=50,"Medium",Table2[[#This Row],[Spending Score (1-100)]]&lt;=75,"High",Table2[[#This Row],[Spending Score (1-100)]]&lt;=100,"Very High")</f>
        <v>High</v>
      </c>
      <c r="H1095" t="s">
        <v>14</v>
      </c>
      <c r="I1095">
        <v>0</v>
      </c>
      <c r="J1095" t="str">
        <f>CONCATENATE(Table2[[#This Row],[Work Experience]],"years")</f>
        <v>0years</v>
      </c>
      <c r="K1095" t="str">
        <f>CONCATENATE(Table2[[#This Row],[Family Size2]],"members")</f>
        <v>2members</v>
      </c>
      <c r="L1095" t="str">
        <f>CONCATENATE(Table2[[#This Row],[Family Size2]],"members")</f>
        <v>2members</v>
      </c>
      <c r="M1095">
        <v>2</v>
      </c>
    </row>
    <row r="1096" spans="1:13">
      <c r="A1096">
        <v>1095</v>
      </c>
      <c r="B1096" t="s">
        <v>11</v>
      </c>
      <c r="C1096">
        <v>34</v>
      </c>
      <c r="D1096" t="str" cm="1">
        <f t="array" ref="D1096">_xlfn.IFS(Table2[[#This Row],[Age]]&lt;=11,"Gen A",Table2[[#This Row],[Age]]&lt;=27,"Gen Z",Table2[[#This Row],[Age]]&lt;=43,"Millenials",Table2[[#This Row],[Age]]&lt;=59,"Gen X",Table2[[#This Row],[Age]]&lt;=78,"Baby Boomers",Table2[[#This Row],[Age]]&lt;=96,"Silent",Table2[[#This Row],[Age]]&gt;=97,"Greatest")</f>
        <v>Millenials</v>
      </c>
      <c r="E1096" s="1">
        <v>176554</v>
      </c>
      <c r="F1096">
        <v>62</v>
      </c>
      <c r="G1096" t="str" cm="1">
        <f t="array" ref="G1096">_xlfn.IFS(Table2[[#This Row],[Spending Score (1-100)]]&lt;=25,"Low",Table2[[#This Row],[Spending Score (1-100)]]&lt;=50,"Medium",Table2[[#This Row],[Spending Score (1-100)]]&lt;=75,"High",Table2[[#This Row],[Spending Score (1-100)]]&lt;=100,"Very High")</f>
        <v>High</v>
      </c>
      <c r="H1096" t="s">
        <v>9</v>
      </c>
      <c r="I1096">
        <v>1</v>
      </c>
      <c r="J1096" t="str">
        <f>CONCATENATE(Table2[[#This Row],[Work Experience]],"years")</f>
        <v>1years</v>
      </c>
      <c r="K1096" t="str">
        <f>CONCATENATE(Table2[[#This Row],[Family Size2]],"members")</f>
        <v>2members</v>
      </c>
      <c r="L1096" t="str">
        <f>CONCATENATE(Table2[[#This Row],[Family Size2]],"members")</f>
        <v>2members</v>
      </c>
      <c r="M1096">
        <v>2</v>
      </c>
    </row>
    <row r="1097" spans="1:13">
      <c r="A1097">
        <v>1096</v>
      </c>
      <c r="B1097" t="s">
        <v>11</v>
      </c>
      <c r="C1097">
        <v>53</v>
      </c>
      <c r="D1097" t="str" cm="1">
        <f t="array" ref="D1097">_xlfn.IFS(Table2[[#This Row],[Age]]&lt;=11,"Gen A",Table2[[#This Row],[Age]]&lt;=27,"Gen Z",Table2[[#This Row],[Age]]&lt;=43,"Millenials",Table2[[#This Row],[Age]]&lt;=59,"Gen X",Table2[[#This Row],[Age]]&lt;=78,"Baby Boomers",Table2[[#This Row],[Age]]&lt;=96,"Silent",Table2[[#This Row],[Age]]&gt;=97,"Greatest")</f>
        <v>Gen X</v>
      </c>
      <c r="E1097" s="1">
        <v>135341</v>
      </c>
      <c r="F1097">
        <v>56</v>
      </c>
      <c r="G1097" t="str" cm="1">
        <f t="array" ref="G1097">_xlfn.IFS(Table2[[#This Row],[Spending Score (1-100)]]&lt;=25,"Low",Table2[[#This Row],[Spending Score (1-100)]]&lt;=50,"Medium",Table2[[#This Row],[Spending Score (1-100)]]&lt;=75,"High",Table2[[#This Row],[Spending Score (1-100)]]&lt;=100,"Very High")</f>
        <v>High</v>
      </c>
      <c r="H1097" t="s">
        <v>9</v>
      </c>
      <c r="I1097">
        <v>10</v>
      </c>
      <c r="J1097" t="str">
        <f>CONCATENATE(Table2[[#This Row],[Work Experience]],"years")</f>
        <v>10years</v>
      </c>
      <c r="K1097" t="str">
        <f>CONCATENATE(Table2[[#This Row],[Family Size2]],"members")</f>
        <v>2members</v>
      </c>
      <c r="L1097" t="str">
        <f>CONCATENATE(Table2[[#This Row],[Family Size2]],"members")</f>
        <v>2members</v>
      </c>
      <c r="M1097">
        <v>2</v>
      </c>
    </row>
    <row r="1098" spans="1:13">
      <c r="A1098">
        <v>1097</v>
      </c>
      <c r="B1098" t="s">
        <v>11</v>
      </c>
      <c r="C1098">
        <v>47</v>
      </c>
      <c r="D1098" t="str" cm="1">
        <f t="array" ref="D1098">_xlfn.IFS(Table2[[#This Row],[Age]]&lt;=11,"Gen A",Table2[[#This Row],[Age]]&lt;=27,"Gen Z",Table2[[#This Row],[Age]]&lt;=43,"Millenials",Table2[[#This Row],[Age]]&lt;=59,"Gen X",Table2[[#This Row],[Age]]&lt;=78,"Baby Boomers",Table2[[#This Row],[Age]]&lt;=96,"Silent",Table2[[#This Row],[Age]]&gt;=97,"Greatest")</f>
        <v>Gen X</v>
      </c>
      <c r="E1098" s="1">
        <v>129019</v>
      </c>
      <c r="F1098">
        <v>57</v>
      </c>
      <c r="G1098" t="str" cm="1">
        <f t="array" ref="G1098">_xlfn.IFS(Table2[[#This Row],[Spending Score (1-100)]]&lt;=25,"Low",Table2[[#This Row],[Spending Score (1-100)]]&lt;=50,"Medium",Table2[[#This Row],[Spending Score (1-100)]]&lt;=75,"High",Table2[[#This Row],[Spending Score (1-100)]]&lt;=100,"Very High")</f>
        <v>High</v>
      </c>
      <c r="H1098" t="s">
        <v>9</v>
      </c>
      <c r="I1098">
        <v>0</v>
      </c>
      <c r="J1098" t="str">
        <f>CONCATENATE(Table2[[#This Row],[Work Experience]],"years")</f>
        <v>0years</v>
      </c>
      <c r="K1098" t="str">
        <f>CONCATENATE(Table2[[#This Row],[Family Size2]],"members")</f>
        <v>3members</v>
      </c>
      <c r="L1098" t="str">
        <f>CONCATENATE(Table2[[#This Row],[Family Size2]],"members")</f>
        <v>3members</v>
      </c>
      <c r="M1098">
        <v>3</v>
      </c>
    </row>
    <row r="1099" spans="1:13">
      <c r="A1099">
        <v>1098</v>
      </c>
      <c r="B1099" t="s">
        <v>8</v>
      </c>
      <c r="C1099">
        <v>53</v>
      </c>
      <c r="D1099" t="str" cm="1">
        <f t="array" ref="D1099">_xlfn.IFS(Table2[[#This Row],[Age]]&lt;=11,"Gen A",Table2[[#This Row],[Age]]&lt;=27,"Gen Z",Table2[[#This Row],[Age]]&lt;=43,"Millenials",Table2[[#This Row],[Age]]&lt;=59,"Gen X",Table2[[#This Row],[Age]]&lt;=78,"Baby Boomers",Table2[[#This Row],[Age]]&lt;=96,"Silent",Table2[[#This Row],[Age]]&gt;=97,"Greatest")</f>
        <v>Gen X</v>
      </c>
      <c r="E1099" s="1">
        <v>107879</v>
      </c>
      <c r="F1099">
        <v>3</v>
      </c>
      <c r="G1099" t="str" cm="1">
        <f t="array" ref="G1099">_xlfn.IFS(Table2[[#This Row],[Spending Score (1-100)]]&lt;=25,"Low",Table2[[#This Row],[Spending Score (1-100)]]&lt;=50,"Medium",Table2[[#This Row],[Spending Score (1-100)]]&lt;=75,"High",Table2[[#This Row],[Spending Score (1-100)]]&lt;=100,"Very High")</f>
        <v>Low</v>
      </c>
      <c r="H1099" t="s">
        <v>16</v>
      </c>
      <c r="I1099">
        <v>1</v>
      </c>
      <c r="J1099" t="str">
        <f>CONCATENATE(Table2[[#This Row],[Work Experience]],"years")</f>
        <v>1years</v>
      </c>
      <c r="K1099" t="str">
        <f>CONCATENATE(Table2[[#This Row],[Family Size2]],"members")</f>
        <v>6members</v>
      </c>
      <c r="L1099" t="str">
        <f>CONCATENATE(Table2[[#This Row],[Family Size2]],"members")</f>
        <v>6members</v>
      </c>
      <c r="M1099">
        <v>6</v>
      </c>
    </row>
    <row r="1100" spans="1:13">
      <c r="A1100">
        <v>1099</v>
      </c>
      <c r="B1100" t="s">
        <v>8</v>
      </c>
      <c r="C1100">
        <v>92</v>
      </c>
      <c r="D1100" t="str" cm="1">
        <f t="array" ref="D1100">_xlfn.IFS(Table2[[#This Row],[Age]]&lt;=11,"Gen A",Table2[[#This Row],[Age]]&lt;=27,"Gen Z",Table2[[#This Row],[Age]]&lt;=43,"Millenials",Table2[[#This Row],[Age]]&lt;=59,"Gen X",Table2[[#This Row],[Age]]&lt;=78,"Baby Boomers",Table2[[#This Row],[Age]]&lt;=96,"Silent",Table2[[#This Row],[Age]]&gt;=97,"Greatest")</f>
        <v>Silent</v>
      </c>
      <c r="E1100" s="1">
        <v>79531</v>
      </c>
      <c r="F1100">
        <v>4</v>
      </c>
      <c r="G1100" t="str" cm="1">
        <f t="array" ref="G1100">_xlfn.IFS(Table2[[#This Row],[Spending Score (1-100)]]&lt;=25,"Low",Table2[[#This Row],[Spending Score (1-100)]]&lt;=50,"Medium",Table2[[#This Row],[Spending Score (1-100)]]&lt;=75,"High",Table2[[#This Row],[Spending Score (1-100)]]&lt;=100,"Very High")</f>
        <v>Low</v>
      </c>
      <c r="H1100" t="s">
        <v>14</v>
      </c>
      <c r="I1100">
        <v>1</v>
      </c>
      <c r="J1100" t="str">
        <f>CONCATENATE(Table2[[#This Row],[Work Experience]],"years")</f>
        <v>1years</v>
      </c>
      <c r="K1100" t="str">
        <f>CONCATENATE(Table2[[#This Row],[Family Size2]],"members")</f>
        <v>1members</v>
      </c>
      <c r="L1100" t="str">
        <f>CONCATENATE(Table2[[#This Row],[Family Size2]],"members")</f>
        <v>1members</v>
      </c>
      <c r="M1100">
        <v>1</v>
      </c>
    </row>
    <row r="1101" spans="1:13">
      <c r="A1101">
        <v>1100</v>
      </c>
      <c r="B1101" t="s">
        <v>8</v>
      </c>
      <c r="C1101">
        <v>89</v>
      </c>
      <c r="D1101" t="str" cm="1">
        <f t="array" ref="D1101">_xlfn.IFS(Table2[[#This Row],[Age]]&lt;=11,"Gen A",Table2[[#This Row],[Age]]&lt;=27,"Gen Z",Table2[[#This Row],[Age]]&lt;=43,"Millenials",Table2[[#This Row],[Age]]&lt;=59,"Gen X",Table2[[#This Row],[Age]]&lt;=78,"Baby Boomers",Table2[[#This Row],[Age]]&lt;=96,"Silent",Table2[[#This Row],[Age]]&gt;=97,"Greatest")</f>
        <v>Silent</v>
      </c>
      <c r="E1101" s="1">
        <v>63379</v>
      </c>
      <c r="F1101">
        <v>59</v>
      </c>
      <c r="G1101" t="str" cm="1">
        <f t="array" ref="G1101">_xlfn.IFS(Table2[[#This Row],[Spending Score (1-100)]]&lt;=25,"Low",Table2[[#This Row],[Spending Score (1-100)]]&lt;=50,"Medium",Table2[[#This Row],[Spending Score (1-100)]]&lt;=75,"High",Table2[[#This Row],[Spending Score (1-100)]]&lt;=100,"Very High")</f>
        <v>High</v>
      </c>
      <c r="H1101" t="s">
        <v>14</v>
      </c>
      <c r="I1101">
        <v>12</v>
      </c>
      <c r="J1101" t="str">
        <f>CONCATENATE(Table2[[#This Row],[Work Experience]],"years")</f>
        <v>12years</v>
      </c>
      <c r="K1101" t="str">
        <f>CONCATENATE(Table2[[#This Row],[Family Size2]],"members")</f>
        <v>7members</v>
      </c>
      <c r="L1101" t="str">
        <f>CONCATENATE(Table2[[#This Row],[Family Size2]],"members")</f>
        <v>7members</v>
      </c>
      <c r="M1101">
        <v>7</v>
      </c>
    </row>
    <row r="1102" spans="1:13">
      <c r="A1102">
        <v>1101</v>
      </c>
      <c r="B1102" t="s">
        <v>11</v>
      </c>
      <c r="C1102">
        <v>27</v>
      </c>
      <c r="D1102" t="str" cm="1">
        <f t="array" ref="D1102">_xlfn.IFS(Table2[[#This Row],[Age]]&lt;=11,"Gen A",Table2[[#This Row],[Age]]&lt;=27,"Gen Z",Table2[[#This Row],[Age]]&lt;=43,"Millenials",Table2[[#This Row],[Age]]&lt;=59,"Gen X",Table2[[#This Row],[Age]]&lt;=78,"Baby Boomers",Table2[[#This Row],[Age]]&lt;=96,"Silent",Table2[[#This Row],[Age]]&gt;=97,"Greatest")</f>
        <v>Gen Z</v>
      </c>
      <c r="E1102" s="1">
        <v>156258</v>
      </c>
      <c r="F1102">
        <v>54</v>
      </c>
      <c r="G1102" t="str" cm="1">
        <f t="array" ref="G1102">_xlfn.IFS(Table2[[#This Row],[Spending Score (1-100)]]&lt;=25,"Low",Table2[[#This Row],[Spending Score (1-100)]]&lt;=50,"Medium",Table2[[#This Row],[Spending Score (1-100)]]&lt;=75,"High",Table2[[#This Row],[Spending Score (1-100)]]&lt;=100,"Very High")</f>
        <v>High</v>
      </c>
      <c r="H1102" t="s">
        <v>13</v>
      </c>
      <c r="I1102">
        <v>0</v>
      </c>
      <c r="J1102" t="str">
        <f>CONCATENATE(Table2[[#This Row],[Work Experience]],"years")</f>
        <v>0years</v>
      </c>
      <c r="K1102" t="str">
        <f>CONCATENATE(Table2[[#This Row],[Family Size2]],"members")</f>
        <v>4members</v>
      </c>
      <c r="L1102" t="str">
        <f>CONCATENATE(Table2[[#This Row],[Family Size2]],"members")</f>
        <v>4members</v>
      </c>
      <c r="M1102">
        <v>4</v>
      </c>
    </row>
    <row r="1103" spans="1:13">
      <c r="A1103">
        <v>1102</v>
      </c>
      <c r="B1103" t="s">
        <v>8</v>
      </c>
      <c r="C1103">
        <v>70</v>
      </c>
      <c r="D1103" t="str" cm="1">
        <f t="array" ref="D1103">_xlfn.IFS(Table2[[#This Row],[Age]]&lt;=11,"Gen A",Table2[[#This Row],[Age]]&lt;=27,"Gen Z",Table2[[#This Row],[Age]]&lt;=43,"Millenials",Table2[[#This Row],[Age]]&lt;=59,"Gen X",Table2[[#This Row],[Age]]&lt;=78,"Baby Boomers",Table2[[#This Row],[Age]]&lt;=96,"Silent",Table2[[#This Row],[Age]]&gt;=97,"Greatest")</f>
        <v>Baby Boomers</v>
      </c>
      <c r="E1103" s="1">
        <v>67874</v>
      </c>
      <c r="F1103">
        <v>41</v>
      </c>
      <c r="G1103" t="str" cm="1">
        <f t="array" ref="G1103">_xlfn.IFS(Table2[[#This Row],[Spending Score (1-100)]]&lt;=25,"Low",Table2[[#This Row],[Spending Score (1-100)]]&lt;=50,"Medium",Table2[[#This Row],[Spending Score (1-100)]]&lt;=75,"High",Table2[[#This Row],[Spending Score (1-100)]]&lt;=100,"Very High")</f>
        <v>Medium</v>
      </c>
      <c r="H1103" t="s">
        <v>13</v>
      </c>
      <c r="I1103">
        <v>9</v>
      </c>
      <c r="J1103" t="str">
        <f>CONCATENATE(Table2[[#This Row],[Work Experience]],"years")</f>
        <v>9years</v>
      </c>
      <c r="K1103" t="str">
        <f>CONCATENATE(Table2[[#This Row],[Family Size2]],"members")</f>
        <v>3members</v>
      </c>
      <c r="L1103" t="str">
        <f>CONCATENATE(Table2[[#This Row],[Family Size2]],"members")</f>
        <v>3members</v>
      </c>
      <c r="M1103">
        <v>3</v>
      </c>
    </row>
    <row r="1104" spans="1:13">
      <c r="A1104">
        <v>1103</v>
      </c>
      <c r="B1104" t="s">
        <v>11</v>
      </c>
      <c r="C1104">
        <v>86</v>
      </c>
      <c r="D1104" t="str" cm="1">
        <f t="array" ref="D1104">_xlfn.IFS(Table2[[#This Row],[Age]]&lt;=11,"Gen A",Table2[[#This Row],[Age]]&lt;=27,"Gen Z",Table2[[#This Row],[Age]]&lt;=43,"Millenials",Table2[[#This Row],[Age]]&lt;=59,"Gen X",Table2[[#This Row],[Age]]&lt;=78,"Baby Boomers",Table2[[#This Row],[Age]]&lt;=96,"Silent",Table2[[#This Row],[Age]]&gt;=97,"Greatest")</f>
        <v>Silent</v>
      </c>
      <c r="E1104" s="1">
        <v>159964</v>
      </c>
      <c r="F1104">
        <v>57</v>
      </c>
      <c r="G1104" t="str" cm="1">
        <f t="array" ref="G1104">_xlfn.IFS(Table2[[#This Row],[Spending Score (1-100)]]&lt;=25,"Low",Table2[[#This Row],[Spending Score (1-100)]]&lt;=50,"Medium",Table2[[#This Row],[Spending Score (1-100)]]&lt;=75,"High",Table2[[#This Row],[Spending Score (1-100)]]&lt;=100,"Very High")</f>
        <v>High</v>
      </c>
      <c r="H1104" t="s">
        <v>10</v>
      </c>
      <c r="I1104">
        <v>5</v>
      </c>
      <c r="J1104" t="str">
        <f>CONCATENATE(Table2[[#This Row],[Work Experience]],"years")</f>
        <v>5years</v>
      </c>
      <c r="K1104" t="str">
        <f>CONCATENATE(Table2[[#This Row],[Family Size2]],"members")</f>
        <v>6members</v>
      </c>
      <c r="L1104" t="str">
        <f>CONCATENATE(Table2[[#This Row],[Family Size2]],"members")</f>
        <v>6members</v>
      </c>
      <c r="M1104">
        <v>6</v>
      </c>
    </row>
    <row r="1105" spans="1:13">
      <c r="A1105">
        <v>1104</v>
      </c>
      <c r="B1105" t="s">
        <v>11</v>
      </c>
      <c r="C1105">
        <v>99</v>
      </c>
      <c r="D1105" t="str" cm="1">
        <f t="array" ref="D1105">_xlfn.IFS(Table2[[#This Row],[Age]]&lt;=11,"Gen A",Table2[[#This Row],[Age]]&lt;=27,"Gen Z",Table2[[#This Row],[Age]]&lt;=43,"Millenials",Table2[[#This Row],[Age]]&lt;=59,"Gen X",Table2[[#This Row],[Age]]&lt;=78,"Baby Boomers",Table2[[#This Row],[Age]]&lt;=96,"Silent",Table2[[#This Row],[Age]]&gt;=97,"Greatest")</f>
        <v>Greatest</v>
      </c>
      <c r="E1105" s="1">
        <v>103706</v>
      </c>
      <c r="F1105">
        <v>50</v>
      </c>
      <c r="G1105" t="str" cm="1">
        <f t="array" ref="G1105">_xlfn.IFS(Table2[[#This Row],[Spending Score (1-100)]]&lt;=25,"Low",Table2[[#This Row],[Spending Score (1-100)]]&lt;=50,"Medium",Table2[[#This Row],[Spending Score (1-100)]]&lt;=75,"High",Table2[[#This Row],[Spending Score (1-100)]]&lt;=100,"Very High")</f>
        <v>Medium</v>
      </c>
      <c r="H1105" t="s">
        <v>13</v>
      </c>
      <c r="I1105">
        <v>1</v>
      </c>
      <c r="J1105" t="str">
        <f>CONCATENATE(Table2[[#This Row],[Work Experience]],"years")</f>
        <v>1years</v>
      </c>
      <c r="K1105" t="str">
        <f>CONCATENATE(Table2[[#This Row],[Family Size2]],"members")</f>
        <v>2members</v>
      </c>
      <c r="L1105" t="str">
        <f>CONCATENATE(Table2[[#This Row],[Family Size2]],"members")</f>
        <v>2members</v>
      </c>
      <c r="M1105">
        <v>2</v>
      </c>
    </row>
    <row r="1106" spans="1:13">
      <c r="A1106">
        <v>1105</v>
      </c>
      <c r="B1106" t="s">
        <v>11</v>
      </c>
      <c r="C1106">
        <v>96</v>
      </c>
      <c r="D1106" t="str" cm="1">
        <f t="array" ref="D1106">_xlfn.IFS(Table2[[#This Row],[Age]]&lt;=11,"Gen A",Table2[[#This Row],[Age]]&lt;=27,"Gen Z",Table2[[#This Row],[Age]]&lt;=43,"Millenials",Table2[[#This Row],[Age]]&lt;=59,"Gen X",Table2[[#This Row],[Age]]&lt;=78,"Baby Boomers",Table2[[#This Row],[Age]]&lt;=96,"Silent",Table2[[#This Row],[Age]]&gt;=97,"Greatest")</f>
        <v>Silent</v>
      </c>
      <c r="E1106" s="1">
        <v>64713</v>
      </c>
      <c r="F1106">
        <v>84</v>
      </c>
      <c r="G1106" t="str" cm="1">
        <f t="array" ref="G1106">_xlfn.IFS(Table2[[#This Row],[Spending Score (1-100)]]&lt;=25,"Low",Table2[[#This Row],[Spending Score (1-100)]]&lt;=50,"Medium",Table2[[#This Row],[Spending Score (1-100)]]&lt;=75,"High",Table2[[#This Row],[Spending Score (1-100)]]&lt;=100,"Very High")</f>
        <v>Very High</v>
      </c>
      <c r="H1106" t="s">
        <v>13</v>
      </c>
      <c r="I1106">
        <v>2</v>
      </c>
      <c r="J1106" t="str">
        <f>CONCATENATE(Table2[[#This Row],[Work Experience]],"years")</f>
        <v>2years</v>
      </c>
      <c r="K1106" t="str">
        <f>CONCATENATE(Table2[[#This Row],[Family Size2]],"members")</f>
        <v>7members</v>
      </c>
      <c r="L1106" t="str">
        <f>CONCATENATE(Table2[[#This Row],[Family Size2]],"members")</f>
        <v>7members</v>
      </c>
      <c r="M1106">
        <v>7</v>
      </c>
    </row>
    <row r="1107" spans="1:13">
      <c r="A1107">
        <v>1106</v>
      </c>
      <c r="B1107" t="s">
        <v>11</v>
      </c>
      <c r="C1107">
        <v>65</v>
      </c>
      <c r="D1107" t="str" cm="1">
        <f t="array" ref="D1107">_xlfn.IFS(Table2[[#This Row],[Age]]&lt;=11,"Gen A",Table2[[#This Row],[Age]]&lt;=27,"Gen Z",Table2[[#This Row],[Age]]&lt;=43,"Millenials",Table2[[#This Row],[Age]]&lt;=59,"Gen X",Table2[[#This Row],[Age]]&lt;=78,"Baby Boomers",Table2[[#This Row],[Age]]&lt;=96,"Silent",Table2[[#This Row],[Age]]&gt;=97,"Greatest")</f>
        <v>Baby Boomers</v>
      </c>
      <c r="E1107" s="1">
        <v>90414</v>
      </c>
      <c r="F1107">
        <v>55</v>
      </c>
      <c r="G1107" t="str" cm="1">
        <f t="array" ref="G1107">_xlfn.IFS(Table2[[#This Row],[Spending Score (1-100)]]&lt;=25,"Low",Table2[[#This Row],[Spending Score (1-100)]]&lt;=50,"Medium",Table2[[#This Row],[Spending Score (1-100)]]&lt;=75,"High",Table2[[#This Row],[Spending Score (1-100)]]&lt;=100,"Very High")</f>
        <v>High</v>
      </c>
      <c r="H1107" t="s">
        <v>14</v>
      </c>
      <c r="I1107">
        <v>1</v>
      </c>
      <c r="J1107" t="str">
        <f>CONCATENATE(Table2[[#This Row],[Work Experience]],"years")</f>
        <v>1years</v>
      </c>
      <c r="K1107" t="str">
        <f>CONCATENATE(Table2[[#This Row],[Family Size2]],"members")</f>
        <v>5members</v>
      </c>
      <c r="L1107" t="str">
        <f>CONCATENATE(Table2[[#This Row],[Family Size2]],"members")</f>
        <v>5members</v>
      </c>
      <c r="M1107">
        <v>5</v>
      </c>
    </row>
    <row r="1108" spans="1:13">
      <c r="A1108">
        <v>1107</v>
      </c>
      <c r="B1108" t="s">
        <v>11</v>
      </c>
      <c r="C1108">
        <v>82</v>
      </c>
      <c r="D1108" t="str" cm="1">
        <f t="array" ref="D1108">_xlfn.IFS(Table2[[#This Row],[Age]]&lt;=11,"Gen A",Table2[[#This Row],[Age]]&lt;=27,"Gen Z",Table2[[#This Row],[Age]]&lt;=43,"Millenials",Table2[[#This Row],[Age]]&lt;=59,"Gen X",Table2[[#This Row],[Age]]&lt;=78,"Baby Boomers",Table2[[#This Row],[Age]]&lt;=96,"Silent",Table2[[#This Row],[Age]]&gt;=97,"Greatest")</f>
        <v>Silent</v>
      </c>
      <c r="E1108" s="1">
        <v>171100</v>
      </c>
      <c r="F1108">
        <v>34</v>
      </c>
      <c r="G1108" t="str" cm="1">
        <f t="array" ref="G1108">_xlfn.IFS(Table2[[#This Row],[Spending Score (1-100)]]&lt;=25,"Low",Table2[[#This Row],[Spending Score (1-100)]]&lt;=50,"Medium",Table2[[#This Row],[Spending Score (1-100)]]&lt;=75,"High",Table2[[#This Row],[Spending Score (1-100)]]&lt;=100,"Very High")</f>
        <v>Medium</v>
      </c>
      <c r="H1108" t="s">
        <v>15</v>
      </c>
      <c r="I1108">
        <v>0</v>
      </c>
      <c r="J1108" t="str">
        <f>CONCATENATE(Table2[[#This Row],[Work Experience]],"years")</f>
        <v>0years</v>
      </c>
      <c r="K1108" t="str">
        <f>CONCATENATE(Table2[[#This Row],[Family Size2]],"members")</f>
        <v>5members</v>
      </c>
      <c r="L1108" t="str">
        <f>CONCATENATE(Table2[[#This Row],[Family Size2]],"members")</f>
        <v>5members</v>
      </c>
      <c r="M1108">
        <v>5</v>
      </c>
    </row>
    <row r="1109" spans="1:13">
      <c r="A1109">
        <v>1108</v>
      </c>
      <c r="B1109" t="s">
        <v>8</v>
      </c>
      <c r="C1109">
        <v>36</v>
      </c>
      <c r="D1109" t="str" cm="1">
        <f t="array" ref="D1109">_xlfn.IFS(Table2[[#This Row],[Age]]&lt;=11,"Gen A",Table2[[#This Row],[Age]]&lt;=27,"Gen Z",Table2[[#This Row],[Age]]&lt;=43,"Millenials",Table2[[#This Row],[Age]]&lt;=59,"Gen X",Table2[[#This Row],[Age]]&lt;=78,"Baby Boomers",Table2[[#This Row],[Age]]&lt;=96,"Silent",Table2[[#This Row],[Age]]&gt;=97,"Greatest")</f>
        <v>Millenials</v>
      </c>
      <c r="E1109" s="1">
        <v>187305</v>
      </c>
      <c r="F1109">
        <v>85</v>
      </c>
      <c r="G1109" t="str" cm="1">
        <f t="array" ref="G1109">_xlfn.IFS(Table2[[#This Row],[Spending Score (1-100)]]&lt;=25,"Low",Table2[[#This Row],[Spending Score (1-100)]]&lt;=50,"Medium",Table2[[#This Row],[Spending Score (1-100)]]&lt;=75,"High",Table2[[#This Row],[Spending Score (1-100)]]&lt;=100,"Very High")</f>
        <v>Very High</v>
      </c>
      <c r="H1109" t="s">
        <v>10</v>
      </c>
      <c r="I1109">
        <v>6</v>
      </c>
      <c r="J1109" t="str">
        <f>CONCATENATE(Table2[[#This Row],[Work Experience]],"years")</f>
        <v>6years</v>
      </c>
      <c r="K1109" t="str">
        <f>CONCATENATE(Table2[[#This Row],[Family Size2]],"members")</f>
        <v>7members</v>
      </c>
      <c r="L1109" t="str">
        <f>CONCATENATE(Table2[[#This Row],[Family Size2]],"members")</f>
        <v>7members</v>
      </c>
      <c r="M1109">
        <v>7</v>
      </c>
    </row>
    <row r="1110" spans="1:13">
      <c r="A1110">
        <v>1109</v>
      </c>
      <c r="B1110" t="s">
        <v>11</v>
      </c>
      <c r="C1110">
        <v>30</v>
      </c>
      <c r="D1110" t="str" cm="1">
        <f t="array" ref="D1110">_xlfn.IFS(Table2[[#This Row],[Age]]&lt;=11,"Gen A",Table2[[#This Row],[Age]]&lt;=27,"Gen Z",Table2[[#This Row],[Age]]&lt;=43,"Millenials",Table2[[#This Row],[Age]]&lt;=59,"Gen X",Table2[[#This Row],[Age]]&lt;=78,"Baby Boomers",Table2[[#This Row],[Age]]&lt;=96,"Silent",Table2[[#This Row],[Age]]&gt;=97,"Greatest")</f>
        <v>Millenials</v>
      </c>
      <c r="E1110" s="1">
        <v>139758</v>
      </c>
      <c r="F1110">
        <v>46</v>
      </c>
      <c r="G1110" t="str" cm="1">
        <f t="array" ref="G1110">_xlfn.IFS(Table2[[#This Row],[Spending Score (1-100)]]&lt;=25,"Low",Table2[[#This Row],[Spending Score (1-100)]]&lt;=50,"Medium",Table2[[#This Row],[Spending Score (1-100)]]&lt;=75,"High",Table2[[#This Row],[Spending Score (1-100)]]&lt;=100,"Very High")</f>
        <v>Medium</v>
      </c>
      <c r="H1110" t="s">
        <v>12</v>
      </c>
      <c r="I1110">
        <v>0</v>
      </c>
      <c r="J1110" t="str">
        <f>CONCATENATE(Table2[[#This Row],[Work Experience]],"years")</f>
        <v>0years</v>
      </c>
      <c r="K1110" t="str">
        <f>CONCATENATE(Table2[[#This Row],[Family Size2]],"members")</f>
        <v>6members</v>
      </c>
      <c r="L1110" t="str">
        <f>CONCATENATE(Table2[[#This Row],[Family Size2]],"members")</f>
        <v>6members</v>
      </c>
      <c r="M1110">
        <v>6</v>
      </c>
    </row>
    <row r="1111" spans="1:13">
      <c r="A1111">
        <v>1110</v>
      </c>
      <c r="B1111" t="s">
        <v>11</v>
      </c>
      <c r="C1111">
        <v>96</v>
      </c>
      <c r="D1111" t="str" cm="1">
        <f t="array" ref="D1111">_xlfn.IFS(Table2[[#This Row],[Age]]&lt;=11,"Gen A",Table2[[#This Row],[Age]]&lt;=27,"Gen Z",Table2[[#This Row],[Age]]&lt;=43,"Millenials",Table2[[#This Row],[Age]]&lt;=59,"Gen X",Table2[[#This Row],[Age]]&lt;=78,"Baby Boomers",Table2[[#This Row],[Age]]&lt;=96,"Silent",Table2[[#This Row],[Age]]&gt;=97,"Greatest")</f>
        <v>Silent</v>
      </c>
      <c r="E1111" s="1">
        <v>91226</v>
      </c>
      <c r="F1111">
        <v>56</v>
      </c>
      <c r="G1111" t="str" cm="1">
        <f t="array" ref="G1111">_xlfn.IFS(Table2[[#This Row],[Spending Score (1-100)]]&lt;=25,"Low",Table2[[#This Row],[Spending Score (1-100)]]&lt;=50,"Medium",Table2[[#This Row],[Spending Score (1-100)]]&lt;=75,"High",Table2[[#This Row],[Spending Score (1-100)]]&lt;=100,"Very High")</f>
        <v>High</v>
      </c>
      <c r="H1111" t="s">
        <v>9</v>
      </c>
      <c r="I1111">
        <v>0</v>
      </c>
      <c r="J1111" t="str">
        <f>CONCATENATE(Table2[[#This Row],[Work Experience]],"years")</f>
        <v>0years</v>
      </c>
      <c r="K1111" t="str">
        <f>CONCATENATE(Table2[[#This Row],[Family Size2]],"members")</f>
        <v>5members</v>
      </c>
      <c r="L1111" t="str">
        <f>CONCATENATE(Table2[[#This Row],[Family Size2]],"members")</f>
        <v>5members</v>
      </c>
      <c r="M1111">
        <v>5</v>
      </c>
    </row>
    <row r="1112" spans="1:13">
      <c r="A1112">
        <v>1111</v>
      </c>
      <c r="B1112" t="s">
        <v>11</v>
      </c>
      <c r="C1112">
        <v>69</v>
      </c>
      <c r="D1112" t="str" cm="1">
        <f t="array" ref="D1112">_xlfn.IFS(Table2[[#This Row],[Age]]&lt;=11,"Gen A",Table2[[#This Row],[Age]]&lt;=27,"Gen Z",Table2[[#This Row],[Age]]&lt;=43,"Millenials",Table2[[#This Row],[Age]]&lt;=59,"Gen X",Table2[[#This Row],[Age]]&lt;=78,"Baby Boomers",Table2[[#This Row],[Age]]&lt;=96,"Silent",Table2[[#This Row],[Age]]&gt;=97,"Greatest")</f>
        <v>Baby Boomers</v>
      </c>
      <c r="E1112" s="1">
        <v>143928</v>
      </c>
      <c r="F1112">
        <v>30</v>
      </c>
      <c r="G1112" t="str" cm="1">
        <f t="array" ref="G1112">_xlfn.IFS(Table2[[#This Row],[Spending Score (1-100)]]&lt;=25,"Low",Table2[[#This Row],[Spending Score (1-100)]]&lt;=50,"Medium",Table2[[#This Row],[Spending Score (1-100)]]&lt;=75,"High",Table2[[#This Row],[Spending Score (1-100)]]&lt;=100,"Very High")</f>
        <v>Medium</v>
      </c>
      <c r="H1112" t="s">
        <v>10</v>
      </c>
      <c r="I1112">
        <v>9</v>
      </c>
      <c r="J1112" t="str">
        <f>CONCATENATE(Table2[[#This Row],[Work Experience]],"years")</f>
        <v>9years</v>
      </c>
      <c r="K1112" t="str">
        <f>CONCATENATE(Table2[[#This Row],[Family Size2]],"members")</f>
        <v>7members</v>
      </c>
      <c r="L1112" t="str">
        <f>CONCATENATE(Table2[[#This Row],[Family Size2]],"members")</f>
        <v>7members</v>
      </c>
      <c r="M1112">
        <v>7</v>
      </c>
    </row>
    <row r="1113" spans="1:13">
      <c r="A1113">
        <v>1112</v>
      </c>
      <c r="B1113" t="s">
        <v>11</v>
      </c>
      <c r="C1113">
        <v>34</v>
      </c>
      <c r="D1113" t="str" cm="1">
        <f t="array" ref="D1113">_xlfn.IFS(Table2[[#This Row],[Age]]&lt;=11,"Gen A",Table2[[#This Row],[Age]]&lt;=27,"Gen Z",Table2[[#This Row],[Age]]&lt;=43,"Millenials",Table2[[#This Row],[Age]]&lt;=59,"Gen X",Table2[[#This Row],[Age]]&lt;=78,"Baby Boomers",Table2[[#This Row],[Age]]&lt;=96,"Silent",Table2[[#This Row],[Age]]&gt;=97,"Greatest")</f>
        <v>Millenials</v>
      </c>
      <c r="E1113" s="1">
        <v>92366</v>
      </c>
      <c r="F1113">
        <v>14</v>
      </c>
      <c r="G1113" t="str" cm="1">
        <f t="array" ref="G1113">_xlfn.IFS(Table2[[#This Row],[Spending Score (1-100)]]&lt;=25,"Low",Table2[[#This Row],[Spending Score (1-100)]]&lt;=50,"Medium",Table2[[#This Row],[Spending Score (1-100)]]&lt;=75,"High",Table2[[#This Row],[Spending Score (1-100)]]&lt;=100,"Very High")</f>
        <v>Low</v>
      </c>
      <c r="H1113" t="s">
        <v>9</v>
      </c>
      <c r="I1113">
        <v>0</v>
      </c>
      <c r="J1113" t="str">
        <f>CONCATENATE(Table2[[#This Row],[Work Experience]],"years")</f>
        <v>0years</v>
      </c>
      <c r="K1113" t="str">
        <f>CONCATENATE(Table2[[#This Row],[Family Size2]],"members")</f>
        <v>6members</v>
      </c>
      <c r="L1113" t="str">
        <f>CONCATENATE(Table2[[#This Row],[Family Size2]],"members")</f>
        <v>6members</v>
      </c>
      <c r="M1113">
        <v>6</v>
      </c>
    </row>
    <row r="1114" spans="1:13">
      <c r="A1114">
        <v>1113</v>
      </c>
      <c r="B1114" t="s">
        <v>8</v>
      </c>
      <c r="C1114">
        <v>74</v>
      </c>
      <c r="D1114" t="str" cm="1">
        <f t="array" ref="D1114">_xlfn.IFS(Table2[[#This Row],[Age]]&lt;=11,"Gen A",Table2[[#This Row],[Age]]&lt;=27,"Gen Z",Table2[[#This Row],[Age]]&lt;=43,"Millenials",Table2[[#This Row],[Age]]&lt;=59,"Gen X",Table2[[#This Row],[Age]]&lt;=78,"Baby Boomers",Table2[[#This Row],[Age]]&lt;=96,"Silent",Table2[[#This Row],[Age]]&gt;=97,"Greatest")</f>
        <v>Baby Boomers</v>
      </c>
      <c r="E1114" s="1">
        <v>175041</v>
      </c>
      <c r="F1114">
        <v>25</v>
      </c>
      <c r="G1114" t="str" cm="1">
        <f t="array" ref="G1114">_xlfn.IFS(Table2[[#This Row],[Spending Score (1-100)]]&lt;=25,"Low",Table2[[#This Row],[Spending Score (1-100)]]&lt;=50,"Medium",Table2[[#This Row],[Spending Score (1-100)]]&lt;=75,"High",Table2[[#This Row],[Spending Score (1-100)]]&lt;=100,"Very High")</f>
        <v>Low</v>
      </c>
      <c r="H1114" t="s">
        <v>14</v>
      </c>
      <c r="I1114">
        <v>4</v>
      </c>
      <c r="J1114" t="str">
        <f>CONCATENATE(Table2[[#This Row],[Work Experience]],"years")</f>
        <v>4years</v>
      </c>
      <c r="K1114" t="str">
        <f>CONCATENATE(Table2[[#This Row],[Family Size2]],"members")</f>
        <v>1members</v>
      </c>
      <c r="L1114" t="str">
        <f>CONCATENATE(Table2[[#This Row],[Family Size2]],"members")</f>
        <v>1members</v>
      </c>
      <c r="M1114">
        <v>1</v>
      </c>
    </row>
    <row r="1115" spans="1:13">
      <c r="A1115">
        <v>1114</v>
      </c>
      <c r="B1115" t="s">
        <v>8</v>
      </c>
      <c r="C1115">
        <v>97</v>
      </c>
      <c r="D1115" t="str" cm="1">
        <f t="array" ref="D1115">_xlfn.IFS(Table2[[#This Row],[Age]]&lt;=11,"Gen A",Table2[[#This Row],[Age]]&lt;=27,"Gen Z",Table2[[#This Row],[Age]]&lt;=43,"Millenials",Table2[[#This Row],[Age]]&lt;=59,"Gen X",Table2[[#This Row],[Age]]&lt;=78,"Baby Boomers",Table2[[#This Row],[Age]]&lt;=96,"Silent",Table2[[#This Row],[Age]]&gt;=97,"Greatest")</f>
        <v>Greatest</v>
      </c>
      <c r="E1115" s="1">
        <v>147301</v>
      </c>
      <c r="F1115">
        <v>93</v>
      </c>
      <c r="G1115" t="str" cm="1">
        <f t="array" ref="G1115">_xlfn.IFS(Table2[[#This Row],[Spending Score (1-100)]]&lt;=25,"Low",Table2[[#This Row],[Spending Score (1-100)]]&lt;=50,"Medium",Table2[[#This Row],[Spending Score (1-100)]]&lt;=75,"High",Table2[[#This Row],[Spending Score (1-100)]]&lt;=100,"Very High")</f>
        <v>Very High</v>
      </c>
      <c r="H1115" t="s">
        <v>12</v>
      </c>
      <c r="I1115">
        <v>1</v>
      </c>
      <c r="J1115" t="str">
        <f>CONCATENATE(Table2[[#This Row],[Work Experience]],"years")</f>
        <v>1years</v>
      </c>
      <c r="K1115" t="str">
        <f>CONCATENATE(Table2[[#This Row],[Family Size2]],"members")</f>
        <v>5members</v>
      </c>
      <c r="L1115" t="str">
        <f>CONCATENATE(Table2[[#This Row],[Family Size2]],"members")</f>
        <v>5members</v>
      </c>
      <c r="M1115">
        <v>5</v>
      </c>
    </row>
    <row r="1116" spans="1:13">
      <c r="A1116">
        <v>1115</v>
      </c>
      <c r="B1116" t="s">
        <v>8</v>
      </c>
      <c r="C1116">
        <v>56</v>
      </c>
      <c r="D1116" t="str" cm="1">
        <f t="array" ref="D1116">_xlfn.IFS(Table2[[#This Row],[Age]]&lt;=11,"Gen A",Table2[[#This Row],[Age]]&lt;=27,"Gen Z",Table2[[#This Row],[Age]]&lt;=43,"Millenials",Table2[[#This Row],[Age]]&lt;=59,"Gen X",Table2[[#This Row],[Age]]&lt;=78,"Baby Boomers",Table2[[#This Row],[Age]]&lt;=96,"Silent",Table2[[#This Row],[Age]]&gt;=97,"Greatest")</f>
        <v>Gen X</v>
      </c>
      <c r="E1116" s="1">
        <v>119296</v>
      </c>
      <c r="F1116">
        <v>49</v>
      </c>
      <c r="G1116" t="str" cm="1">
        <f t="array" ref="G1116">_xlfn.IFS(Table2[[#This Row],[Spending Score (1-100)]]&lt;=25,"Low",Table2[[#This Row],[Spending Score (1-100)]]&lt;=50,"Medium",Table2[[#This Row],[Spending Score (1-100)]]&lt;=75,"High",Table2[[#This Row],[Spending Score (1-100)]]&lt;=100,"Very High")</f>
        <v>Medium</v>
      </c>
      <c r="H1116" t="s">
        <v>10</v>
      </c>
      <c r="I1116">
        <v>0</v>
      </c>
      <c r="J1116" t="str">
        <f>CONCATENATE(Table2[[#This Row],[Work Experience]],"years")</f>
        <v>0years</v>
      </c>
      <c r="K1116" t="str">
        <f>CONCATENATE(Table2[[#This Row],[Family Size2]],"members")</f>
        <v>7members</v>
      </c>
      <c r="L1116" t="str">
        <f>CONCATENATE(Table2[[#This Row],[Family Size2]],"members")</f>
        <v>7members</v>
      </c>
      <c r="M1116">
        <v>7</v>
      </c>
    </row>
    <row r="1117" spans="1:13">
      <c r="A1117">
        <v>1116</v>
      </c>
      <c r="B1117" t="s">
        <v>11</v>
      </c>
      <c r="C1117">
        <v>30</v>
      </c>
      <c r="D1117" t="str" cm="1">
        <f t="array" ref="D1117">_xlfn.IFS(Table2[[#This Row],[Age]]&lt;=11,"Gen A",Table2[[#This Row],[Age]]&lt;=27,"Gen Z",Table2[[#This Row],[Age]]&lt;=43,"Millenials",Table2[[#This Row],[Age]]&lt;=59,"Gen X",Table2[[#This Row],[Age]]&lt;=78,"Baby Boomers",Table2[[#This Row],[Age]]&lt;=96,"Silent",Table2[[#This Row],[Age]]&gt;=97,"Greatest")</f>
        <v>Millenials</v>
      </c>
      <c r="E1117" s="1">
        <v>126306</v>
      </c>
      <c r="F1117">
        <v>44</v>
      </c>
      <c r="G1117" t="str" cm="1">
        <f t="array" ref="G1117">_xlfn.IFS(Table2[[#This Row],[Spending Score (1-100)]]&lt;=25,"Low",Table2[[#This Row],[Spending Score (1-100)]]&lt;=50,"Medium",Table2[[#This Row],[Spending Score (1-100)]]&lt;=75,"High",Table2[[#This Row],[Spending Score (1-100)]]&lt;=100,"Very High")</f>
        <v>Medium</v>
      </c>
      <c r="H1117" t="s">
        <v>14</v>
      </c>
      <c r="I1117">
        <v>0</v>
      </c>
      <c r="J1117" t="str">
        <f>CONCATENATE(Table2[[#This Row],[Work Experience]],"years")</f>
        <v>0years</v>
      </c>
      <c r="K1117" t="str">
        <f>CONCATENATE(Table2[[#This Row],[Family Size2]],"members")</f>
        <v>1members</v>
      </c>
      <c r="L1117" t="str">
        <f>CONCATENATE(Table2[[#This Row],[Family Size2]],"members")</f>
        <v>1members</v>
      </c>
      <c r="M1117">
        <v>1</v>
      </c>
    </row>
    <row r="1118" spans="1:13">
      <c r="A1118">
        <v>1117</v>
      </c>
      <c r="B1118" t="s">
        <v>8</v>
      </c>
      <c r="C1118">
        <v>13</v>
      </c>
      <c r="D1118" t="str" cm="1">
        <f t="array" ref="D1118">_xlfn.IFS(Table2[[#This Row],[Age]]&lt;=11,"Gen A",Table2[[#This Row],[Age]]&lt;=27,"Gen Z",Table2[[#This Row],[Age]]&lt;=43,"Millenials",Table2[[#This Row],[Age]]&lt;=59,"Gen X",Table2[[#This Row],[Age]]&lt;=78,"Baby Boomers",Table2[[#This Row],[Age]]&lt;=96,"Silent",Table2[[#This Row],[Age]]&gt;=97,"Greatest")</f>
        <v>Gen Z</v>
      </c>
      <c r="E1118" s="1">
        <v>100647</v>
      </c>
      <c r="F1118">
        <v>49</v>
      </c>
      <c r="G1118" t="str" cm="1">
        <f t="array" ref="G1118">_xlfn.IFS(Table2[[#This Row],[Spending Score (1-100)]]&lt;=25,"Low",Table2[[#This Row],[Spending Score (1-100)]]&lt;=50,"Medium",Table2[[#This Row],[Spending Score (1-100)]]&lt;=75,"High",Table2[[#This Row],[Spending Score (1-100)]]&lt;=100,"Very High")</f>
        <v>Medium</v>
      </c>
      <c r="H1118" t="s">
        <v>15</v>
      </c>
      <c r="I1118">
        <v>1</v>
      </c>
      <c r="J1118" t="str">
        <f>CONCATENATE(Table2[[#This Row],[Work Experience]],"years")</f>
        <v>1years</v>
      </c>
      <c r="K1118" t="str">
        <f>CONCATENATE(Table2[[#This Row],[Family Size2]],"members")</f>
        <v>3members</v>
      </c>
      <c r="L1118" t="str">
        <f>CONCATENATE(Table2[[#This Row],[Family Size2]],"members")</f>
        <v>3members</v>
      </c>
      <c r="M1118">
        <v>3</v>
      </c>
    </row>
    <row r="1119" spans="1:13">
      <c r="A1119">
        <v>1118</v>
      </c>
      <c r="B1119" t="s">
        <v>11</v>
      </c>
      <c r="C1119">
        <v>95</v>
      </c>
      <c r="D1119" t="str" cm="1">
        <f t="array" ref="D1119">_xlfn.IFS(Table2[[#This Row],[Age]]&lt;=11,"Gen A",Table2[[#This Row],[Age]]&lt;=27,"Gen Z",Table2[[#This Row],[Age]]&lt;=43,"Millenials",Table2[[#This Row],[Age]]&lt;=59,"Gen X",Table2[[#This Row],[Age]]&lt;=78,"Baby Boomers",Table2[[#This Row],[Age]]&lt;=96,"Silent",Table2[[#This Row],[Age]]&gt;=97,"Greatest")</f>
        <v>Silent</v>
      </c>
      <c r="E1119" s="1">
        <v>168663</v>
      </c>
      <c r="F1119">
        <v>16</v>
      </c>
      <c r="G1119" t="str" cm="1">
        <f t="array" ref="G1119">_xlfn.IFS(Table2[[#This Row],[Spending Score (1-100)]]&lt;=25,"Low",Table2[[#This Row],[Spending Score (1-100)]]&lt;=50,"Medium",Table2[[#This Row],[Spending Score (1-100)]]&lt;=75,"High",Table2[[#This Row],[Spending Score (1-100)]]&lt;=100,"Very High")</f>
        <v>Low</v>
      </c>
      <c r="H1119" t="s">
        <v>10</v>
      </c>
      <c r="I1119">
        <v>11</v>
      </c>
      <c r="J1119" t="str">
        <f>CONCATENATE(Table2[[#This Row],[Work Experience]],"years")</f>
        <v>11years</v>
      </c>
      <c r="K1119" t="str">
        <f>CONCATENATE(Table2[[#This Row],[Family Size2]],"members")</f>
        <v>5members</v>
      </c>
      <c r="L1119" t="str">
        <f>CONCATENATE(Table2[[#This Row],[Family Size2]],"members")</f>
        <v>5members</v>
      </c>
      <c r="M1119">
        <v>5</v>
      </c>
    </row>
    <row r="1120" spans="1:13">
      <c r="A1120">
        <v>1119</v>
      </c>
      <c r="B1120" t="s">
        <v>11</v>
      </c>
      <c r="C1120">
        <v>2</v>
      </c>
      <c r="D1120" t="str" cm="1">
        <f t="array" ref="D1120">_xlfn.IFS(Table2[[#This Row],[Age]]&lt;=11,"Gen A",Table2[[#This Row],[Age]]&lt;=27,"Gen Z",Table2[[#This Row],[Age]]&lt;=43,"Millenials",Table2[[#This Row],[Age]]&lt;=59,"Gen X",Table2[[#This Row],[Age]]&lt;=78,"Baby Boomers",Table2[[#This Row],[Age]]&lt;=96,"Silent",Table2[[#This Row],[Age]]&gt;=97,"Greatest")</f>
        <v>Gen A</v>
      </c>
      <c r="E1120" s="1">
        <v>105391</v>
      </c>
      <c r="F1120">
        <v>42</v>
      </c>
      <c r="G1120" t="str" cm="1">
        <f t="array" ref="G1120">_xlfn.IFS(Table2[[#This Row],[Spending Score (1-100)]]&lt;=25,"Low",Table2[[#This Row],[Spending Score (1-100)]]&lt;=50,"Medium",Table2[[#This Row],[Spending Score (1-100)]]&lt;=75,"High",Table2[[#This Row],[Spending Score (1-100)]]&lt;=100,"Very High")</f>
        <v>Medium</v>
      </c>
      <c r="H1120" t="s">
        <v>15</v>
      </c>
      <c r="I1120">
        <v>1</v>
      </c>
      <c r="J1120" t="str">
        <f>CONCATENATE(Table2[[#This Row],[Work Experience]],"years")</f>
        <v>1years</v>
      </c>
      <c r="K1120" t="str">
        <f>CONCATENATE(Table2[[#This Row],[Family Size2]],"members")</f>
        <v>7members</v>
      </c>
      <c r="L1120" t="str">
        <f>CONCATENATE(Table2[[#This Row],[Family Size2]],"members")</f>
        <v>7members</v>
      </c>
      <c r="M1120">
        <v>7</v>
      </c>
    </row>
    <row r="1121" spans="1:13">
      <c r="A1121">
        <v>1120</v>
      </c>
      <c r="B1121" t="s">
        <v>11</v>
      </c>
      <c r="C1121">
        <v>78</v>
      </c>
      <c r="D1121" t="str" cm="1">
        <f t="array" ref="D1121">_xlfn.IFS(Table2[[#This Row],[Age]]&lt;=11,"Gen A",Table2[[#This Row],[Age]]&lt;=27,"Gen Z",Table2[[#This Row],[Age]]&lt;=43,"Millenials",Table2[[#This Row],[Age]]&lt;=59,"Gen X",Table2[[#This Row],[Age]]&lt;=78,"Baby Boomers",Table2[[#This Row],[Age]]&lt;=96,"Silent",Table2[[#This Row],[Age]]&gt;=97,"Greatest")</f>
        <v>Baby Boomers</v>
      </c>
      <c r="E1121" s="1">
        <v>175179</v>
      </c>
      <c r="F1121">
        <v>43</v>
      </c>
      <c r="G1121" t="str" cm="1">
        <f t="array" ref="G1121">_xlfn.IFS(Table2[[#This Row],[Spending Score (1-100)]]&lt;=25,"Low",Table2[[#This Row],[Spending Score (1-100)]]&lt;=50,"Medium",Table2[[#This Row],[Spending Score (1-100)]]&lt;=75,"High",Table2[[#This Row],[Spending Score (1-100)]]&lt;=100,"Very High")</f>
        <v>Medium</v>
      </c>
      <c r="H1121" t="s">
        <v>15</v>
      </c>
      <c r="I1121">
        <v>9</v>
      </c>
      <c r="J1121" t="str">
        <f>CONCATENATE(Table2[[#This Row],[Work Experience]],"years")</f>
        <v>9years</v>
      </c>
      <c r="K1121" t="str">
        <f>CONCATENATE(Table2[[#This Row],[Family Size2]],"members")</f>
        <v>4members</v>
      </c>
      <c r="L1121" t="str">
        <f>CONCATENATE(Table2[[#This Row],[Family Size2]],"members")</f>
        <v>4members</v>
      </c>
      <c r="M1121">
        <v>4</v>
      </c>
    </row>
    <row r="1122" spans="1:13">
      <c r="A1122">
        <v>1121</v>
      </c>
      <c r="B1122" t="s">
        <v>11</v>
      </c>
      <c r="C1122">
        <v>54</v>
      </c>
      <c r="D1122" t="str" cm="1">
        <f t="array" ref="D1122">_xlfn.IFS(Table2[[#This Row],[Age]]&lt;=11,"Gen A",Table2[[#This Row],[Age]]&lt;=27,"Gen Z",Table2[[#This Row],[Age]]&lt;=43,"Millenials",Table2[[#This Row],[Age]]&lt;=59,"Gen X",Table2[[#This Row],[Age]]&lt;=78,"Baby Boomers",Table2[[#This Row],[Age]]&lt;=96,"Silent",Table2[[#This Row],[Age]]&gt;=97,"Greatest")</f>
        <v>Gen X</v>
      </c>
      <c r="E1122" s="1">
        <v>165019</v>
      </c>
      <c r="F1122">
        <v>12</v>
      </c>
      <c r="G1122" t="str" cm="1">
        <f t="array" ref="G1122">_xlfn.IFS(Table2[[#This Row],[Spending Score (1-100)]]&lt;=25,"Low",Table2[[#This Row],[Spending Score (1-100)]]&lt;=50,"Medium",Table2[[#This Row],[Spending Score (1-100)]]&lt;=75,"High",Table2[[#This Row],[Spending Score (1-100)]]&lt;=100,"Very High")</f>
        <v>Low</v>
      </c>
      <c r="H1122" t="s">
        <v>13</v>
      </c>
      <c r="I1122">
        <v>1</v>
      </c>
      <c r="J1122" t="str">
        <f>CONCATENATE(Table2[[#This Row],[Work Experience]],"years")</f>
        <v>1years</v>
      </c>
      <c r="K1122" t="str">
        <f>CONCATENATE(Table2[[#This Row],[Family Size2]],"members")</f>
        <v>2members</v>
      </c>
      <c r="L1122" t="str">
        <f>CONCATENATE(Table2[[#This Row],[Family Size2]],"members")</f>
        <v>2members</v>
      </c>
      <c r="M1122">
        <v>2</v>
      </c>
    </row>
    <row r="1123" spans="1:13">
      <c r="A1123">
        <v>1122</v>
      </c>
      <c r="B1123" t="s">
        <v>11</v>
      </c>
      <c r="C1123">
        <v>85</v>
      </c>
      <c r="D1123" t="str" cm="1">
        <f t="array" ref="D1123">_xlfn.IFS(Table2[[#This Row],[Age]]&lt;=11,"Gen A",Table2[[#This Row],[Age]]&lt;=27,"Gen Z",Table2[[#This Row],[Age]]&lt;=43,"Millenials",Table2[[#This Row],[Age]]&lt;=59,"Gen X",Table2[[#This Row],[Age]]&lt;=78,"Baby Boomers",Table2[[#This Row],[Age]]&lt;=96,"Silent",Table2[[#This Row],[Age]]&gt;=97,"Greatest")</f>
        <v>Silent</v>
      </c>
      <c r="E1123" s="1">
        <v>68212</v>
      </c>
      <c r="F1123">
        <v>26</v>
      </c>
      <c r="G1123" t="str" cm="1">
        <f t="array" ref="G1123">_xlfn.IFS(Table2[[#This Row],[Spending Score (1-100)]]&lt;=25,"Low",Table2[[#This Row],[Spending Score (1-100)]]&lt;=50,"Medium",Table2[[#This Row],[Spending Score (1-100)]]&lt;=75,"High",Table2[[#This Row],[Spending Score (1-100)]]&lt;=100,"Very High")</f>
        <v>Medium</v>
      </c>
      <c r="H1123" t="s">
        <v>9</v>
      </c>
      <c r="I1123">
        <v>7</v>
      </c>
      <c r="J1123" t="str">
        <f>CONCATENATE(Table2[[#This Row],[Work Experience]],"years")</f>
        <v>7years</v>
      </c>
      <c r="K1123" t="str">
        <f>CONCATENATE(Table2[[#This Row],[Family Size2]],"members")</f>
        <v>4members</v>
      </c>
      <c r="L1123" t="str">
        <f>CONCATENATE(Table2[[#This Row],[Family Size2]],"members")</f>
        <v>4members</v>
      </c>
      <c r="M1123">
        <v>4</v>
      </c>
    </row>
    <row r="1124" spans="1:13">
      <c r="A1124">
        <v>1123</v>
      </c>
      <c r="B1124" t="s">
        <v>8</v>
      </c>
      <c r="C1124">
        <v>13</v>
      </c>
      <c r="D1124" t="str" cm="1">
        <f t="array" ref="D1124">_xlfn.IFS(Table2[[#This Row],[Age]]&lt;=11,"Gen A",Table2[[#This Row],[Age]]&lt;=27,"Gen Z",Table2[[#This Row],[Age]]&lt;=43,"Millenials",Table2[[#This Row],[Age]]&lt;=59,"Gen X",Table2[[#This Row],[Age]]&lt;=78,"Baby Boomers",Table2[[#This Row],[Age]]&lt;=96,"Silent",Table2[[#This Row],[Age]]&gt;=97,"Greatest")</f>
        <v>Gen Z</v>
      </c>
      <c r="E1124" s="1">
        <v>64572</v>
      </c>
      <c r="F1124">
        <v>71</v>
      </c>
      <c r="G1124" t="str" cm="1">
        <f t="array" ref="G1124">_xlfn.IFS(Table2[[#This Row],[Spending Score (1-100)]]&lt;=25,"Low",Table2[[#This Row],[Spending Score (1-100)]]&lt;=50,"Medium",Table2[[#This Row],[Spending Score (1-100)]]&lt;=75,"High",Table2[[#This Row],[Spending Score (1-100)]]&lt;=100,"Very High")</f>
        <v>High</v>
      </c>
      <c r="H1124" t="s">
        <v>14</v>
      </c>
      <c r="I1124">
        <v>1</v>
      </c>
      <c r="J1124" t="str">
        <f>CONCATENATE(Table2[[#This Row],[Work Experience]],"years")</f>
        <v>1years</v>
      </c>
      <c r="K1124" t="str">
        <f>CONCATENATE(Table2[[#This Row],[Family Size2]],"members")</f>
        <v>2members</v>
      </c>
      <c r="L1124" t="str">
        <f>CONCATENATE(Table2[[#This Row],[Family Size2]],"members")</f>
        <v>2members</v>
      </c>
      <c r="M1124">
        <v>2</v>
      </c>
    </row>
    <row r="1125" spans="1:13">
      <c r="A1125">
        <v>1124</v>
      </c>
      <c r="B1125" t="s">
        <v>11</v>
      </c>
      <c r="C1125">
        <v>85</v>
      </c>
      <c r="D1125" t="str" cm="1">
        <f t="array" ref="D1125">_xlfn.IFS(Table2[[#This Row],[Age]]&lt;=11,"Gen A",Table2[[#This Row],[Age]]&lt;=27,"Gen Z",Table2[[#This Row],[Age]]&lt;=43,"Millenials",Table2[[#This Row],[Age]]&lt;=59,"Gen X",Table2[[#This Row],[Age]]&lt;=78,"Baby Boomers",Table2[[#This Row],[Age]]&lt;=96,"Silent",Table2[[#This Row],[Age]]&gt;=97,"Greatest")</f>
        <v>Silent</v>
      </c>
      <c r="E1125" s="1">
        <v>92591</v>
      </c>
      <c r="F1125">
        <v>99</v>
      </c>
      <c r="G1125" t="str" cm="1">
        <f t="array" ref="G1125">_xlfn.IFS(Table2[[#This Row],[Spending Score (1-100)]]&lt;=25,"Low",Table2[[#This Row],[Spending Score (1-100)]]&lt;=50,"Medium",Table2[[#This Row],[Spending Score (1-100)]]&lt;=75,"High",Table2[[#This Row],[Spending Score (1-100)]]&lt;=100,"Very High")</f>
        <v>Very High</v>
      </c>
      <c r="H1125" t="s">
        <v>14</v>
      </c>
      <c r="I1125">
        <v>8</v>
      </c>
      <c r="J1125" t="str">
        <f>CONCATENATE(Table2[[#This Row],[Work Experience]],"years")</f>
        <v>8years</v>
      </c>
      <c r="K1125" t="str">
        <f>CONCATENATE(Table2[[#This Row],[Family Size2]],"members")</f>
        <v>2members</v>
      </c>
      <c r="L1125" t="str">
        <f>CONCATENATE(Table2[[#This Row],[Family Size2]],"members")</f>
        <v>2members</v>
      </c>
      <c r="M1125">
        <v>2</v>
      </c>
    </row>
    <row r="1126" spans="1:13">
      <c r="A1126">
        <v>1125</v>
      </c>
      <c r="B1126" t="s">
        <v>11</v>
      </c>
      <c r="C1126">
        <v>41</v>
      </c>
      <c r="D1126" t="str" cm="1">
        <f t="array" ref="D1126">_xlfn.IFS(Table2[[#This Row],[Age]]&lt;=11,"Gen A",Table2[[#This Row],[Age]]&lt;=27,"Gen Z",Table2[[#This Row],[Age]]&lt;=43,"Millenials",Table2[[#This Row],[Age]]&lt;=59,"Gen X",Table2[[#This Row],[Age]]&lt;=78,"Baby Boomers",Table2[[#This Row],[Age]]&lt;=96,"Silent",Table2[[#This Row],[Age]]&gt;=97,"Greatest")</f>
        <v>Millenials</v>
      </c>
      <c r="E1126" s="1">
        <v>69730</v>
      </c>
      <c r="F1126">
        <v>97</v>
      </c>
      <c r="G1126" t="str" cm="1">
        <f t="array" ref="G1126">_xlfn.IFS(Table2[[#This Row],[Spending Score (1-100)]]&lt;=25,"Low",Table2[[#This Row],[Spending Score (1-100)]]&lt;=50,"Medium",Table2[[#This Row],[Spending Score (1-100)]]&lt;=75,"High",Table2[[#This Row],[Spending Score (1-100)]]&lt;=100,"Very High")</f>
        <v>Very High</v>
      </c>
      <c r="H1126" t="s">
        <v>14</v>
      </c>
      <c r="I1126">
        <v>1</v>
      </c>
      <c r="J1126" t="str">
        <f>CONCATENATE(Table2[[#This Row],[Work Experience]],"years")</f>
        <v>1years</v>
      </c>
      <c r="K1126" t="str">
        <f>CONCATENATE(Table2[[#This Row],[Family Size2]],"members")</f>
        <v>4members</v>
      </c>
      <c r="L1126" t="str">
        <f>CONCATENATE(Table2[[#This Row],[Family Size2]],"members")</f>
        <v>4members</v>
      </c>
      <c r="M1126">
        <v>4</v>
      </c>
    </row>
    <row r="1127" spans="1:13">
      <c r="A1127">
        <v>1126</v>
      </c>
      <c r="B1127" t="s">
        <v>11</v>
      </c>
      <c r="C1127">
        <v>25</v>
      </c>
      <c r="D1127" t="str" cm="1">
        <f t="array" ref="D1127">_xlfn.IFS(Table2[[#This Row],[Age]]&lt;=11,"Gen A",Table2[[#This Row],[Age]]&lt;=27,"Gen Z",Table2[[#This Row],[Age]]&lt;=43,"Millenials",Table2[[#This Row],[Age]]&lt;=59,"Gen X",Table2[[#This Row],[Age]]&lt;=78,"Baby Boomers",Table2[[#This Row],[Age]]&lt;=96,"Silent",Table2[[#This Row],[Age]]&gt;=97,"Greatest")</f>
        <v>Gen Z</v>
      </c>
      <c r="E1127" s="1">
        <v>156793</v>
      </c>
      <c r="F1127">
        <v>57</v>
      </c>
      <c r="G1127" t="str" cm="1">
        <f t="array" ref="G1127">_xlfn.IFS(Table2[[#This Row],[Spending Score (1-100)]]&lt;=25,"Low",Table2[[#This Row],[Spending Score (1-100)]]&lt;=50,"Medium",Table2[[#This Row],[Spending Score (1-100)]]&lt;=75,"High",Table2[[#This Row],[Spending Score (1-100)]]&lt;=100,"Very High")</f>
        <v>High</v>
      </c>
      <c r="H1127" t="s">
        <v>18</v>
      </c>
      <c r="I1127">
        <v>2</v>
      </c>
      <c r="J1127" t="str">
        <f>CONCATENATE(Table2[[#This Row],[Work Experience]],"years")</f>
        <v>2years</v>
      </c>
      <c r="K1127" t="str">
        <f>CONCATENATE(Table2[[#This Row],[Family Size2]],"members")</f>
        <v>4members</v>
      </c>
      <c r="L1127" t="str">
        <f>CONCATENATE(Table2[[#This Row],[Family Size2]],"members")</f>
        <v>4members</v>
      </c>
      <c r="M1127">
        <v>4</v>
      </c>
    </row>
    <row r="1128" spans="1:13">
      <c r="A1128">
        <v>1127</v>
      </c>
      <c r="B1128" t="s">
        <v>11</v>
      </c>
      <c r="C1128">
        <v>74</v>
      </c>
      <c r="D1128" t="str" cm="1">
        <f t="array" ref="D1128">_xlfn.IFS(Table2[[#This Row],[Age]]&lt;=11,"Gen A",Table2[[#This Row],[Age]]&lt;=27,"Gen Z",Table2[[#This Row],[Age]]&lt;=43,"Millenials",Table2[[#This Row],[Age]]&lt;=59,"Gen X",Table2[[#This Row],[Age]]&lt;=78,"Baby Boomers",Table2[[#This Row],[Age]]&lt;=96,"Silent",Table2[[#This Row],[Age]]&gt;=97,"Greatest")</f>
        <v>Baby Boomers</v>
      </c>
      <c r="E1128" s="1">
        <v>56848</v>
      </c>
      <c r="F1128">
        <v>41</v>
      </c>
      <c r="G1128" t="str" cm="1">
        <f t="array" ref="G1128">_xlfn.IFS(Table2[[#This Row],[Spending Score (1-100)]]&lt;=25,"Low",Table2[[#This Row],[Spending Score (1-100)]]&lt;=50,"Medium",Table2[[#This Row],[Spending Score (1-100)]]&lt;=75,"High",Table2[[#This Row],[Spending Score (1-100)]]&lt;=100,"Very High")</f>
        <v>Medium</v>
      </c>
      <c r="H1128" t="s">
        <v>14</v>
      </c>
      <c r="I1128">
        <v>5</v>
      </c>
      <c r="J1128" t="str">
        <f>CONCATENATE(Table2[[#This Row],[Work Experience]],"years")</f>
        <v>5years</v>
      </c>
      <c r="K1128" t="str">
        <f>CONCATENATE(Table2[[#This Row],[Family Size2]],"members")</f>
        <v>1members</v>
      </c>
      <c r="L1128" t="str">
        <f>CONCATENATE(Table2[[#This Row],[Family Size2]],"members")</f>
        <v>1members</v>
      </c>
      <c r="M1128">
        <v>1</v>
      </c>
    </row>
    <row r="1129" spans="1:13">
      <c r="A1129">
        <v>1128</v>
      </c>
      <c r="B1129" t="s">
        <v>8</v>
      </c>
      <c r="C1129">
        <v>8</v>
      </c>
      <c r="D1129" t="str" cm="1">
        <f t="array" ref="D1129">_xlfn.IFS(Table2[[#This Row],[Age]]&lt;=11,"Gen A",Table2[[#This Row],[Age]]&lt;=27,"Gen Z",Table2[[#This Row],[Age]]&lt;=43,"Millenials",Table2[[#This Row],[Age]]&lt;=59,"Gen X",Table2[[#This Row],[Age]]&lt;=78,"Baby Boomers",Table2[[#This Row],[Age]]&lt;=96,"Silent",Table2[[#This Row],[Age]]&gt;=97,"Greatest")</f>
        <v>Gen A</v>
      </c>
      <c r="E1129" s="1">
        <v>148450</v>
      </c>
      <c r="F1129">
        <v>55</v>
      </c>
      <c r="G1129" t="str" cm="1">
        <f t="array" ref="G1129">_xlfn.IFS(Table2[[#This Row],[Spending Score (1-100)]]&lt;=25,"Low",Table2[[#This Row],[Spending Score (1-100)]]&lt;=50,"Medium",Table2[[#This Row],[Spending Score (1-100)]]&lt;=75,"High",Table2[[#This Row],[Spending Score (1-100)]]&lt;=100,"Very High")</f>
        <v>High</v>
      </c>
      <c r="H1129" t="s">
        <v>9</v>
      </c>
      <c r="I1129">
        <v>0</v>
      </c>
      <c r="J1129" t="str">
        <f>CONCATENATE(Table2[[#This Row],[Work Experience]],"years")</f>
        <v>0years</v>
      </c>
      <c r="K1129" t="str">
        <f>CONCATENATE(Table2[[#This Row],[Family Size2]],"members")</f>
        <v>6members</v>
      </c>
      <c r="L1129" t="str">
        <f>CONCATENATE(Table2[[#This Row],[Family Size2]],"members")</f>
        <v>6members</v>
      </c>
      <c r="M1129">
        <v>6</v>
      </c>
    </row>
    <row r="1130" spans="1:13">
      <c r="A1130">
        <v>1129</v>
      </c>
      <c r="B1130" t="s">
        <v>8</v>
      </c>
      <c r="C1130">
        <v>62</v>
      </c>
      <c r="D1130" t="str" cm="1">
        <f t="array" ref="D1130">_xlfn.IFS(Table2[[#This Row],[Age]]&lt;=11,"Gen A",Table2[[#This Row],[Age]]&lt;=27,"Gen Z",Table2[[#This Row],[Age]]&lt;=43,"Millenials",Table2[[#This Row],[Age]]&lt;=59,"Gen X",Table2[[#This Row],[Age]]&lt;=78,"Baby Boomers",Table2[[#This Row],[Age]]&lt;=96,"Silent",Table2[[#This Row],[Age]]&gt;=97,"Greatest")</f>
        <v>Baby Boomers</v>
      </c>
      <c r="E1130" s="1">
        <v>150619</v>
      </c>
      <c r="F1130">
        <v>32</v>
      </c>
      <c r="G1130" t="str" cm="1">
        <f t="array" ref="G1130">_xlfn.IFS(Table2[[#This Row],[Spending Score (1-100)]]&lt;=25,"Low",Table2[[#This Row],[Spending Score (1-100)]]&lt;=50,"Medium",Table2[[#This Row],[Spending Score (1-100)]]&lt;=75,"High",Table2[[#This Row],[Spending Score (1-100)]]&lt;=100,"Very High")</f>
        <v>Medium</v>
      </c>
      <c r="H1130" t="s">
        <v>14</v>
      </c>
      <c r="I1130">
        <v>10</v>
      </c>
      <c r="J1130" t="str">
        <f>CONCATENATE(Table2[[#This Row],[Work Experience]],"years")</f>
        <v>10years</v>
      </c>
      <c r="K1130" t="str">
        <f>CONCATENATE(Table2[[#This Row],[Family Size2]],"members")</f>
        <v>6members</v>
      </c>
      <c r="L1130" t="str">
        <f>CONCATENATE(Table2[[#This Row],[Family Size2]],"members")</f>
        <v>6members</v>
      </c>
      <c r="M1130">
        <v>6</v>
      </c>
    </row>
    <row r="1131" spans="1:13">
      <c r="A1131">
        <v>1130</v>
      </c>
      <c r="B1131" t="s">
        <v>8</v>
      </c>
      <c r="C1131">
        <v>52</v>
      </c>
      <c r="D1131" t="str" cm="1">
        <f t="array" ref="D1131">_xlfn.IFS(Table2[[#This Row],[Age]]&lt;=11,"Gen A",Table2[[#This Row],[Age]]&lt;=27,"Gen Z",Table2[[#This Row],[Age]]&lt;=43,"Millenials",Table2[[#This Row],[Age]]&lt;=59,"Gen X",Table2[[#This Row],[Age]]&lt;=78,"Baby Boomers",Table2[[#This Row],[Age]]&lt;=96,"Silent",Table2[[#This Row],[Age]]&gt;=97,"Greatest")</f>
        <v>Gen X</v>
      </c>
      <c r="E1131" s="1">
        <v>100261</v>
      </c>
      <c r="F1131">
        <v>10</v>
      </c>
      <c r="G1131" t="str" cm="1">
        <f t="array" ref="G1131">_xlfn.IFS(Table2[[#This Row],[Spending Score (1-100)]]&lt;=25,"Low",Table2[[#This Row],[Spending Score (1-100)]]&lt;=50,"Medium",Table2[[#This Row],[Spending Score (1-100)]]&lt;=75,"High",Table2[[#This Row],[Spending Score (1-100)]]&lt;=100,"Very High")</f>
        <v>Low</v>
      </c>
      <c r="H1131" t="s">
        <v>14</v>
      </c>
      <c r="I1131">
        <v>1</v>
      </c>
      <c r="J1131" t="str">
        <f>CONCATENATE(Table2[[#This Row],[Work Experience]],"years")</f>
        <v>1years</v>
      </c>
      <c r="K1131" t="str">
        <f>CONCATENATE(Table2[[#This Row],[Family Size2]],"members")</f>
        <v>6members</v>
      </c>
      <c r="L1131" t="str">
        <f>CONCATENATE(Table2[[#This Row],[Family Size2]],"members")</f>
        <v>6members</v>
      </c>
      <c r="M1131">
        <v>6</v>
      </c>
    </row>
    <row r="1132" spans="1:13">
      <c r="A1132">
        <v>1131</v>
      </c>
      <c r="B1132" t="s">
        <v>11</v>
      </c>
      <c r="C1132">
        <v>36</v>
      </c>
      <c r="D1132" t="str" cm="1">
        <f t="array" ref="D1132">_xlfn.IFS(Table2[[#This Row],[Age]]&lt;=11,"Gen A",Table2[[#This Row],[Age]]&lt;=27,"Gen Z",Table2[[#This Row],[Age]]&lt;=43,"Millenials",Table2[[#This Row],[Age]]&lt;=59,"Gen X",Table2[[#This Row],[Age]]&lt;=78,"Baby Boomers",Table2[[#This Row],[Age]]&lt;=96,"Silent",Table2[[#This Row],[Age]]&gt;=97,"Greatest")</f>
        <v>Millenials</v>
      </c>
      <c r="E1132" s="1">
        <v>109895</v>
      </c>
      <c r="F1132">
        <v>56</v>
      </c>
      <c r="G1132" t="str" cm="1">
        <f t="array" ref="G1132">_xlfn.IFS(Table2[[#This Row],[Spending Score (1-100)]]&lt;=25,"Low",Table2[[#This Row],[Spending Score (1-100)]]&lt;=50,"Medium",Table2[[#This Row],[Spending Score (1-100)]]&lt;=75,"High",Table2[[#This Row],[Spending Score (1-100)]]&lt;=100,"Very High")</f>
        <v>High</v>
      </c>
      <c r="H1132" t="s">
        <v>9</v>
      </c>
      <c r="I1132">
        <v>5</v>
      </c>
      <c r="J1132" t="str">
        <f>CONCATENATE(Table2[[#This Row],[Work Experience]],"years")</f>
        <v>5years</v>
      </c>
      <c r="K1132" t="str">
        <f>CONCATENATE(Table2[[#This Row],[Family Size2]],"members")</f>
        <v>2members</v>
      </c>
      <c r="L1132" t="str">
        <f>CONCATENATE(Table2[[#This Row],[Family Size2]],"members")</f>
        <v>2members</v>
      </c>
      <c r="M1132">
        <v>2</v>
      </c>
    </row>
    <row r="1133" spans="1:13">
      <c r="A1133">
        <v>1132</v>
      </c>
      <c r="B1133" t="s">
        <v>8</v>
      </c>
      <c r="C1133">
        <v>11</v>
      </c>
      <c r="D1133" t="str" cm="1">
        <f t="array" ref="D1133">_xlfn.IFS(Table2[[#This Row],[Age]]&lt;=11,"Gen A",Table2[[#This Row],[Age]]&lt;=27,"Gen Z",Table2[[#This Row],[Age]]&lt;=43,"Millenials",Table2[[#This Row],[Age]]&lt;=59,"Gen X",Table2[[#This Row],[Age]]&lt;=78,"Baby Boomers",Table2[[#This Row],[Age]]&lt;=96,"Silent",Table2[[#This Row],[Age]]&gt;=97,"Greatest")</f>
        <v>Gen A</v>
      </c>
      <c r="E1133" s="1">
        <v>152684</v>
      </c>
      <c r="F1133">
        <v>24</v>
      </c>
      <c r="G1133" t="str" cm="1">
        <f t="array" ref="G1133">_xlfn.IFS(Table2[[#This Row],[Spending Score (1-100)]]&lt;=25,"Low",Table2[[#This Row],[Spending Score (1-100)]]&lt;=50,"Medium",Table2[[#This Row],[Spending Score (1-100)]]&lt;=75,"High",Table2[[#This Row],[Spending Score (1-100)]]&lt;=100,"Very High")</f>
        <v>Low</v>
      </c>
      <c r="H1133" t="s">
        <v>12</v>
      </c>
      <c r="I1133">
        <v>0</v>
      </c>
      <c r="J1133" t="str">
        <f>CONCATENATE(Table2[[#This Row],[Work Experience]],"years")</f>
        <v>0years</v>
      </c>
      <c r="K1133" t="str">
        <f>CONCATENATE(Table2[[#This Row],[Family Size2]],"members")</f>
        <v>3members</v>
      </c>
      <c r="L1133" t="str">
        <f>CONCATENATE(Table2[[#This Row],[Family Size2]],"members")</f>
        <v>3members</v>
      </c>
      <c r="M1133">
        <v>3</v>
      </c>
    </row>
    <row r="1134" spans="1:13">
      <c r="A1134">
        <v>1133</v>
      </c>
      <c r="B1134" t="s">
        <v>11</v>
      </c>
      <c r="C1134">
        <v>84</v>
      </c>
      <c r="D1134" t="str" cm="1">
        <f t="array" ref="D1134">_xlfn.IFS(Table2[[#This Row],[Age]]&lt;=11,"Gen A",Table2[[#This Row],[Age]]&lt;=27,"Gen Z",Table2[[#This Row],[Age]]&lt;=43,"Millenials",Table2[[#This Row],[Age]]&lt;=59,"Gen X",Table2[[#This Row],[Age]]&lt;=78,"Baby Boomers",Table2[[#This Row],[Age]]&lt;=96,"Silent",Table2[[#This Row],[Age]]&gt;=97,"Greatest")</f>
        <v>Silent</v>
      </c>
      <c r="E1134" s="1">
        <v>133765</v>
      </c>
      <c r="F1134">
        <v>83</v>
      </c>
      <c r="G1134" t="str" cm="1">
        <f t="array" ref="G1134">_xlfn.IFS(Table2[[#This Row],[Spending Score (1-100)]]&lt;=25,"Low",Table2[[#This Row],[Spending Score (1-100)]]&lt;=50,"Medium",Table2[[#This Row],[Spending Score (1-100)]]&lt;=75,"High",Table2[[#This Row],[Spending Score (1-100)]]&lt;=100,"Very High")</f>
        <v>Very High</v>
      </c>
      <c r="H1134" t="s">
        <v>14</v>
      </c>
      <c r="I1134">
        <v>1</v>
      </c>
      <c r="J1134" t="str">
        <f>CONCATENATE(Table2[[#This Row],[Work Experience]],"years")</f>
        <v>1years</v>
      </c>
      <c r="K1134" t="str">
        <f>CONCATENATE(Table2[[#This Row],[Family Size2]],"members")</f>
        <v>3members</v>
      </c>
      <c r="L1134" t="str">
        <f>CONCATENATE(Table2[[#This Row],[Family Size2]],"members")</f>
        <v>3members</v>
      </c>
      <c r="M1134">
        <v>3</v>
      </c>
    </row>
    <row r="1135" spans="1:13">
      <c r="A1135">
        <v>1134</v>
      </c>
      <c r="B1135" t="s">
        <v>11</v>
      </c>
      <c r="C1135">
        <v>99</v>
      </c>
      <c r="D1135" t="str" cm="1">
        <f t="array" ref="D1135">_xlfn.IFS(Table2[[#This Row],[Age]]&lt;=11,"Gen A",Table2[[#This Row],[Age]]&lt;=27,"Gen Z",Table2[[#This Row],[Age]]&lt;=43,"Millenials",Table2[[#This Row],[Age]]&lt;=59,"Gen X",Table2[[#This Row],[Age]]&lt;=78,"Baby Boomers",Table2[[#This Row],[Age]]&lt;=96,"Silent",Table2[[#This Row],[Age]]&gt;=97,"Greatest")</f>
        <v>Greatest</v>
      </c>
      <c r="E1135" s="1">
        <v>57677</v>
      </c>
      <c r="F1135">
        <v>99</v>
      </c>
      <c r="G1135" t="str" cm="1">
        <f t="array" ref="G1135">_xlfn.IFS(Table2[[#This Row],[Spending Score (1-100)]]&lt;=25,"Low",Table2[[#This Row],[Spending Score (1-100)]]&lt;=50,"Medium",Table2[[#This Row],[Spending Score (1-100)]]&lt;=75,"High",Table2[[#This Row],[Spending Score (1-100)]]&lt;=100,"Very High")</f>
        <v>Very High</v>
      </c>
      <c r="H1135" t="s">
        <v>12</v>
      </c>
      <c r="I1135">
        <v>0</v>
      </c>
      <c r="J1135" t="str">
        <f>CONCATENATE(Table2[[#This Row],[Work Experience]],"years")</f>
        <v>0years</v>
      </c>
      <c r="K1135" t="str">
        <f>CONCATENATE(Table2[[#This Row],[Family Size2]],"members")</f>
        <v>5members</v>
      </c>
      <c r="L1135" t="str">
        <f>CONCATENATE(Table2[[#This Row],[Family Size2]],"members")</f>
        <v>5members</v>
      </c>
      <c r="M1135">
        <v>5</v>
      </c>
    </row>
    <row r="1136" spans="1:13">
      <c r="A1136">
        <v>1135</v>
      </c>
      <c r="B1136" t="s">
        <v>11</v>
      </c>
      <c r="C1136">
        <v>51</v>
      </c>
      <c r="D1136" t="str" cm="1">
        <f t="array" ref="D1136">_xlfn.IFS(Table2[[#This Row],[Age]]&lt;=11,"Gen A",Table2[[#This Row],[Age]]&lt;=27,"Gen Z",Table2[[#This Row],[Age]]&lt;=43,"Millenials",Table2[[#This Row],[Age]]&lt;=59,"Gen X",Table2[[#This Row],[Age]]&lt;=78,"Baby Boomers",Table2[[#This Row],[Age]]&lt;=96,"Silent",Table2[[#This Row],[Age]]&gt;=97,"Greatest")</f>
        <v>Gen X</v>
      </c>
      <c r="E1136" s="1">
        <v>112358</v>
      </c>
      <c r="F1136">
        <v>27</v>
      </c>
      <c r="G1136" t="str" cm="1">
        <f t="array" ref="G1136">_xlfn.IFS(Table2[[#This Row],[Spending Score (1-100)]]&lt;=25,"Low",Table2[[#This Row],[Spending Score (1-100)]]&lt;=50,"Medium",Table2[[#This Row],[Spending Score (1-100)]]&lt;=75,"High",Table2[[#This Row],[Spending Score (1-100)]]&lt;=100,"Very High")</f>
        <v>Medium</v>
      </c>
      <c r="H1136" t="s">
        <v>14</v>
      </c>
      <c r="I1136">
        <v>0</v>
      </c>
      <c r="J1136" t="str">
        <f>CONCATENATE(Table2[[#This Row],[Work Experience]],"years")</f>
        <v>0years</v>
      </c>
      <c r="K1136" t="str">
        <f>CONCATENATE(Table2[[#This Row],[Family Size2]],"members")</f>
        <v>6members</v>
      </c>
      <c r="L1136" t="str">
        <f>CONCATENATE(Table2[[#This Row],[Family Size2]],"members")</f>
        <v>6members</v>
      </c>
      <c r="M1136">
        <v>6</v>
      </c>
    </row>
    <row r="1137" spans="1:13">
      <c r="A1137">
        <v>1136</v>
      </c>
      <c r="B1137" t="s">
        <v>11</v>
      </c>
      <c r="C1137">
        <v>57</v>
      </c>
      <c r="D1137" t="str" cm="1">
        <f t="array" ref="D1137">_xlfn.IFS(Table2[[#This Row],[Age]]&lt;=11,"Gen A",Table2[[#This Row],[Age]]&lt;=27,"Gen Z",Table2[[#This Row],[Age]]&lt;=43,"Millenials",Table2[[#This Row],[Age]]&lt;=59,"Gen X",Table2[[#This Row],[Age]]&lt;=78,"Baby Boomers",Table2[[#This Row],[Age]]&lt;=96,"Silent",Table2[[#This Row],[Age]]&gt;=97,"Greatest")</f>
        <v>Gen X</v>
      </c>
      <c r="E1137" s="1">
        <v>73845</v>
      </c>
      <c r="F1137">
        <v>52</v>
      </c>
      <c r="G1137" t="str" cm="1">
        <f t="array" ref="G1137">_xlfn.IFS(Table2[[#This Row],[Spending Score (1-100)]]&lt;=25,"Low",Table2[[#This Row],[Spending Score (1-100)]]&lt;=50,"Medium",Table2[[#This Row],[Spending Score (1-100)]]&lt;=75,"High",Table2[[#This Row],[Spending Score (1-100)]]&lt;=100,"Very High")</f>
        <v>High</v>
      </c>
      <c r="H1137" t="s">
        <v>14</v>
      </c>
      <c r="I1137">
        <v>1</v>
      </c>
      <c r="J1137" t="str">
        <f>CONCATENATE(Table2[[#This Row],[Work Experience]],"years")</f>
        <v>1years</v>
      </c>
      <c r="K1137" t="str">
        <f>CONCATENATE(Table2[[#This Row],[Family Size2]],"members")</f>
        <v>7members</v>
      </c>
      <c r="L1137" t="str">
        <f>CONCATENATE(Table2[[#This Row],[Family Size2]],"members")</f>
        <v>7members</v>
      </c>
      <c r="M1137">
        <v>7</v>
      </c>
    </row>
    <row r="1138" spans="1:13">
      <c r="A1138">
        <v>1137</v>
      </c>
      <c r="B1138" t="s">
        <v>8</v>
      </c>
      <c r="C1138">
        <v>92</v>
      </c>
      <c r="D1138" t="str" cm="1">
        <f t="array" ref="D1138">_xlfn.IFS(Table2[[#This Row],[Age]]&lt;=11,"Gen A",Table2[[#This Row],[Age]]&lt;=27,"Gen Z",Table2[[#This Row],[Age]]&lt;=43,"Millenials",Table2[[#This Row],[Age]]&lt;=59,"Gen X",Table2[[#This Row],[Age]]&lt;=78,"Baby Boomers",Table2[[#This Row],[Age]]&lt;=96,"Silent",Table2[[#This Row],[Age]]&gt;=97,"Greatest")</f>
        <v>Silent</v>
      </c>
      <c r="E1138" s="1">
        <v>89531</v>
      </c>
      <c r="F1138">
        <v>42</v>
      </c>
      <c r="G1138" t="str" cm="1">
        <f t="array" ref="G1138">_xlfn.IFS(Table2[[#This Row],[Spending Score (1-100)]]&lt;=25,"Low",Table2[[#This Row],[Spending Score (1-100)]]&lt;=50,"Medium",Table2[[#This Row],[Spending Score (1-100)]]&lt;=75,"High",Table2[[#This Row],[Spending Score (1-100)]]&lt;=100,"Very High")</f>
        <v>Medium</v>
      </c>
      <c r="H1138" t="s">
        <v>9</v>
      </c>
      <c r="I1138">
        <v>6</v>
      </c>
      <c r="J1138" t="str">
        <f>CONCATENATE(Table2[[#This Row],[Work Experience]],"years")</f>
        <v>6years</v>
      </c>
      <c r="K1138" t="str">
        <f>CONCATENATE(Table2[[#This Row],[Family Size2]],"members")</f>
        <v>2members</v>
      </c>
      <c r="L1138" t="str">
        <f>CONCATENATE(Table2[[#This Row],[Family Size2]],"members")</f>
        <v>2members</v>
      </c>
      <c r="M1138">
        <v>2</v>
      </c>
    </row>
    <row r="1139" spans="1:13">
      <c r="A1139">
        <v>1138</v>
      </c>
      <c r="B1139" t="s">
        <v>8</v>
      </c>
      <c r="C1139">
        <v>29</v>
      </c>
      <c r="D1139" t="str" cm="1">
        <f t="array" ref="D1139">_xlfn.IFS(Table2[[#This Row],[Age]]&lt;=11,"Gen A",Table2[[#This Row],[Age]]&lt;=27,"Gen Z",Table2[[#This Row],[Age]]&lt;=43,"Millenials",Table2[[#This Row],[Age]]&lt;=59,"Gen X",Table2[[#This Row],[Age]]&lt;=78,"Baby Boomers",Table2[[#This Row],[Age]]&lt;=96,"Silent",Table2[[#This Row],[Age]]&gt;=97,"Greatest")</f>
        <v>Millenials</v>
      </c>
      <c r="E1139" s="1">
        <v>118092</v>
      </c>
      <c r="F1139">
        <v>100</v>
      </c>
      <c r="G1139" t="str" cm="1">
        <f t="array" ref="G1139">_xlfn.IFS(Table2[[#This Row],[Spending Score (1-100)]]&lt;=25,"Low",Table2[[#This Row],[Spending Score (1-100)]]&lt;=50,"Medium",Table2[[#This Row],[Spending Score (1-100)]]&lt;=75,"High",Table2[[#This Row],[Spending Score (1-100)]]&lt;=100,"Very High")</f>
        <v>Very High</v>
      </c>
      <c r="H1139" t="s">
        <v>13</v>
      </c>
      <c r="I1139">
        <v>7</v>
      </c>
      <c r="J1139" t="str">
        <f>CONCATENATE(Table2[[#This Row],[Work Experience]],"years")</f>
        <v>7years</v>
      </c>
      <c r="K1139" t="str">
        <f>CONCATENATE(Table2[[#This Row],[Family Size2]],"members")</f>
        <v>3members</v>
      </c>
      <c r="L1139" t="str">
        <f>CONCATENATE(Table2[[#This Row],[Family Size2]],"members")</f>
        <v>3members</v>
      </c>
      <c r="M1139">
        <v>3</v>
      </c>
    </row>
    <row r="1140" spans="1:13">
      <c r="A1140">
        <v>1139</v>
      </c>
      <c r="B1140" t="s">
        <v>8</v>
      </c>
      <c r="C1140">
        <v>62</v>
      </c>
      <c r="D1140" t="str" cm="1">
        <f t="array" ref="D1140">_xlfn.IFS(Table2[[#This Row],[Age]]&lt;=11,"Gen A",Table2[[#This Row],[Age]]&lt;=27,"Gen Z",Table2[[#This Row],[Age]]&lt;=43,"Millenials",Table2[[#This Row],[Age]]&lt;=59,"Gen X",Table2[[#This Row],[Age]]&lt;=78,"Baby Boomers",Table2[[#This Row],[Age]]&lt;=96,"Silent",Table2[[#This Row],[Age]]&gt;=97,"Greatest")</f>
        <v>Baby Boomers</v>
      </c>
      <c r="E1140" s="1">
        <v>144242</v>
      </c>
      <c r="F1140">
        <v>49</v>
      </c>
      <c r="G1140" t="str" cm="1">
        <f t="array" ref="G1140">_xlfn.IFS(Table2[[#This Row],[Spending Score (1-100)]]&lt;=25,"Low",Table2[[#This Row],[Spending Score (1-100)]]&lt;=50,"Medium",Table2[[#This Row],[Spending Score (1-100)]]&lt;=75,"High",Table2[[#This Row],[Spending Score (1-100)]]&lt;=100,"Very High")</f>
        <v>Medium</v>
      </c>
      <c r="H1140" t="s">
        <v>13</v>
      </c>
      <c r="I1140">
        <v>1</v>
      </c>
      <c r="J1140" t="str">
        <f>CONCATENATE(Table2[[#This Row],[Work Experience]],"years")</f>
        <v>1years</v>
      </c>
      <c r="K1140" t="str">
        <f>CONCATENATE(Table2[[#This Row],[Family Size2]],"members")</f>
        <v>4members</v>
      </c>
      <c r="L1140" t="str">
        <f>CONCATENATE(Table2[[#This Row],[Family Size2]],"members")</f>
        <v>4members</v>
      </c>
      <c r="M1140">
        <v>4</v>
      </c>
    </row>
    <row r="1141" spans="1:13">
      <c r="A1141">
        <v>1140</v>
      </c>
      <c r="B1141" t="s">
        <v>11</v>
      </c>
      <c r="C1141">
        <v>43</v>
      </c>
      <c r="D1141" t="str" cm="1">
        <f t="array" ref="D1141">_xlfn.IFS(Table2[[#This Row],[Age]]&lt;=11,"Gen A",Table2[[#This Row],[Age]]&lt;=27,"Gen Z",Table2[[#This Row],[Age]]&lt;=43,"Millenials",Table2[[#This Row],[Age]]&lt;=59,"Gen X",Table2[[#This Row],[Age]]&lt;=78,"Baby Boomers",Table2[[#This Row],[Age]]&lt;=96,"Silent",Table2[[#This Row],[Age]]&gt;=97,"Greatest")</f>
        <v>Millenials</v>
      </c>
      <c r="E1141" s="1">
        <v>140876</v>
      </c>
      <c r="F1141">
        <v>90</v>
      </c>
      <c r="G1141" t="str" cm="1">
        <f t="array" ref="G1141">_xlfn.IFS(Table2[[#This Row],[Spending Score (1-100)]]&lt;=25,"Low",Table2[[#This Row],[Spending Score (1-100)]]&lt;=50,"Medium",Table2[[#This Row],[Spending Score (1-100)]]&lt;=75,"High",Table2[[#This Row],[Spending Score (1-100)]]&lt;=100,"Very High")</f>
        <v>Very High</v>
      </c>
      <c r="H1141" t="s">
        <v>13</v>
      </c>
      <c r="I1141">
        <v>0</v>
      </c>
      <c r="J1141" t="str">
        <f>CONCATENATE(Table2[[#This Row],[Work Experience]],"years")</f>
        <v>0years</v>
      </c>
      <c r="K1141" t="str">
        <f>CONCATENATE(Table2[[#This Row],[Family Size2]],"members")</f>
        <v>4members</v>
      </c>
      <c r="L1141" t="str">
        <f>CONCATENATE(Table2[[#This Row],[Family Size2]],"members")</f>
        <v>4members</v>
      </c>
      <c r="M1141">
        <v>4</v>
      </c>
    </row>
    <row r="1142" spans="1:13">
      <c r="A1142">
        <v>1141</v>
      </c>
      <c r="B1142" t="s">
        <v>8</v>
      </c>
      <c r="C1142">
        <v>72</v>
      </c>
      <c r="D1142" t="str" cm="1">
        <f t="array" ref="D1142">_xlfn.IFS(Table2[[#This Row],[Age]]&lt;=11,"Gen A",Table2[[#This Row],[Age]]&lt;=27,"Gen Z",Table2[[#This Row],[Age]]&lt;=43,"Millenials",Table2[[#This Row],[Age]]&lt;=59,"Gen X",Table2[[#This Row],[Age]]&lt;=78,"Baby Boomers",Table2[[#This Row],[Age]]&lt;=96,"Silent",Table2[[#This Row],[Age]]&gt;=97,"Greatest")</f>
        <v>Baby Boomers</v>
      </c>
      <c r="E1142" s="1">
        <v>76888</v>
      </c>
      <c r="F1142">
        <v>26</v>
      </c>
      <c r="G1142" t="str" cm="1">
        <f t="array" ref="G1142">_xlfn.IFS(Table2[[#This Row],[Spending Score (1-100)]]&lt;=25,"Low",Table2[[#This Row],[Spending Score (1-100)]]&lt;=50,"Medium",Table2[[#This Row],[Spending Score (1-100)]]&lt;=75,"High",Table2[[#This Row],[Spending Score (1-100)]]&lt;=100,"Very High")</f>
        <v>Medium</v>
      </c>
      <c r="H1142" t="s">
        <v>18</v>
      </c>
      <c r="I1142">
        <v>0</v>
      </c>
      <c r="J1142" t="str">
        <f>CONCATENATE(Table2[[#This Row],[Work Experience]],"years")</f>
        <v>0years</v>
      </c>
      <c r="K1142" t="str">
        <f>CONCATENATE(Table2[[#This Row],[Family Size2]],"members")</f>
        <v>1members</v>
      </c>
      <c r="L1142" t="str">
        <f>CONCATENATE(Table2[[#This Row],[Family Size2]],"members")</f>
        <v>1members</v>
      </c>
      <c r="M1142">
        <v>1</v>
      </c>
    </row>
    <row r="1143" spans="1:13">
      <c r="A1143">
        <v>1142</v>
      </c>
      <c r="B1143" t="s">
        <v>11</v>
      </c>
      <c r="C1143">
        <v>28</v>
      </c>
      <c r="D1143" t="str" cm="1">
        <f t="array" ref="D1143">_xlfn.IFS(Table2[[#This Row],[Age]]&lt;=11,"Gen A",Table2[[#This Row],[Age]]&lt;=27,"Gen Z",Table2[[#This Row],[Age]]&lt;=43,"Millenials",Table2[[#This Row],[Age]]&lt;=59,"Gen X",Table2[[#This Row],[Age]]&lt;=78,"Baby Boomers",Table2[[#This Row],[Age]]&lt;=96,"Silent",Table2[[#This Row],[Age]]&gt;=97,"Greatest")</f>
        <v>Millenials</v>
      </c>
      <c r="E1143" s="1">
        <v>116644</v>
      </c>
      <c r="F1143">
        <v>88</v>
      </c>
      <c r="G1143" t="str" cm="1">
        <f t="array" ref="G1143">_xlfn.IFS(Table2[[#This Row],[Spending Score (1-100)]]&lt;=25,"Low",Table2[[#This Row],[Spending Score (1-100)]]&lt;=50,"Medium",Table2[[#This Row],[Spending Score (1-100)]]&lt;=75,"High",Table2[[#This Row],[Spending Score (1-100)]]&lt;=100,"Very High")</f>
        <v>Very High</v>
      </c>
      <c r="H1143" t="s">
        <v>14</v>
      </c>
      <c r="I1143">
        <v>6</v>
      </c>
      <c r="J1143" t="str">
        <f>CONCATENATE(Table2[[#This Row],[Work Experience]],"years")</f>
        <v>6years</v>
      </c>
      <c r="K1143" t="str">
        <f>CONCATENATE(Table2[[#This Row],[Family Size2]],"members")</f>
        <v>3members</v>
      </c>
      <c r="L1143" t="str">
        <f>CONCATENATE(Table2[[#This Row],[Family Size2]],"members")</f>
        <v>3members</v>
      </c>
      <c r="M1143">
        <v>3</v>
      </c>
    </row>
    <row r="1144" spans="1:13">
      <c r="A1144">
        <v>1143</v>
      </c>
      <c r="B1144" t="s">
        <v>11</v>
      </c>
      <c r="C1144">
        <v>57</v>
      </c>
      <c r="D1144" t="str" cm="1">
        <f t="array" ref="D1144">_xlfn.IFS(Table2[[#This Row],[Age]]&lt;=11,"Gen A",Table2[[#This Row],[Age]]&lt;=27,"Gen Z",Table2[[#This Row],[Age]]&lt;=43,"Millenials",Table2[[#This Row],[Age]]&lt;=59,"Gen X",Table2[[#This Row],[Age]]&lt;=78,"Baby Boomers",Table2[[#This Row],[Age]]&lt;=96,"Silent",Table2[[#This Row],[Age]]&gt;=97,"Greatest")</f>
        <v>Gen X</v>
      </c>
      <c r="E1144" s="1">
        <v>143021</v>
      </c>
      <c r="F1144">
        <v>3</v>
      </c>
      <c r="G1144" t="str" cm="1">
        <f t="array" ref="G1144">_xlfn.IFS(Table2[[#This Row],[Spending Score (1-100)]]&lt;=25,"Low",Table2[[#This Row],[Spending Score (1-100)]]&lt;=50,"Medium",Table2[[#This Row],[Spending Score (1-100)]]&lt;=75,"High",Table2[[#This Row],[Spending Score (1-100)]]&lt;=100,"Very High")</f>
        <v>Low</v>
      </c>
      <c r="H1144" t="s">
        <v>15</v>
      </c>
      <c r="I1144">
        <v>5</v>
      </c>
      <c r="J1144" t="str">
        <f>CONCATENATE(Table2[[#This Row],[Work Experience]],"years")</f>
        <v>5years</v>
      </c>
      <c r="K1144" t="str">
        <f>CONCATENATE(Table2[[#This Row],[Family Size2]],"members")</f>
        <v>4members</v>
      </c>
      <c r="L1144" t="str">
        <f>CONCATENATE(Table2[[#This Row],[Family Size2]],"members")</f>
        <v>4members</v>
      </c>
      <c r="M1144">
        <v>4</v>
      </c>
    </row>
    <row r="1145" spans="1:13">
      <c r="A1145">
        <v>1144</v>
      </c>
      <c r="B1145" t="s">
        <v>11</v>
      </c>
      <c r="C1145">
        <v>86</v>
      </c>
      <c r="D1145" t="str" cm="1">
        <f t="array" ref="D1145">_xlfn.IFS(Table2[[#This Row],[Age]]&lt;=11,"Gen A",Table2[[#This Row],[Age]]&lt;=27,"Gen Z",Table2[[#This Row],[Age]]&lt;=43,"Millenials",Table2[[#This Row],[Age]]&lt;=59,"Gen X",Table2[[#This Row],[Age]]&lt;=78,"Baby Boomers",Table2[[#This Row],[Age]]&lt;=96,"Silent",Table2[[#This Row],[Age]]&gt;=97,"Greatest")</f>
        <v>Silent</v>
      </c>
      <c r="E1145" s="1">
        <v>145679</v>
      </c>
      <c r="F1145">
        <v>91</v>
      </c>
      <c r="G1145" t="str" cm="1">
        <f t="array" ref="G1145">_xlfn.IFS(Table2[[#This Row],[Spending Score (1-100)]]&lt;=25,"Low",Table2[[#This Row],[Spending Score (1-100)]]&lt;=50,"Medium",Table2[[#This Row],[Spending Score (1-100)]]&lt;=75,"High",Table2[[#This Row],[Spending Score (1-100)]]&lt;=100,"Very High")</f>
        <v>Very High</v>
      </c>
      <c r="H1145" t="s">
        <v>12</v>
      </c>
      <c r="I1145">
        <v>9</v>
      </c>
      <c r="J1145" t="str">
        <f>CONCATENATE(Table2[[#This Row],[Work Experience]],"years")</f>
        <v>9years</v>
      </c>
      <c r="K1145" t="str">
        <f>CONCATENATE(Table2[[#This Row],[Family Size2]],"members")</f>
        <v>6members</v>
      </c>
      <c r="L1145" t="str">
        <f>CONCATENATE(Table2[[#This Row],[Family Size2]],"members")</f>
        <v>6members</v>
      </c>
      <c r="M1145">
        <v>6</v>
      </c>
    </row>
    <row r="1146" spans="1:13">
      <c r="A1146">
        <v>1145</v>
      </c>
      <c r="B1146" t="s">
        <v>11</v>
      </c>
      <c r="C1146">
        <v>26</v>
      </c>
      <c r="D1146" t="str" cm="1">
        <f t="array" ref="D1146">_xlfn.IFS(Table2[[#This Row],[Age]]&lt;=11,"Gen A",Table2[[#This Row],[Age]]&lt;=27,"Gen Z",Table2[[#This Row],[Age]]&lt;=43,"Millenials",Table2[[#This Row],[Age]]&lt;=59,"Gen X",Table2[[#This Row],[Age]]&lt;=78,"Baby Boomers",Table2[[#This Row],[Age]]&lt;=96,"Silent",Table2[[#This Row],[Age]]&gt;=97,"Greatest")</f>
        <v>Gen Z</v>
      </c>
      <c r="E1146" s="1">
        <v>64398</v>
      </c>
      <c r="F1146">
        <v>7</v>
      </c>
      <c r="G1146" t="str" cm="1">
        <f t="array" ref="G1146">_xlfn.IFS(Table2[[#This Row],[Spending Score (1-100)]]&lt;=25,"Low",Table2[[#This Row],[Spending Score (1-100)]]&lt;=50,"Medium",Table2[[#This Row],[Spending Score (1-100)]]&lt;=75,"High",Table2[[#This Row],[Spending Score (1-100)]]&lt;=100,"Very High")</f>
        <v>Low</v>
      </c>
      <c r="H1146" t="s">
        <v>12</v>
      </c>
      <c r="I1146">
        <v>1</v>
      </c>
      <c r="J1146" t="str">
        <f>CONCATENATE(Table2[[#This Row],[Work Experience]],"years")</f>
        <v>1years</v>
      </c>
      <c r="K1146" t="str">
        <f>CONCATENATE(Table2[[#This Row],[Family Size2]],"members")</f>
        <v>6members</v>
      </c>
      <c r="L1146" t="str">
        <f>CONCATENATE(Table2[[#This Row],[Family Size2]],"members")</f>
        <v>6members</v>
      </c>
      <c r="M1146">
        <v>6</v>
      </c>
    </row>
    <row r="1147" spans="1:13">
      <c r="A1147">
        <v>1146</v>
      </c>
      <c r="B1147" t="s">
        <v>11</v>
      </c>
      <c r="C1147">
        <v>13</v>
      </c>
      <c r="D1147" t="str" cm="1">
        <f t="array" ref="D1147">_xlfn.IFS(Table2[[#This Row],[Age]]&lt;=11,"Gen A",Table2[[#This Row],[Age]]&lt;=27,"Gen Z",Table2[[#This Row],[Age]]&lt;=43,"Millenials",Table2[[#This Row],[Age]]&lt;=59,"Gen X",Table2[[#This Row],[Age]]&lt;=78,"Baby Boomers",Table2[[#This Row],[Age]]&lt;=96,"Silent",Table2[[#This Row],[Age]]&gt;=97,"Greatest")</f>
        <v>Gen Z</v>
      </c>
      <c r="E1147" s="1">
        <v>104512</v>
      </c>
      <c r="F1147">
        <v>40</v>
      </c>
      <c r="G1147" t="str" cm="1">
        <f t="array" ref="G1147">_xlfn.IFS(Table2[[#This Row],[Spending Score (1-100)]]&lt;=25,"Low",Table2[[#This Row],[Spending Score (1-100)]]&lt;=50,"Medium",Table2[[#This Row],[Spending Score (1-100)]]&lt;=75,"High",Table2[[#This Row],[Spending Score (1-100)]]&lt;=100,"Very High")</f>
        <v>Medium</v>
      </c>
      <c r="H1147" t="s">
        <v>18</v>
      </c>
      <c r="I1147">
        <v>9</v>
      </c>
      <c r="J1147" t="str">
        <f>CONCATENATE(Table2[[#This Row],[Work Experience]],"years")</f>
        <v>9years</v>
      </c>
      <c r="K1147" t="str">
        <f>CONCATENATE(Table2[[#This Row],[Family Size2]],"members")</f>
        <v>3members</v>
      </c>
      <c r="L1147" t="str">
        <f>CONCATENATE(Table2[[#This Row],[Family Size2]],"members")</f>
        <v>3members</v>
      </c>
      <c r="M1147">
        <v>3</v>
      </c>
    </row>
    <row r="1148" spans="1:13">
      <c r="A1148">
        <v>1147</v>
      </c>
      <c r="B1148" t="s">
        <v>8</v>
      </c>
      <c r="C1148">
        <v>1</v>
      </c>
      <c r="D1148" t="str" cm="1">
        <f t="array" ref="D1148">_xlfn.IFS(Table2[[#This Row],[Age]]&lt;=11,"Gen A",Table2[[#This Row],[Age]]&lt;=27,"Gen Z",Table2[[#This Row],[Age]]&lt;=43,"Millenials",Table2[[#This Row],[Age]]&lt;=59,"Gen X",Table2[[#This Row],[Age]]&lt;=78,"Baby Boomers",Table2[[#This Row],[Age]]&lt;=96,"Silent",Table2[[#This Row],[Age]]&gt;=97,"Greatest")</f>
        <v>Gen A</v>
      </c>
      <c r="E1148" s="1">
        <v>71564</v>
      </c>
      <c r="F1148">
        <v>68</v>
      </c>
      <c r="G1148" t="str" cm="1">
        <f t="array" ref="G1148">_xlfn.IFS(Table2[[#This Row],[Spending Score (1-100)]]&lt;=25,"Low",Table2[[#This Row],[Spending Score (1-100)]]&lt;=50,"Medium",Table2[[#This Row],[Spending Score (1-100)]]&lt;=75,"High",Table2[[#This Row],[Spending Score (1-100)]]&lt;=100,"Very High")</f>
        <v>High</v>
      </c>
      <c r="H1148" t="s">
        <v>14</v>
      </c>
      <c r="I1148">
        <v>1</v>
      </c>
      <c r="J1148" t="str">
        <f>CONCATENATE(Table2[[#This Row],[Work Experience]],"years")</f>
        <v>1years</v>
      </c>
      <c r="K1148" t="str">
        <f>CONCATENATE(Table2[[#This Row],[Family Size2]],"members")</f>
        <v>5members</v>
      </c>
      <c r="L1148" t="str">
        <f>CONCATENATE(Table2[[#This Row],[Family Size2]],"members")</f>
        <v>5members</v>
      </c>
      <c r="M1148">
        <v>5</v>
      </c>
    </row>
    <row r="1149" spans="1:13">
      <c r="A1149">
        <v>1148</v>
      </c>
      <c r="B1149" t="s">
        <v>11</v>
      </c>
      <c r="C1149">
        <v>89</v>
      </c>
      <c r="D1149" t="str" cm="1">
        <f t="array" ref="D1149">_xlfn.IFS(Table2[[#This Row],[Age]]&lt;=11,"Gen A",Table2[[#This Row],[Age]]&lt;=27,"Gen Z",Table2[[#This Row],[Age]]&lt;=43,"Millenials",Table2[[#This Row],[Age]]&lt;=59,"Gen X",Table2[[#This Row],[Age]]&lt;=78,"Baby Boomers",Table2[[#This Row],[Age]]&lt;=96,"Silent",Table2[[#This Row],[Age]]&gt;=97,"Greatest")</f>
        <v>Silent</v>
      </c>
      <c r="E1149" s="1">
        <v>122707</v>
      </c>
      <c r="F1149">
        <v>64</v>
      </c>
      <c r="G1149" t="str" cm="1">
        <f t="array" ref="G1149">_xlfn.IFS(Table2[[#This Row],[Spending Score (1-100)]]&lt;=25,"Low",Table2[[#This Row],[Spending Score (1-100)]]&lt;=50,"Medium",Table2[[#This Row],[Spending Score (1-100)]]&lt;=75,"High",Table2[[#This Row],[Spending Score (1-100)]]&lt;=100,"Very High")</f>
        <v>High</v>
      </c>
      <c r="H1149" t="s">
        <v>17</v>
      </c>
      <c r="I1149">
        <v>2</v>
      </c>
      <c r="J1149" t="str">
        <f>CONCATENATE(Table2[[#This Row],[Work Experience]],"years")</f>
        <v>2years</v>
      </c>
      <c r="K1149" t="str">
        <f>CONCATENATE(Table2[[#This Row],[Family Size2]],"members")</f>
        <v>3members</v>
      </c>
      <c r="L1149" t="str">
        <f>CONCATENATE(Table2[[#This Row],[Family Size2]],"members")</f>
        <v>3members</v>
      </c>
      <c r="M1149">
        <v>3</v>
      </c>
    </row>
    <row r="1150" spans="1:13">
      <c r="A1150">
        <v>1149</v>
      </c>
      <c r="B1150" t="s">
        <v>11</v>
      </c>
      <c r="C1150">
        <v>91</v>
      </c>
      <c r="D1150" t="str" cm="1">
        <f t="array" ref="D1150">_xlfn.IFS(Table2[[#This Row],[Age]]&lt;=11,"Gen A",Table2[[#This Row],[Age]]&lt;=27,"Gen Z",Table2[[#This Row],[Age]]&lt;=43,"Millenials",Table2[[#This Row],[Age]]&lt;=59,"Gen X",Table2[[#This Row],[Age]]&lt;=78,"Baby Boomers",Table2[[#This Row],[Age]]&lt;=96,"Silent",Table2[[#This Row],[Age]]&gt;=97,"Greatest")</f>
        <v>Silent</v>
      </c>
      <c r="E1150" s="1">
        <v>51733</v>
      </c>
      <c r="F1150">
        <v>96</v>
      </c>
      <c r="G1150" t="str" cm="1">
        <f t="array" ref="G1150">_xlfn.IFS(Table2[[#This Row],[Spending Score (1-100)]]&lt;=25,"Low",Table2[[#This Row],[Spending Score (1-100)]]&lt;=50,"Medium",Table2[[#This Row],[Spending Score (1-100)]]&lt;=75,"High",Table2[[#This Row],[Spending Score (1-100)]]&lt;=100,"Very High")</f>
        <v>Very High</v>
      </c>
      <c r="H1150" t="s">
        <v>9</v>
      </c>
      <c r="I1150">
        <v>0</v>
      </c>
      <c r="J1150" t="str">
        <f>CONCATENATE(Table2[[#This Row],[Work Experience]],"years")</f>
        <v>0years</v>
      </c>
      <c r="K1150" t="str">
        <f>CONCATENATE(Table2[[#This Row],[Family Size2]],"members")</f>
        <v>5members</v>
      </c>
      <c r="L1150" t="str">
        <f>CONCATENATE(Table2[[#This Row],[Family Size2]],"members")</f>
        <v>5members</v>
      </c>
      <c r="M1150">
        <v>5</v>
      </c>
    </row>
    <row r="1151" spans="1:13">
      <c r="A1151">
        <v>1150</v>
      </c>
      <c r="B1151" t="s">
        <v>11</v>
      </c>
      <c r="C1151">
        <v>67</v>
      </c>
      <c r="D1151" t="str" cm="1">
        <f t="array" ref="D1151">_xlfn.IFS(Table2[[#This Row],[Age]]&lt;=11,"Gen A",Table2[[#This Row],[Age]]&lt;=27,"Gen Z",Table2[[#This Row],[Age]]&lt;=43,"Millenials",Table2[[#This Row],[Age]]&lt;=59,"Gen X",Table2[[#This Row],[Age]]&lt;=78,"Baby Boomers",Table2[[#This Row],[Age]]&lt;=96,"Silent",Table2[[#This Row],[Age]]&gt;=97,"Greatest")</f>
        <v>Baby Boomers</v>
      </c>
      <c r="E1151" s="1">
        <v>138087</v>
      </c>
      <c r="F1151">
        <v>63</v>
      </c>
      <c r="G1151" t="str" cm="1">
        <f t="array" ref="G1151">_xlfn.IFS(Table2[[#This Row],[Spending Score (1-100)]]&lt;=25,"Low",Table2[[#This Row],[Spending Score (1-100)]]&lt;=50,"Medium",Table2[[#This Row],[Spending Score (1-100)]]&lt;=75,"High",Table2[[#This Row],[Spending Score (1-100)]]&lt;=100,"Very High")</f>
        <v>High</v>
      </c>
      <c r="H1151" t="s">
        <v>18</v>
      </c>
      <c r="I1151">
        <v>1</v>
      </c>
      <c r="J1151" t="str">
        <f>CONCATENATE(Table2[[#This Row],[Work Experience]],"years")</f>
        <v>1years</v>
      </c>
      <c r="K1151" t="str">
        <f>CONCATENATE(Table2[[#This Row],[Family Size2]],"members")</f>
        <v>7members</v>
      </c>
      <c r="L1151" t="str">
        <f>CONCATENATE(Table2[[#This Row],[Family Size2]],"members")</f>
        <v>7members</v>
      </c>
      <c r="M1151">
        <v>7</v>
      </c>
    </row>
    <row r="1152" spans="1:13">
      <c r="A1152">
        <v>1151</v>
      </c>
      <c r="B1152" t="s">
        <v>8</v>
      </c>
      <c r="C1152">
        <v>63</v>
      </c>
      <c r="D1152" t="str" cm="1">
        <f t="array" ref="D1152">_xlfn.IFS(Table2[[#This Row],[Age]]&lt;=11,"Gen A",Table2[[#This Row],[Age]]&lt;=27,"Gen Z",Table2[[#This Row],[Age]]&lt;=43,"Millenials",Table2[[#This Row],[Age]]&lt;=59,"Gen X",Table2[[#This Row],[Age]]&lt;=78,"Baby Boomers",Table2[[#This Row],[Age]]&lt;=96,"Silent",Table2[[#This Row],[Age]]&gt;=97,"Greatest")</f>
        <v>Baby Boomers</v>
      </c>
      <c r="E1152" s="1">
        <v>147278</v>
      </c>
      <c r="F1152">
        <v>51</v>
      </c>
      <c r="G1152" t="str" cm="1">
        <f t="array" ref="G1152">_xlfn.IFS(Table2[[#This Row],[Spending Score (1-100)]]&lt;=25,"Low",Table2[[#This Row],[Spending Score (1-100)]]&lt;=50,"Medium",Table2[[#This Row],[Spending Score (1-100)]]&lt;=75,"High",Table2[[#This Row],[Spending Score (1-100)]]&lt;=100,"Very High")</f>
        <v>High</v>
      </c>
      <c r="H1152" t="s">
        <v>12</v>
      </c>
      <c r="I1152">
        <v>0</v>
      </c>
      <c r="J1152" t="str">
        <f>CONCATENATE(Table2[[#This Row],[Work Experience]],"years")</f>
        <v>0years</v>
      </c>
      <c r="K1152" t="str">
        <f>CONCATENATE(Table2[[#This Row],[Family Size2]],"members")</f>
        <v>4members</v>
      </c>
      <c r="L1152" t="str">
        <f>CONCATENATE(Table2[[#This Row],[Family Size2]],"members")</f>
        <v>4members</v>
      </c>
      <c r="M1152">
        <v>4</v>
      </c>
    </row>
    <row r="1153" spans="1:13">
      <c r="A1153">
        <v>1152</v>
      </c>
      <c r="B1153" t="s">
        <v>11</v>
      </c>
      <c r="C1153">
        <v>90</v>
      </c>
      <c r="D1153" t="str" cm="1">
        <f t="array" ref="D1153">_xlfn.IFS(Table2[[#This Row],[Age]]&lt;=11,"Gen A",Table2[[#This Row],[Age]]&lt;=27,"Gen Z",Table2[[#This Row],[Age]]&lt;=43,"Millenials",Table2[[#This Row],[Age]]&lt;=59,"Gen X",Table2[[#This Row],[Age]]&lt;=78,"Baby Boomers",Table2[[#This Row],[Age]]&lt;=96,"Silent",Table2[[#This Row],[Age]]&gt;=97,"Greatest")</f>
        <v>Silent</v>
      </c>
      <c r="E1153" s="1">
        <v>187339</v>
      </c>
      <c r="F1153">
        <v>62</v>
      </c>
      <c r="G1153" t="str" cm="1">
        <f t="array" ref="G1153">_xlfn.IFS(Table2[[#This Row],[Spending Score (1-100)]]&lt;=25,"Low",Table2[[#This Row],[Spending Score (1-100)]]&lt;=50,"Medium",Table2[[#This Row],[Spending Score (1-100)]]&lt;=75,"High",Table2[[#This Row],[Spending Score (1-100)]]&lt;=100,"Very High")</f>
        <v>High</v>
      </c>
      <c r="H1153" t="s">
        <v>9</v>
      </c>
      <c r="I1153">
        <v>0</v>
      </c>
      <c r="J1153" t="str">
        <f>CONCATENATE(Table2[[#This Row],[Work Experience]],"years")</f>
        <v>0years</v>
      </c>
      <c r="K1153" t="str">
        <f>CONCATENATE(Table2[[#This Row],[Family Size2]],"members")</f>
        <v>6members</v>
      </c>
      <c r="L1153" t="str">
        <f>CONCATENATE(Table2[[#This Row],[Family Size2]],"members")</f>
        <v>6members</v>
      </c>
      <c r="M1153">
        <v>6</v>
      </c>
    </row>
    <row r="1154" spans="1:13">
      <c r="A1154">
        <v>1153</v>
      </c>
      <c r="B1154" t="s">
        <v>11</v>
      </c>
      <c r="C1154">
        <v>87</v>
      </c>
      <c r="D1154" t="str" cm="1">
        <f t="array" ref="D1154">_xlfn.IFS(Table2[[#This Row],[Age]]&lt;=11,"Gen A",Table2[[#This Row],[Age]]&lt;=27,"Gen Z",Table2[[#This Row],[Age]]&lt;=43,"Millenials",Table2[[#This Row],[Age]]&lt;=59,"Gen X",Table2[[#This Row],[Age]]&lt;=78,"Baby Boomers",Table2[[#This Row],[Age]]&lt;=96,"Silent",Table2[[#This Row],[Age]]&gt;=97,"Greatest")</f>
        <v>Silent</v>
      </c>
      <c r="E1154" s="1">
        <v>129972</v>
      </c>
      <c r="F1154">
        <v>97</v>
      </c>
      <c r="G1154" t="str" cm="1">
        <f t="array" ref="G1154">_xlfn.IFS(Table2[[#This Row],[Spending Score (1-100)]]&lt;=25,"Low",Table2[[#This Row],[Spending Score (1-100)]]&lt;=50,"Medium",Table2[[#This Row],[Spending Score (1-100)]]&lt;=75,"High",Table2[[#This Row],[Spending Score (1-100)]]&lt;=100,"Very High")</f>
        <v>Very High</v>
      </c>
      <c r="H1154" t="s">
        <v>15</v>
      </c>
      <c r="I1154">
        <v>1</v>
      </c>
      <c r="J1154" t="str">
        <f>CONCATENATE(Table2[[#This Row],[Work Experience]],"years")</f>
        <v>1years</v>
      </c>
      <c r="K1154" t="str">
        <f>CONCATENATE(Table2[[#This Row],[Family Size2]],"members")</f>
        <v>6members</v>
      </c>
      <c r="L1154" t="str">
        <f>CONCATENATE(Table2[[#This Row],[Family Size2]],"members")</f>
        <v>6members</v>
      </c>
      <c r="M1154">
        <v>6</v>
      </c>
    </row>
    <row r="1155" spans="1:13">
      <c r="A1155">
        <v>1154</v>
      </c>
      <c r="B1155" t="s">
        <v>11</v>
      </c>
      <c r="C1155">
        <v>89</v>
      </c>
      <c r="D1155" t="str" cm="1">
        <f t="array" ref="D1155">_xlfn.IFS(Table2[[#This Row],[Age]]&lt;=11,"Gen A",Table2[[#This Row],[Age]]&lt;=27,"Gen Z",Table2[[#This Row],[Age]]&lt;=43,"Millenials",Table2[[#This Row],[Age]]&lt;=59,"Gen X",Table2[[#This Row],[Age]]&lt;=78,"Baby Boomers",Table2[[#This Row],[Age]]&lt;=96,"Silent",Table2[[#This Row],[Age]]&gt;=97,"Greatest")</f>
        <v>Silent</v>
      </c>
      <c r="E1155" s="1">
        <v>151176</v>
      </c>
      <c r="F1155">
        <v>55</v>
      </c>
      <c r="G1155" t="str" cm="1">
        <f t="array" ref="G1155">_xlfn.IFS(Table2[[#This Row],[Spending Score (1-100)]]&lt;=25,"Low",Table2[[#This Row],[Spending Score (1-100)]]&lt;=50,"Medium",Table2[[#This Row],[Spending Score (1-100)]]&lt;=75,"High",Table2[[#This Row],[Spending Score (1-100)]]&lt;=100,"Very High")</f>
        <v>High</v>
      </c>
      <c r="H1155" t="s">
        <v>9</v>
      </c>
      <c r="I1155">
        <v>1</v>
      </c>
      <c r="J1155" t="str">
        <f>CONCATENATE(Table2[[#This Row],[Work Experience]],"years")</f>
        <v>1years</v>
      </c>
      <c r="K1155" t="str">
        <f>CONCATENATE(Table2[[#This Row],[Family Size2]],"members")</f>
        <v>2members</v>
      </c>
      <c r="L1155" t="str">
        <f>CONCATENATE(Table2[[#This Row],[Family Size2]],"members")</f>
        <v>2members</v>
      </c>
      <c r="M1155">
        <v>2</v>
      </c>
    </row>
    <row r="1156" spans="1:13">
      <c r="A1156">
        <v>1155</v>
      </c>
      <c r="B1156" t="s">
        <v>11</v>
      </c>
      <c r="C1156">
        <v>34</v>
      </c>
      <c r="D1156" t="str" cm="1">
        <f t="array" ref="D1156">_xlfn.IFS(Table2[[#This Row],[Age]]&lt;=11,"Gen A",Table2[[#This Row],[Age]]&lt;=27,"Gen Z",Table2[[#This Row],[Age]]&lt;=43,"Millenials",Table2[[#This Row],[Age]]&lt;=59,"Gen X",Table2[[#This Row],[Age]]&lt;=78,"Baby Boomers",Table2[[#This Row],[Age]]&lt;=96,"Silent",Table2[[#This Row],[Age]]&gt;=97,"Greatest")</f>
        <v>Millenials</v>
      </c>
      <c r="E1156" s="1">
        <v>74358</v>
      </c>
      <c r="F1156">
        <v>60</v>
      </c>
      <c r="G1156" t="str" cm="1">
        <f t="array" ref="G1156">_xlfn.IFS(Table2[[#This Row],[Spending Score (1-100)]]&lt;=25,"Low",Table2[[#This Row],[Spending Score (1-100)]]&lt;=50,"Medium",Table2[[#This Row],[Spending Score (1-100)]]&lt;=75,"High",Table2[[#This Row],[Spending Score (1-100)]]&lt;=100,"Very High")</f>
        <v>High</v>
      </c>
      <c r="H1156" t="s">
        <v>14</v>
      </c>
      <c r="I1156">
        <v>0</v>
      </c>
      <c r="J1156" t="str">
        <f>CONCATENATE(Table2[[#This Row],[Work Experience]],"years")</f>
        <v>0years</v>
      </c>
      <c r="K1156" t="str">
        <f>CONCATENATE(Table2[[#This Row],[Family Size2]],"members")</f>
        <v>6members</v>
      </c>
      <c r="L1156" t="str">
        <f>CONCATENATE(Table2[[#This Row],[Family Size2]],"members")</f>
        <v>6members</v>
      </c>
      <c r="M1156">
        <v>6</v>
      </c>
    </row>
    <row r="1157" spans="1:13">
      <c r="A1157">
        <v>1156</v>
      </c>
      <c r="B1157" t="s">
        <v>8</v>
      </c>
      <c r="C1157">
        <v>89</v>
      </c>
      <c r="D1157" t="str" cm="1">
        <f t="array" ref="D1157">_xlfn.IFS(Table2[[#This Row],[Age]]&lt;=11,"Gen A",Table2[[#This Row],[Age]]&lt;=27,"Gen Z",Table2[[#This Row],[Age]]&lt;=43,"Millenials",Table2[[#This Row],[Age]]&lt;=59,"Gen X",Table2[[#This Row],[Age]]&lt;=78,"Baby Boomers",Table2[[#This Row],[Age]]&lt;=96,"Silent",Table2[[#This Row],[Age]]&gt;=97,"Greatest")</f>
        <v>Silent</v>
      </c>
      <c r="E1157" s="1">
        <v>83953</v>
      </c>
      <c r="F1157">
        <v>82</v>
      </c>
      <c r="G1157" t="str" cm="1">
        <f t="array" ref="G1157">_xlfn.IFS(Table2[[#This Row],[Spending Score (1-100)]]&lt;=25,"Low",Table2[[#This Row],[Spending Score (1-100)]]&lt;=50,"Medium",Table2[[#This Row],[Spending Score (1-100)]]&lt;=75,"High",Table2[[#This Row],[Spending Score (1-100)]]&lt;=100,"Very High")</f>
        <v>Very High</v>
      </c>
      <c r="H1157" t="s">
        <v>9</v>
      </c>
      <c r="I1157">
        <v>0</v>
      </c>
      <c r="J1157" t="str">
        <f>CONCATENATE(Table2[[#This Row],[Work Experience]],"years")</f>
        <v>0years</v>
      </c>
      <c r="K1157" t="str">
        <f>CONCATENATE(Table2[[#This Row],[Family Size2]],"members")</f>
        <v>3members</v>
      </c>
      <c r="L1157" t="str">
        <f>CONCATENATE(Table2[[#This Row],[Family Size2]],"members")</f>
        <v>3members</v>
      </c>
      <c r="M1157">
        <v>3</v>
      </c>
    </row>
    <row r="1158" spans="1:13">
      <c r="A1158">
        <v>1157</v>
      </c>
      <c r="B1158" t="s">
        <v>8</v>
      </c>
      <c r="C1158">
        <v>31</v>
      </c>
      <c r="D1158" t="str" cm="1">
        <f t="array" ref="D1158">_xlfn.IFS(Table2[[#This Row],[Age]]&lt;=11,"Gen A",Table2[[#This Row],[Age]]&lt;=27,"Gen Z",Table2[[#This Row],[Age]]&lt;=43,"Millenials",Table2[[#This Row],[Age]]&lt;=59,"Gen X",Table2[[#This Row],[Age]]&lt;=78,"Baby Boomers",Table2[[#This Row],[Age]]&lt;=96,"Silent",Table2[[#This Row],[Age]]&gt;=97,"Greatest")</f>
        <v>Millenials</v>
      </c>
      <c r="E1158" s="1">
        <v>62925</v>
      </c>
      <c r="F1158">
        <v>24</v>
      </c>
      <c r="G1158" t="str" cm="1">
        <f t="array" ref="G1158">_xlfn.IFS(Table2[[#This Row],[Spending Score (1-100)]]&lt;=25,"Low",Table2[[#This Row],[Spending Score (1-100)]]&lt;=50,"Medium",Table2[[#This Row],[Spending Score (1-100)]]&lt;=75,"High",Table2[[#This Row],[Spending Score (1-100)]]&lt;=100,"Very High")</f>
        <v>Low</v>
      </c>
      <c r="H1158" t="s">
        <v>10</v>
      </c>
      <c r="I1158">
        <v>1</v>
      </c>
      <c r="J1158" t="str">
        <f>CONCATENATE(Table2[[#This Row],[Work Experience]],"years")</f>
        <v>1years</v>
      </c>
      <c r="K1158" t="str">
        <f>CONCATENATE(Table2[[#This Row],[Family Size2]],"members")</f>
        <v>6members</v>
      </c>
      <c r="L1158" t="str">
        <f>CONCATENATE(Table2[[#This Row],[Family Size2]],"members")</f>
        <v>6members</v>
      </c>
      <c r="M1158">
        <v>6</v>
      </c>
    </row>
    <row r="1159" spans="1:13">
      <c r="A1159">
        <v>1158</v>
      </c>
      <c r="B1159" t="s">
        <v>8</v>
      </c>
      <c r="C1159">
        <v>55</v>
      </c>
      <c r="D1159" t="str" cm="1">
        <f t="array" ref="D1159">_xlfn.IFS(Table2[[#This Row],[Age]]&lt;=11,"Gen A",Table2[[#This Row],[Age]]&lt;=27,"Gen Z",Table2[[#This Row],[Age]]&lt;=43,"Millenials",Table2[[#This Row],[Age]]&lt;=59,"Gen X",Table2[[#This Row],[Age]]&lt;=78,"Baby Boomers",Table2[[#This Row],[Age]]&lt;=96,"Silent",Table2[[#This Row],[Age]]&gt;=97,"Greatest")</f>
        <v>Gen X</v>
      </c>
      <c r="E1159" s="1">
        <v>65257</v>
      </c>
      <c r="F1159">
        <v>93</v>
      </c>
      <c r="G1159" t="str" cm="1">
        <f t="array" ref="G1159">_xlfn.IFS(Table2[[#This Row],[Spending Score (1-100)]]&lt;=25,"Low",Table2[[#This Row],[Spending Score (1-100)]]&lt;=50,"Medium",Table2[[#This Row],[Spending Score (1-100)]]&lt;=75,"High",Table2[[#This Row],[Spending Score (1-100)]]&lt;=100,"Very High")</f>
        <v>Very High</v>
      </c>
      <c r="H1159" t="s">
        <v>16</v>
      </c>
      <c r="I1159">
        <v>2</v>
      </c>
      <c r="J1159" t="str">
        <f>CONCATENATE(Table2[[#This Row],[Work Experience]],"years")</f>
        <v>2years</v>
      </c>
      <c r="K1159" t="str">
        <f>CONCATENATE(Table2[[#This Row],[Family Size2]],"members")</f>
        <v>3members</v>
      </c>
      <c r="L1159" t="str">
        <f>CONCATENATE(Table2[[#This Row],[Family Size2]],"members")</f>
        <v>3members</v>
      </c>
      <c r="M1159">
        <v>3</v>
      </c>
    </row>
    <row r="1160" spans="1:13">
      <c r="A1160">
        <v>1159</v>
      </c>
      <c r="B1160" t="s">
        <v>11</v>
      </c>
      <c r="C1160">
        <v>3</v>
      </c>
      <c r="D1160" t="str" cm="1">
        <f t="array" ref="D1160">_xlfn.IFS(Table2[[#This Row],[Age]]&lt;=11,"Gen A",Table2[[#This Row],[Age]]&lt;=27,"Gen Z",Table2[[#This Row],[Age]]&lt;=43,"Millenials",Table2[[#This Row],[Age]]&lt;=59,"Gen X",Table2[[#This Row],[Age]]&lt;=78,"Baby Boomers",Table2[[#This Row],[Age]]&lt;=96,"Silent",Table2[[#This Row],[Age]]&gt;=97,"Greatest")</f>
        <v>Gen A</v>
      </c>
      <c r="E1160" s="1">
        <v>188557</v>
      </c>
      <c r="F1160">
        <v>4</v>
      </c>
      <c r="G1160" t="str" cm="1">
        <f t="array" ref="G1160">_xlfn.IFS(Table2[[#This Row],[Spending Score (1-100)]]&lt;=25,"Low",Table2[[#This Row],[Spending Score (1-100)]]&lt;=50,"Medium",Table2[[#This Row],[Spending Score (1-100)]]&lt;=75,"High",Table2[[#This Row],[Spending Score (1-100)]]&lt;=100,"Very High")</f>
        <v>Low</v>
      </c>
      <c r="H1160" t="s">
        <v>9</v>
      </c>
      <c r="I1160">
        <v>9</v>
      </c>
      <c r="J1160" t="str">
        <f>CONCATENATE(Table2[[#This Row],[Work Experience]],"years")</f>
        <v>9years</v>
      </c>
      <c r="K1160" t="str">
        <f>CONCATENATE(Table2[[#This Row],[Family Size2]],"members")</f>
        <v>2members</v>
      </c>
      <c r="L1160" t="str">
        <f>CONCATENATE(Table2[[#This Row],[Family Size2]],"members")</f>
        <v>2members</v>
      </c>
      <c r="M1160">
        <v>2</v>
      </c>
    </row>
    <row r="1161" spans="1:13">
      <c r="A1161">
        <v>1160</v>
      </c>
      <c r="B1161" t="s">
        <v>8</v>
      </c>
      <c r="C1161">
        <v>64</v>
      </c>
      <c r="D1161" t="str" cm="1">
        <f t="array" ref="D1161">_xlfn.IFS(Table2[[#This Row],[Age]]&lt;=11,"Gen A",Table2[[#This Row],[Age]]&lt;=27,"Gen Z",Table2[[#This Row],[Age]]&lt;=43,"Millenials",Table2[[#This Row],[Age]]&lt;=59,"Gen X",Table2[[#This Row],[Age]]&lt;=78,"Baby Boomers",Table2[[#This Row],[Age]]&lt;=96,"Silent",Table2[[#This Row],[Age]]&gt;=97,"Greatest")</f>
        <v>Baby Boomers</v>
      </c>
      <c r="E1161" s="1">
        <v>163783</v>
      </c>
      <c r="F1161">
        <v>84</v>
      </c>
      <c r="G1161" t="str" cm="1">
        <f t="array" ref="G1161">_xlfn.IFS(Table2[[#This Row],[Spending Score (1-100)]]&lt;=25,"Low",Table2[[#This Row],[Spending Score (1-100)]]&lt;=50,"Medium",Table2[[#This Row],[Spending Score (1-100)]]&lt;=75,"High",Table2[[#This Row],[Spending Score (1-100)]]&lt;=100,"Very High")</f>
        <v>Very High</v>
      </c>
      <c r="H1161" t="s">
        <v>9</v>
      </c>
      <c r="I1161">
        <v>3</v>
      </c>
      <c r="J1161" t="str">
        <f>CONCATENATE(Table2[[#This Row],[Work Experience]],"years")</f>
        <v>3years</v>
      </c>
      <c r="K1161" t="str">
        <f>CONCATENATE(Table2[[#This Row],[Family Size2]],"members")</f>
        <v>1members</v>
      </c>
      <c r="L1161" t="str">
        <f>CONCATENATE(Table2[[#This Row],[Family Size2]],"members")</f>
        <v>1members</v>
      </c>
      <c r="M1161">
        <v>1</v>
      </c>
    </row>
    <row r="1162" spans="1:13">
      <c r="A1162">
        <v>1161</v>
      </c>
      <c r="B1162" t="s">
        <v>11</v>
      </c>
      <c r="C1162">
        <v>1</v>
      </c>
      <c r="D1162" t="str" cm="1">
        <f t="array" ref="D1162">_xlfn.IFS(Table2[[#This Row],[Age]]&lt;=11,"Gen A",Table2[[#This Row],[Age]]&lt;=27,"Gen Z",Table2[[#This Row],[Age]]&lt;=43,"Millenials",Table2[[#This Row],[Age]]&lt;=59,"Gen X",Table2[[#This Row],[Age]]&lt;=78,"Baby Boomers",Table2[[#This Row],[Age]]&lt;=96,"Silent",Table2[[#This Row],[Age]]&gt;=97,"Greatest")</f>
        <v>Gen A</v>
      </c>
      <c r="E1162" s="1">
        <v>108342</v>
      </c>
      <c r="F1162">
        <v>97</v>
      </c>
      <c r="G1162" t="str" cm="1">
        <f t="array" ref="G1162">_xlfn.IFS(Table2[[#This Row],[Spending Score (1-100)]]&lt;=25,"Low",Table2[[#This Row],[Spending Score (1-100)]]&lt;=50,"Medium",Table2[[#This Row],[Spending Score (1-100)]]&lt;=75,"High",Table2[[#This Row],[Spending Score (1-100)]]&lt;=100,"Very High")</f>
        <v>Very High</v>
      </c>
      <c r="H1162" t="s">
        <v>16</v>
      </c>
      <c r="I1162">
        <v>0</v>
      </c>
      <c r="J1162" t="str">
        <f>CONCATENATE(Table2[[#This Row],[Work Experience]],"years")</f>
        <v>0years</v>
      </c>
      <c r="K1162" t="str">
        <f>CONCATENATE(Table2[[#This Row],[Family Size2]],"members")</f>
        <v>3members</v>
      </c>
      <c r="L1162" t="str">
        <f>CONCATENATE(Table2[[#This Row],[Family Size2]],"members")</f>
        <v>3members</v>
      </c>
      <c r="M1162">
        <v>3</v>
      </c>
    </row>
    <row r="1163" spans="1:13">
      <c r="A1163">
        <v>1162</v>
      </c>
      <c r="B1163" t="s">
        <v>11</v>
      </c>
      <c r="C1163">
        <v>20</v>
      </c>
      <c r="D1163" t="str" cm="1">
        <f t="array" ref="D1163">_xlfn.IFS(Table2[[#This Row],[Age]]&lt;=11,"Gen A",Table2[[#This Row],[Age]]&lt;=27,"Gen Z",Table2[[#This Row],[Age]]&lt;=43,"Millenials",Table2[[#This Row],[Age]]&lt;=59,"Gen X",Table2[[#This Row],[Age]]&lt;=78,"Baby Boomers",Table2[[#This Row],[Age]]&lt;=96,"Silent",Table2[[#This Row],[Age]]&gt;=97,"Greatest")</f>
        <v>Gen Z</v>
      </c>
      <c r="E1163" s="1">
        <v>155951</v>
      </c>
      <c r="F1163">
        <v>21</v>
      </c>
      <c r="G1163" t="str" cm="1">
        <f t="array" ref="G1163">_xlfn.IFS(Table2[[#This Row],[Spending Score (1-100)]]&lt;=25,"Low",Table2[[#This Row],[Spending Score (1-100)]]&lt;=50,"Medium",Table2[[#This Row],[Spending Score (1-100)]]&lt;=75,"High",Table2[[#This Row],[Spending Score (1-100)]]&lt;=100,"Very High")</f>
        <v>Low</v>
      </c>
      <c r="H1163" t="s">
        <v>9</v>
      </c>
      <c r="I1163">
        <v>7</v>
      </c>
      <c r="J1163" t="str">
        <f>CONCATENATE(Table2[[#This Row],[Work Experience]],"years")</f>
        <v>7years</v>
      </c>
      <c r="K1163" t="str">
        <f>CONCATENATE(Table2[[#This Row],[Family Size2]],"members")</f>
        <v>4members</v>
      </c>
      <c r="L1163" t="str">
        <f>CONCATENATE(Table2[[#This Row],[Family Size2]],"members")</f>
        <v>4members</v>
      </c>
      <c r="M1163">
        <v>4</v>
      </c>
    </row>
    <row r="1164" spans="1:13">
      <c r="A1164">
        <v>1163</v>
      </c>
      <c r="B1164" t="s">
        <v>11</v>
      </c>
      <c r="C1164">
        <v>18</v>
      </c>
      <c r="D1164" t="str" cm="1">
        <f t="array" ref="D1164">_xlfn.IFS(Table2[[#This Row],[Age]]&lt;=11,"Gen A",Table2[[#This Row],[Age]]&lt;=27,"Gen Z",Table2[[#This Row],[Age]]&lt;=43,"Millenials",Table2[[#This Row],[Age]]&lt;=59,"Gen X",Table2[[#This Row],[Age]]&lt;=78,"Baby Boomers",Table2[[#This Row],[Age]]&lt;=96,"Silent",Table2[[#This Row],[Age]]&gt;=97,"Greatest")</f>
        <v>Gen Z</v>
      </c>
      <c r="E1164" s="1">
        <v>183071</v>
      </c>
      <c r="F1164">
        <v>29</v>
      </c>
      <c r="G1164" t="str" cm="1">
        <f t="array" ref="G1164">_xlfn.IFS(Table2[[#This Row],[Spending Score (1-100)]]&lt;=25,"Low",Table2[[#This Row],[Spending Score (1-100)]]&lt;=50,"Medium",Table2[[#This Row],[Spending Score (1-100)]]&lt;=75,"High",Table2[[#This Row],[Spending Score (1-100)]]&lt;=100,"Very High")</f>
        <v>Medium</v>
      </c>
      <c r="H1164" t="s">
        <v>14</v>
      </c>
      <c r="I1164">
        <v>7</v>
      </c>
      <c r="J1164" t="str">
        <f>CONCATENATE(Table2[[#This Row],[Work Experience]],"years")</f>
        <v>7years</v>
      </c>
      <c r="K1164" t="str">
        <f>CONCATENATE(Table2[[#This Row],[Family Size2]],"members")</f>
        <v>4members</v>
      </c>
      <c r="L1164" t="str">
        <f>CONCATENATE(Table2[[#This Row],[Family Size2]],"members")</f>
        <v>4members</v>
      </c>
      <c r="M1164">
        <v>4</v>
      </c>
    </row>
    <row r="1165" spans="1:13">
      <c r="A1165">
        <v>1164</v>
      </c>
      <c r="B1165" t="s">
        <v>11</v>
      </c>
      <c r="C1165">
        <v>83</v>
      </c>
      <c r="D1165" t="str" cm="1">
        <f t="array" ref="D1165">_xlfn.IFS(Table2[[#This Row],[Age]]&lt;=11,"Gen A",Table2[[#This Row],[Age]]&lt;=27,"Gen Z",Table2[[#This Row],[Age]]&lt;=43,"Millenials",Table2[[#This Row],[Age]]&lt;=59,"Gen X",Table2[[#This Row],[Age]]&lt;=78,"Baby Boomers",Table2[[#This Row],[Age]]&lt;=96,"Silent",Table2[[#This Row],[Age]]&gt;=97,"Greatest")</f>
        <v>Silent</v>
      </c>
      <c r="E1165" s="1">
        <v>124104</v>
      </c>
      <c r="F1165">
        <v>20</v>
      </c>
      <c r="G1165" t="str" cm="1">
        <f t="array" ref="G1165">_xlfn.IFS(Table2[[#This Row],[Spending Score (1-100)]]&lt;=25,"Low",Table2[[#This Row],[Spending Score (1-100)]]&lt;=50,"Medium",Table2[[#This Row],[Spending Score (1-100)]]&lt;=75,"High",Table2[[#This Row],[Spending Score (1-100)]]&lt;=100,"Very High")</f>
        <v>Low</v>
      </c>
      <c r="H1165" t="s">
        <v>9</v>
      </c>
      <c r="I1165">
        <v>4</v>
      </c>
      <c r="J1165" t="str">
        <f>CONCATENATE(Table2[[#This Row],[Work Experience]],"years")</f>
        <v>4years</v>
      </c>
      <c r="K1165" t="str">
        <f>CONCATENATE(Table2[[#This Row],[Family Size2]],"members")</f>
        <v>6members</v>
      </c>
      <c r="L1165" t="str">
        <f>CONCATENATE(Table2[[#This Row],[Family Size2]],"members")</f>
        <v>6members</v>
      </c>
      <c r="M1165">
        <v>6</v>
      </c>
    </row>
    <row r="1166" spans="1:13">
      <c r="A1166">
        <v>1165</v>
      </c>
      <c r="B1166" t="s">
        <v>11</v>
      </c>
      <c r="C1166">
        <v>21</v>
      </c>
      <c r="D1166" t="str" cm="1">
        <f t="array" ref="D1166">_xlfn.IFS(Table2[[#This Row],[Age]]&lt;=11,"Gen A",Table2[[#This Row],[Age]]&lt;=27,"Gen Z",Table2[[#This Row],[Age]]&lt;=43,"Millenials",Table2[[#This Row],[Age]]&lt;=59,"Gen X",Table2[[#This Row],[Age]]&lt;=78,"Baby Boomers",Table2[[#This Row],[Age]]&lt;=96,"Silent",Table2[[#This Row],[Age]]&gt;=97,"Greatest")</f>
        <v>Gen Z</v>
      </c>
      <c r="E1166" s="1">
        <v>136747</v>
      </c>
      <c r="F1166">
        <v>3</v>
      </c>
      <c r="G1166" t="str" cm="1">
        <f t="array" ref="G1166">_xlfn.IFS(Table2[[#This Row],[Spending Score (1-100)]]&lt;=25,"Low",Table2[[#This Row],[Spending Score (1-100)]]&lt;=50,"Medium",Table2[[#This Row],[Spending Score (1-100)]]&lt;=75,"High",Table2[[#This Row],[Spending Score (1-100)]]&lt;=100,"Very High")</f>
        <v>Low</v>
      </c>
      <c r="H1166" t="s">
        <v>9</v>
      </c>
      <c r="I1166">
        <v>1</v>
      </c>
      <c r="J1166" t="str">
        <f>CONCATENATE(Table2[[#This Row],[Work Experience]],"years")</f>
        <v>1years</v>
      </c>
      <c r="K1166" t="str">
        <f>CONCATENATE(Table2[[#This Row],[Family Size2]],"members")</f>
        <v>1members</v>
      </c>
      <c r="L1166" t="str">
        <f>CONCATENATE(Table2[[#This Row],[Family Size2]],"members")</f>
        <v>1members</v>
      </c>
      <c r="M1166">
        <v>1</v>
      </c>
    </row>
    <row r="1167" spans="1:13">
      <c r="A1167">
        <v>1166</v>
      </c>
      <c r="B1167" t="s">
        <v>8</v>
      </c>
      <c r="C1167">
        <v>19</v>
      </c>
      <c r="D1167" t="str" cm="1">
        <f t="array" ref="D1167">_xlfn.IFS(Table2[[#This Row],[Age]]&lt;=11,"Gen A",Table2[[#This Row],[Age]]&lt;=27,"Gen Z",Table2[[#This Row],[Age]]&lt;=43,"Millenials",Table2[[#This Row],[Age]]&lt;=59,"Gen X",Table2[[#This Row],[Age]]&lt;=78,"Baby Boomers",Table2[[#This Row],[Age]]&lt;=96,"Silent",Table2[[#This Row],[Age]]&gt;=97,"Greatest")</f>
        <v>Gen Z</v>
      </c>
      <c r="E1167" s="1">
        <v>189498</v>
      </c>
      <c r="F1167">
        <v>18</v>
      </c>
      <c r="G1167" t="str" cm="1">
        <f t="array" ref="G1167">_xlfn.IFS(Table2[[#This Row],[Spending Score (1-100)]]&lt;=25,"Low",Table2[[#This Row],[Spending Score (1-100)]]&lt;=50,"Medium",Table2[[#This Row],[Spending Score (1-100)]]&lt;=75,"High",Table2[[#This Row],[Spending Score (1-100)]]&lt;=100,"Very High")</f>
        <v>Low</v>
      </c>
      <c r="H1167" t="s">
        <v>14</v>
      </c>
      <c r="I1167">
        <v>4</v>
      </c>
      <c r="J1167" t="str">
        <f>CONCATENATE(Table2[[#This Row],[Work Experience]],"years")</f>
        <v>4years</v>
      </c>
      <c r="K1167" t="str">
        <f>CONCATENATE(Table2[[#This Row],[Family Size2]],"members")</f>
        <v>1members</v>
      </c>
      <c r="L1167" t="str">
        <f>CONCATENATE(Table2[[#This Row],[Family Size2]],"members")</f>
        <v>1members</v>
      </c>
      <c r="M1167">
        <v>1</v>
      </c>
    </row>
    <row r="1168" spans="1:13">
      <c r="A1168">
        <v>1167</v>
      </c>
      <c r="B1168" t="s">
        <v>11</v>
      </c>
      <c r="C1168">
        <v>74</v>
      </c>
      <c r="D1168" t="str" cm="1">
        <f t="array" ref="D1168">_xlfn.IFS(Table2[[#This Row],[Age]]&lt;=11,"Gen A",Table2[[#This Row],[Age]]&lt;=27,"Gen Z",Table2[[#This Row],[Age]]&lt;=43,"Millenials",Table2[[#This Row],[Age]]&lt;=59,"Gen X",Table2[[#This Row],[Age]]&lt;=78,"Baby Boomers",Table2[[#This Row],[Age]]&lt;=96,"Silent",Table2[[#This Row],[Age]]&gt;=97,"Greatest")</f>
        <v>Baby Boomers</v>
      </c>
      <c r="E1168" s="1">
        <v>76149</v>
      </c>
      <c r="F1168">
        <v>48</v>
      </c>
      <c r="G1168" t="str" cm="1">
        <f t="array" ref="G1168">_xlfn.IFS(Table2[[#This Row],[Spending Score (1-100)]]&lt;=25,"Low",Table2[[#This Row],[Spending Score (1-100)]]&lt;=50,"Medium",Table2[[#This Row],[Spending Score (1-100)]]&lt;=75,"High",Table2[[#This Row],[Spending Score (1-100)]]&lt;=100,"Very High")</f>
        <v>Medium</v>
      </c>
      <c r="H1168" t="s">
        <v>14</v>
      </c>
      <c r="I1168">
        <v>9</v>
      </c>
      <c r="J1168" t="str">
        <f>CONCATENATE(Table2[[#This Row],[Work Experience]],"years")</f>
        <v>9years</v>
      </c>
      <c r="K1168" t="str">
        <f>CONCATENATE(Table2[[#This Row],[Family Size2]],"members")</f>
        <v>6members</v>
      </c>
      <c r="L1168" t="str">
        <f>CONCATENATE(Table2[[#This Row],[Family Size2]],"members")</f>
        <v>6members</v>
      </c>
      <c r="M1168">
        <v>6</v>
      </c>
    </row>
    <row r="1169" spans="1:13">
      <c r="A1169">
        <v>1168</v>
      </c>
      <c r="B1169" t="s">
        <v>11</v>
      </c>
      <c r="C1169">
        <v>44</v>
      </c>
      <c r="D1169" t="str" cm="1">
        <f t="array" ref="D1169">_xlfn.IFS(Table2[[#This Row],[Age]]&lt;=11,"Gen A",Table2[[#This Row],[Age]]&lt;=27,"Gen Z",Table2[[#This Row],[Age]]&lt;=43,"Millenials",Table2[[#This Row],[Age]]&lt;=59,"Gen X",Table2[[#This Row],[Age]]&lt;=78,"Baby Boomers",Table2[[#This Row],[Age]]&lt;=96,"Silent",Table2[[#This Row],[Age]]&gt;=97,"Greatest")</f>
        <v>Gen X</v>
      </c>
      <c r="E1169" s="1">
        <v>185550</v>
      </c>
      <c r="F1169">
        <v>54</v>
      </c>
      <c r="G1169" t="str" cm="1">
        <f t="array" ref="G1169">_xlfn.IFS(Table2[[#This Row],[Spending Score (1-100)]]&lt;=25,"Low",Table2[[#This Row],[Spending Score (1-100)]]&lt;=50,"Medium",Table2[[#This Row],[Spending Score (1-100)]]&lt;=75,"High",Table2[[#This Row],[Spending Score (1-100)]]&lt;=100,"Very High")</f>
        <v>High</v>
      </c>
      <c r="H1169" t="s">
        <v>14</v>
      </c>
      <c r="I1169">
        <v>0</v>
      </c>
      <c r="J1169" t="str">
        <f>CONCATENATE(Table2[[#This Row],[Work Experience]],"years")</f>
        <v>0years</v>
      </c>
      <c r="K1169" t="str">
        <f>CONCATENATE(Table2[[#This Row],[Family Size2]],"members")</f>
        <v>1members</v>
      </c>
      <c r="L1169" t="str">
        <f>CONCATENATE(Table2[[#This Row],[Family Size2]],"members")</f>
        <v>1members</v>
      </c>
      <c r="M1169">
        <v>1</v>
      </c>
    </row>
    <row r="1170" spans="1:13">
      <c r="A1170">
        <v>1169</v>
      </c>
      <c r="B1170" t="s">
        <v>11</v>
      </c>
      <c r="C1170">
        <v>52</v>
      </c>
      <c r="D1170" t="str" cm="1">
        <f t="array" ref="D1170">_xlfn.IFS(Table2[[#This Row],[Age]]&lt;=11,"Gen A",Table2[[#This Row],[Age]]&lt;=27,"Gen Z",Table2[[#This Row],[Age]]&lt;=43,"Millenials",Table2[[#This Row],[Age]]&lt;=59,"Gen X",Table2[[#This Row],[Age]]&lt;=78,"Baby Boomers",Table2[[#This Row],[Age]]&lt;=96,"Silent",Table2[[#This Row],[Age]]&gt;=97,"Greatest")</f>
        <v>Gen X</v>
      </c>
      <c r="E1170" s="1">
        <v>119567</v>
      </c>
      <c r="F1170">
        <v>19</v>
      </c>
      <c r="G1170" t="str" cm="1">
        <f t="array" ref="G1170">_xlfn.IFS(Table2[[#This Row],[Spending Score (1-100)]]&lt;=25,"Low",Table2[[#This Row],[Spending Score (1-100)]]&lt;=50,"Medium",Table2[[#This Row],[Spending Score (1-100)]]&lt;=75,"High",Table2[[#This Row],[Spending Score (1-100)]]&lt;=100,"Very High")</f>
        <v>Low</v>
      </c>
      <c r="H1170" t="s">
        <v>14</v>
      </c>
      <c r="I1170">
        <v>5</v>
      </c>
      <c r="J1170" t="str">
        <f>CONCATENATE(Table2[[#This Row],[Work Experience]],"years")</f>
        <v>5years</v>
      </c>
      <c r="K1170" t="str">
        <f>CONCATENATE(Table2[[#This Row],[Family Size2]],"members")</f>
        <v>2members</v>
      </c>
      <c r="L1170" t="str">
        <f>CONCATENATE(Table2[[#This Row],[Family Size2]],"members")</f>
        <v>2members</v>
      </c>
      <c r="M1170">
        <v>2</v>
      </c>
    </row>
    <row r="1171" spans="1:13">
      <c r="A1171">
        <v>1170</v>
      </c>
      <c r="B1171" t="s">
        <v>11</v>
      </c>
      <c r="C1171">
        <v>14</v>
      </c>
      <c r="D1171" t="str" cm="1">
        <f t="array" ref="D1171">_xlfn.IFS(Table2[[#This Row],[Age]]&lt;=11,"Gen A",Table2[[#This Row],[Age]]&lt;=27,"Gen Z",Table2[[#This Row],[Age]]&lt;=43,"Millenials",Table2[[#This Row],[Age]]&lt;=59,"Gen X",Table2[[#This Row],[Age]]&lt;=78,"Baby Boomers",Table2[[#This Row],[Age]]&lt;=96,"Silent",Table2[[#This Row],[Age]]&gt;=97,"Greatest")</f>
        <v>Gen Z</v>
      </c>
      <c r="E1171" s="1">
        <v>79806</v>
      </c>
      <c r="F1171">
        <v>30</v>
      </c>
      <c r="G1171" t="str" cm="1">
        <f t="array" ref="G1171">_xlfn.IFS(Table2[[#This Row],[Spending Score (1-100)]]&lt;=25,"Low",Table2[[#This Row],[Spending Score (1-100)]]&lt;=50,"Medium",Table2[[#This Row],[Spending Score (1-100)]]&lt;=75,"High",Table2[[#This Row],[Spending Score (1-100)]]&lt;=100,"Very High")</f>
        <v>Medium</v>
      </c>
      <c r="H1171" t="s">
        <v>10</v>
      </c>
      <c r="I1171">
        <v>1</v>
      </c>
      <c r="J1171" t="str">
        <f>CONCATENATE(Table2[[#This Row],[Work Experience]],"years")</f>
        <v>1years</v>
      </c>
      <c r="K1171" t="str">
        <f>CONCATENATE(Table2[[#This Row],[Family Size2]],"members")</f>
        <v>6members</v>
      </c>
      <c r="L1171" t="str">
        <f>CONCATENATE(Table2[[#This Row],[Family Size2]],"members")</f>
        <v>6members</v>
      </c>
      <c r="M1171">
        <v>6</v>
      </c>
    </row>
    <row r="1172" spans="1:13">
      <c r="A1172">
        <v>1171</v>
      </c>
      <c r="B1172" t="s">
        <v>8</v>
      </c>
      <c r="C1172">
        <v>10</v>
      </c>
      <c r="D1172" t="str" cm="1">
        <f t="array" ref="D1172">_xlfn.IFS(Table2[[#This Row],[Age]]&lt;=11,"Gen A",Table2[[#This Row],[Age]]&lt;=27,"Gen Z",Table2[[#This Row],[Age]]&lt;=43,"Millenials",Table2[[#This Row],[Age]]&lt;=59,"Gen X",Table2[[#This Row],[Age]]&lt;=78,"Baby Boomers",Table2[[#This Row],[Age]]&lt;=96,"Silent",Table2[[#This Row],[Age]]&gt;=97,"Greatest")</f>
        <v>Gen A</v>
      </c>
      <c r="E1172" s="1">
        <v>180774</v>
      </c>
      <c r="F1172">
        <v>66</v>
      </c>
      <c r="G1172" t="str" cm="1">
        <f t="array" ref="G1172">_xlfn.IFS(Table2[[#This Row],[Spending Score (1-100)]]&lt;=25,"Low",Table2[[#This Row],[Spending Score (1-100)]]&lt;=50,"Medium",Table2[[#This Row],[Spending Score (1-100)]]&lt;=75,"High",Table2[[#This Row],[Spending Score (1-100)]]&lt;=100,"Very High")</f>
        <v>High</v>
      </c>
      <c r="H1172" t="s">
        <v>13</v>
      </c>
      <c r="I1172">
        <v>1</v>
      </c>
      <c r="J1172" t="str">
        <f>CONCATENATE(Table2[[#This Row],[Work Experience]],"years")</f>
        <v>1years</v>
      </c>
      <c r="K1172" t="str">
        <f>CONCATENATE(Table2[[#This Row],[Family Size2]],"members")</f>
        <v>5members</v>
      </c>
      <c r="L1172" t="str">
        <f>CONCATENATE(Table2[[#This Row],[Family Size2]],"members")</f>
        <v>5members</v>
      </c>
      <c r="M1172">
        <v>5</v>
      </c>
    </row>
    <row r="1173" spans="1:13">
      <c r="A1173">
        <v>1172</v>
      </c>
      <c r="B1173" t="s">
        <v>11</v>
      </c>
      <c r="C1173">
        <v>80</v>
      </c>
      <c r="D1173" t="str" cm="1">
        <f t="array" ref="D1173">_xlfn.IFS(Table2[[#This Row],[Age]]&lt;=11,"Gen A",Table2[[#This Row],[Age]]&lt;=27,"Gen Z",Table2[[#This Row],[Age]]&lt;=43,"Millenials",Table2[[#This Row],[Age]]&lt;=59,"Gen X",Table2[[#This Row],[Age]]&lt;=78,"Baby Boomers",Table2[[#This Row],[Age]]&lt;=96,"Silent",Table2[[#This Row],[Age]]&gt;=97,"Greatest")</f>
        <v>Silent</v>
      </c>
      <c r="E1173" s="1">
        <v>90142</v>
      </c>
      <c r="F1173">
        <v>50</v>
      </c>
      <c r="G1173" t="str" cm="1">
        <f t="array" ref="G1173">_xlfn.IFS(Table2[[#This Row],[Spending Score (1-100)]]&lt;=25,"Low",Table2[[#This Row],[Spending Score (1-100)]]&lt;=50,"Medium",Table2[[#This Row],[Spending Score (1-100)]]&lt;=75,"High",Table2[[#This Row],[Spending Score (1-100)]]&lt;=100,"Very High")</f>
        <v>Medium</v>
      </c>
      <c r="H1173" t="s">
        <v>12</v>
      </c>
      <c r="I1173">
        <v>1</v>
      </c>
      <c r="J1173" t="str">
        <f>CONCATENATE(Table2[[#This Row],[Work Experience]],"years")</f>
        <v>1years</v>
      </c>
      <c r="K1173" t="str">
        <f>CONCATENATE(Table2[[#This Row],[Family Size2]],"members")</f>
        <v>2members</v>
      </c>
      <c r="L1173" t="str">
        <f>CONCATENATE(Table2[[#This Row],[Family Size2]],"members")</f>
        <v>2members</v>
      </c>
      <c r="M1173">
        <v>2</v>
      </c>
    </row>
    <row r="1174" spans="1:13">
      <c r="A1174">
        <v>1173</v>
      </c>
      <c r="B1174" t="s">
        <v>11</v>
      </c>
      <c r="C1174">
        <v>82</v>
      </c>
      <c r="D1174" t="str" cm="1">
        <f t="array" ref="D1174">_xlfn.IFS(Table2[[#This Row],[Age]]&lt;=11,"Gen A",Table2[[#This Row],[Age]]&lt;=27,"Gen Z",Table2[[#This Row],[Age]]&lt;=43,"Millenials",Table2[[#This Row],[Age]]&lt;=59,"Gen X",Table2[[#This Row],[Age]]&lt;=78,"Baby Boomers",Table2[[#This Row],[Age]]&lt;=96,"Silent",Table2[[#This Row],[Age]]&gt;=97,"Greatest")</f>
        <v>Silent</v>
      </c>
      <c r="E1174" s="1">
        <v>184481</v>
      </c>
      <c r="F1174">
        <v>84</v>
      </c>
      <c r="G1174" t="str" cm="1">
        <f t="array" ref="G1174">_xlfn.IFS(Table2[[#This Row],[Spending Score (1-100)]]&lt;=25,"Low",Table2[[#This Row],[Spending Score (1-100)]]&lt;=50,"Medium",Table2[[#This Row],[Spending Score (1-100)]]&lt;=75,"High",Table2[[#This Row],[Spending Score (1-100)]]&lt;=100,"Very High")</f>
        <v>Very High</v>
      </c>
      <c r="H1174" t="s">
        <v>15</v>
      </c>
      <c r="I1174">
        <v>0</v>
      </c>
      <c r="J1174" t="str">
        <f>CONCATENATE(Table2[[#This Row],[Work Experience]],"years")</f>
        <v>0years</v>
      </c>
      <c r="K1174" t="str">
        <f>CONCATENATE(Table2[[#This Row],[Family Size2]],"members")</f>
        <v>2members</v>
      </c>
      <c r="L1174" t="str">
        <f>CONCATENATE(Table2[[#This Row],[Family Size2]],"members")</f>
        <v>2members</v>
      </c>
      <c r="M1174">
        <v>2</v>
      </c>
    </row>
    <row r="1175" spans="1:13">
      <c r="A1175">
        <v>1174</v>
      </c>
      <c r="B1175" t="s">
        <v>11</v>
      </c>
      <c r="C1175">
        <v>32</v>
      </c>
      <c r="D1175" t="str" cm="1">
        <f t="array" ref="D1175">_xlfn.IFS(Table2[[#This Row],[Age]]&lt;=11,"Gen A",Table2[[#This Row],[Age]]&lt;=27,"Gen Z",Table2[[#This Row],[Age]]&lt;=43,"Millenials",Table2[[#This Row],[Age]]&lt;=59,"Gen X",Table2[[#This Row],[Age]]&lt;=78,"Baby Boomers",Table2[[#This Row],[Age]]&lt;=96,"Silent",Table2[[#This Row],[Age]]&gt;=97,"Greatest")</f>
        <v>Millenials</v>
      </c>
      <c r="E1175" s="1">
        <v>66089</v>
      </c>
      <c r="F1175">
        <v>75</v>
      </c>
      <c r="G1175" t="str" cm="1">
        <f t="array" ref="G1175">_xlfn.IFS(Table2[[#This Row],[Spending Score (1-100)]]&lt;=25,"Low",Table2[[#This Row],[Spending Score (1-100)]]&lt;=50,"Medium",Table2[[#This Row],[Spending Score (1-100)]]&lt;=75,"High",Table2[[#This Row],[Spending Score (1-100)]]&lt;=100,"Very High")</f>
        <v>High</v>
      </c>
      <c r="H1175" t="s">
        <v>14</v>
      </c>
      <c r="I1175">
        <v>6</v>
      </c>
      <c r="J1175" t="str">
        <f>CONCATENATE(Table2[[#This Row],[Work Experience]],"years")</f>
        <v>6years</v>
      </c>
      <c r="K1175" t="str">
        <f>CONCATENATE(Table2[[#This Row],[Family Size2]],"members")</f>
        <v>3members</v>
      </c>
      <c r="L1175" t="str">
        <f>CONCATENATE(Table2[[#This Row],[Family Size2]],"members")</f>
        <v>3members</v>
      </c>
      <c r="M1175">
        <v>3</v>
      </c>
    </row>
    <row r="1176" spans="1:13">
      <c r="A1176">
        <v>1175</v>
      </c>
      <c r="B1176" t="s">
        <v>11</v>
      </c>
      <c r="C1176">
        <v>16</v>
      </c>
      <c r="D1176" t="str" cm="1">
        <f t="array" ref="D1176">_xlfn.IFS(Table2[[#This Row],[Age]]&lt;=11,"Gen A",Table2[[#This Row],[Age]]&lt;=27,"Gen Z",Table2[[#This Row],[Age]]&lt;=43,"Millenials",Table2[[#This Row],[Age]]&lt;=59,"Gen X",Table2[[#This Row],[Age]]&lt;=78,"Baby Boomers",Table2[[#This Row],[Age]]&lt;=96,"Silent",Table2[[#This Row],[Age]]&gt;=97,"Greatest")</f>
        <v>Gen Z</v>
      </c>
      <c r="E1176" s="1">
        <v>60044</v>
      </c>
      <c r="F1176">
        <v>83</v>
      </c>
      <c r="G1176" t="str" cm="1">
        <f t="array" ref="G1176">_xlfn.IFS(Table2[[#This Row],[Spending Score (1-100)]]&lt;=25,"Low",Table2[[#This Row],[Spending Score (1-100)]]&lt;=50,"Medium",Table2[[#This Row],[Spending Score (1-100)]]&lt;=75,"High",Table2[[#This Row],[Spending Score (1-100)]]&lt;=100,"Very High")</f>
        <v>Very High</v>
      </c>
      <c r="H1176" t="s">
        <v>14</v>
      </c>
      <c r="I1176">
        <v>4</v>
      </c>
      <c r="J1176" t="str">
        <f>CONCATENATE(Table2[[#This Row],[Work Experience]],"years")</f>
        <v>4years</v>
      </c>
      <c r="K1176" t="str">
        <f>CONCATENATE(Table2[[#This Row],[Family Size2]],"members")</f>
        <v>1members</v>
      </c>
      <c r="L1176" t="str">
        <f>CONCATENATE(Table2[[#This Row],[Family Size2]],"members")</f>
        <v>1members</v>
      </c>
      <c r="M1176">
        <v>1</v>
      </c>
    </row>
    <row r="1177" spans="1:13">
      <c r="A1177">
        <v>1176</v>
      </c>
      <c r="B1177" t="s">
        <v>8</v>
      </c>
      <c r="C1177">
        <v>61</v>
      </c>
      <c r="D1177" t="str" cm="1">
        <f t="array" ref="D1177">_xlfn.IFS(Table2[[#This Row],[Age]]&lt;=11,"Gen A",Table2[[#This Row],[Age]]&lt;=27,"Gen Z",Table2[[#This Row],[Age]]&lt;=43,"Millenials",Table2[[#This Row],[Age]]&lt;=59,"Gen X",Table2[[#This Row],[Age]]&lt;=78,"Baby Boomers",Table2[[#This Row],[Age]]&lt;=96,"Silent",Table2[[#This Row],[Age]]&gt;=97,"Greatest")</f>
        <v>Baby Boomers</v>
      </c>
      <c r="E1177" s="1">
        <v>52543</v>
      </c>
      <c r="F1177">
        <v>23</v>
      </c>
      <c r="G1177" t="str" cm="1">
        <f t="array" ref="G1177">_xlfn.IFS(Table2[[#This Row],[Spending Score (1-100)]]&lt;=25,"Low",Table2[[#This Row],[Spending Score (1-100)]]&lt;=50,"Medium",Table2[[#This Row],[Spending Score (1-100)]]&lt;=75,"High",Table2[[#This Row],[Spending Score (1-100)]]&lt;=100,"Very High")</f>
        <v>Low</v>
      </c>
      <c r="H1177" t="s">
        <v>15</v>
      </c>
      <c r="I1177">
        <v>0</v>
      </c>
      <c r="J1177" t="str">
        <f>CONCATENATE(Table2[[#This Row],[Work Experience]],"years")</f>
        <v>0years</v>
      </c>
      <c r="K1177" t="str">
        <f>CONCATENATE(Table2[[#This Row],[Family Size2]],"members")</f>
        <v>6members</v>
      </c>
      <c r="L1177" t="str">
        <f>CONCATENATE(Table2[[#This Row],[Family Size2]],"members")</f>
        <v>6members</v>
      </c>
      <c r="M1177">
        <v>6</v>
      </c>
    </row>
    <row r="1178" spans="1:13">
      <c r="A1178">
        <v>1177</v>
      </c>
      <c r="B1178" t="s">
        <v>8</v>
      </c>
      <c r="C1178">
        <v>57</v>
      </c>
      <c r="D1178" t="str" cm="1">
        <f t="array" ref="D1178">_xlfn.IFS(Table2[[#This Row],[Age]]&lt;=11,"Gen A",Table2[[#This Row],[Age]]&lt;=27,"Gen Z",Table2[[#This Row],[Age]]&lt;=43,"Millenials",Table2[[#This Row],[Age]]&lt;=59,"Gen X",Table2[[#This Row],[Age]]&lt;=78,"Baby Boomers",Table2[[#This Row],[Age]]&lt;=96,"Silent",Table2[[#This Row],[Age]]&gt;=97,"Greatest")</f>
        <v>Gen X</v>
      </c>
      <c r="E1178" s="1">
        <v>50429</v>
      </c>
      <c r="F1178">
        <v>23</v>
      </c>
      <c r="G1178" t="str" cm="1">
        <f t="array" ref="G1178">_xlfn.IFS(Table2[[#This Row],[Spending Score (1-100)]]&lt;=25,"Low",Table2[[#This Row],[Spending Score (1-100)]]&lt;=50,"Medium",Table2[[#This Row],[Spending Score (1-100)]]&lt;=75,"High",Table2[[#This Row],[Spending Score (1-100)]]&lt;=100,"Very High")</f>
        <v>Low</v>
      </c>
      <c r="H1178" t="s">
        <v>14</v>
      </c>
      <c r="I1178">
        <v>0</v>
      </c>
      <c r="J1178" t="str">
        <f>CONCATENATE(Table2[[#This Row],[Work Experience]],"years")</f>
        <v>0years</v>
      </c>
      <c r="K1178" t="str">
        <f>CONCATENATE(Table2[[#This Row],[Family Size2]],"members")</f>
        <v>1members</v>
      </c>
      <c r="L1178" t="str">
        <f>CONCATENATE(Table2[[#This Row],[Family Size2]],"members")</f>
        <v>1members</v>
      </c>
      <c r="M1178">
        <v>1</v>
      </c>
    </row>
    <row r="1179" spans="1:13">
      <c r="A1179">
        <v>1178</v>
      </c>
      <c r="B1179" t="s">
        <v>8</v>
      </c>
      <c r="C1179">
        <v>95</v>
      </c>
      <c r="D1179" t="str" cm="1">
        <f t="array" ref="D1179">_xlfn.IFS(Table2[[#This Row],[Age]]&lt;=11,"Gen A",Table2[[#This Row],[Age]]&lt;=27,"Gen Z",Table2[[#This Row],[Age]]&lt;=43,"Millenials",Table2[[#This Row],[Age]]&lt;=59,"Gen X",Table2[[#This Row],[Age]]&lt;=78,"Baby Boomers",Table2[[#This Row],[Age]]&lt;=96,"Silent",Table2[[#This Row],[Age]]&gt;=97,"Greatest")</f>
        <v>Silent</v>
      </c>
      <c r="E1179" s="1">
        <v>178228</v>
      </c>
      <c r="F1179">
        <v>45</v>
      </c>
      <c r="G1179" t="str" cm="1">
        <f t="array" ref="G1179">_xlfn.IFS(Table2[[#This Row],[Spending Score (1-100)]]&lt;=25,"Low",Table2[[#This Row],[Spending Score (1-100)]]&lt;=50,"Medium",Table2[[#This Row],[Spending Score (1-100)]]&lt;=75,"High",Table2[[#This Row],[Spending Score (1-100)]]&lt;=100,"Very High")</f>
        <v>Medium</v>
      </c>
      <c r="H1179" t="s">
        <v>10</v>
      </c>
      <c r="I1179">
        <v>1</v>
      </c>
      <c r="J1179" t="str">
        <f>CONCATENATE(Table2[[#This Row],[Work Experience]],"years")</f>
        <v>1years</v>
      </c>
      <c r="K1179" t="str">
        <f>CONCATENATE(Table2[[#This Row],[Family Size2]],"members")</f>
        <v>2members</v>
      </c>
      <c r="L1179" t="str">
        <f>CONCATENATE(Table2[[#This Row],[Family Size2]],"members")</f>
        <v>2members</v>
      </c>
      <c r="M1179">
        <v>2</v>
      </c>
    </row>
    <row r="1180" spans="1:13">
      <c r="A1180">
        <v>1179</v>
      </c>
      <c r="B1180" t="s">
        <v>11</v>
      </c>
      <c r="C1180">
        <v>38</v>
      </c>
      <c r="D1180" t="str" cm="1">
        <f t="array" ref="D1180">_xlfn.IFS(Table2[[#This Row],[Age]]&lt;=11,"Gen A",Table2[[#This Row],[Age]]&lt;=27,"Gen Z",Table2[[#This Row],[Age]]&lt;=43,"Millenials",Table2[[#This Row],[Age]]&lt;=59,"Gen X",Table2[[#This Row],[Age]]&lt;=78,"Baby Boomers",Table2[[#This Row],[Age]]&lt;=96,"Silent",Table2[[#This Row],[Age]]&gt;=97,"Greatest")</f>
        <v>Millenials</v>
      </c>
      <c r="E1180" s="1">
        <v>161130</v>
      </c>
      <c r="F1180">
        <v>98</v>
      </c>
      <c r="G1180" t="str" cm="1">
        <f t="array" ref="G1180">_xlfn.IFS(Table2[[#This Row],[Spending Score (1-100)]]&lt;=25,"Low",Table2[[#This Row],[Spending Score (1-100)]]&lt;=50,"Medium",Table2[[#This Row],[Spending Score (1-100)]]&lt;=75,"High",Table2[[#This Row],[Spending Score (1-100)]]&lt;=100,"Very High")</f>
        <v>Very High</v>
      </c>
      <c r="H1180" t="s">
        <v>14</v>
      </c>
      <c r="I1180">
        <v>8</v>
      </c>
      <c r="J1180" t="str">
        <f>CONCATENATE(Table2[[#This Row],[Work Experience]],"years")</f>
        <v>8years</v>
      </c>
      <c r="K1180" t="str">
        <f>CONCATENATE(Table2[[#This Row],[Family Size2]],"members")</f>
        <v>3members</v>
      </c>
      <c r="L1180" t="str">
        <f>CONCATENATE(Table2[[#This Row],[Family Size2]],"members")</f>
        <v>3members</v>
      </c>
      <c r="M1180">
        <v>3</v>
      </c>
    </row>
    <row r="1181" spans="1:13">
      <c r="A1181">
        <v>1180</v>
      </c>
      <c r="B1181" t="s">
        <v>8</v>
      </c>
      <c r="C1181">
        <v>70</v>
      </c>
      <c r="D1181" t="str" cm="1">
        <f t="array" ref="D1181">_xlfn.IFS(Table2[[#This Row],[Age]]&lt;=11,"Gen A",Table2[[#This Row],[Age]]&lt;=27,"Gen Z",Table2[[#This Row],[Age]]&lt;=43,"Millenials",Table2[[#This Row],[Age]]&lt;=59,"Gen X",Table2[[#This Row],[Age]]&lt;=78,"Baby Boomers",Table2[[#This Row],[Age]]&lt;=96,"Silent",Table2[[#This Row],[Age]]&gt;=97,"Greatest")</f>
        <v>Baby Boomers</v>
      </c>
      <c r="E1181" s="1">
        <v>87976</v>
      </c>
      <c r="F1181">
        <v>38</v>
      </c>
      <c r="G1181" t="str" cm="1">
        <f t="array" ref="G1181">_xlfn.IFS(Table2[[#This Row],[Spending Score (1-100)]]&lt;=25,"Low",Table2[[#This Row],[Spending Score (1-100)]]&lt;=50,"Medium",Table2[[#This Row],[Spending Score (1-100)]]&lt;=75,"High",Table2[[#This Row],[Spending Score (1-100)]]&lt;=100,"Very High")</f>
        <v>Medium</v>
      </c>
      <c r="H1181" t="s">
        <v>12</v>
      </c>
      <c r="I1181">
        <v>1</v>
      </c>
      <c r="J1181" t="str">
        <f>CONCATENATE(Table2[[#This Row],[Work Experience]],"years")</f>
        <v>1years</v>
      </c>
      <c r="K1181" t="str">
        <f>CONCATENATE(Table2[[#This Row],[Family Size2]],"members")</f>
        <v>6members</v>
      </c>
      <c r="L1181" t="str">
        <f>CONCATENATE(Table2[[#This Row],[Family Size2]],"members")</f>
        <v>6members</v>
      </c>
      <c r="M1181">
        <v>6</v>
      </c>
    </row>
    <row r="1182" spans="1:13">
      <c r="A1182">
        <v>1181</v>
      </c>
      <c r="B1182" t="s">
        <v>11</v>
      </c>
      <c r="C1182">
        <v>40</v>
      </c>
      <c r="D1182" t="str" cm="1">
        <f t="array" ref="D1182">_xlfn.IFS(Table2[[#This Row],[Age]]&lt;=11,"Gen A",Table2[[#This Row],[Age]]&lt;=27,"Gen Z",Table2[[#This Row],[Age]]&lt;=43,"Millenials",Table2[[#This Row],[Age]]&lt;=59,"Gen X",Table2[[#This Row],[Age]]&lt;=78,"Baby Boomers",Table2[[#This Row],[Age]]&lt;=96,"Silent",Table2[[#This Row],[Age]]&gt;=97,"Greatest")</f>
        <v>Millenials</v>
      </c>
      <c r="E1182" s="1">
        <v>179150</v>
      </c>
      <c r="F1182">
        <v>91</v>
      </c>
      <c r="G1182" t="str" cm="1">
        <f t="array" ref="G1182">_xlfn.IFS(Table2[[#This Row],[Spending Score (1-100)]]&lt;=25,"Low",Table2[[#This Row],[Spending Score (1-100)]]&lt;=50,"Medium",Table2[[#This Row],[Spending Score (1-100)]]&lt;=75,"High",Table2[[#This Row],[Spending Score (1-100)]]&lt;=100,"Very High")</f>
        <v>Very High</v>
      </c>
      <c r="H1182" t="s">
        <v>14</v>
      </c>
      <c r="I1182">
        <v>5</v>
      </c>
      <c r="J1182" t="str">
        <f>CONCATENATE(Table2[[#This Row],[Work Experience]],"years")</f>
        <v>5years</v>
      </c>
      <c r="K1182" t="str">
        <f>CONCATENATE(Table2[[#This Row],[Family Size2]],"members")</f>
        <v>2members</v>
      </c>
      <c r="L1182" t="str">
        <f>CONCATENATE(Table2[[#This Row],[Family Size2]],"members")</f>
        <v>2members</v>
      </c>
      <c r="M1182">
        <v>2</v>
      </c>
    </row>
    <row r="1183" spans="1:13">
      <c r="A1183">
        <v>1182</v>
      </c>
      <c r="B1183" t="s">
        <v>11</v>
      </c>
      <c r="C1183">
        <v>92</v>
      </c>
      <c r="D1183" t="str" cm="1">
        <f t="array" ref="D1183">_xlfn.IFS(Table2[[#This Row],[Age]]&lt;=11,"Gen A",Table2[[#This Row],[Age]]&lt;=27,"Gen Z",Table2[[#This Row],[Age]]&lt;=43,"Millenials",Table2[[#This Row],[Age]]&lt;=59,"Gen X",Table2[[#This Row],[Age]]&lt;=78,"Baby Boomers",Table2[[#This Row],[Age]]&lt;=96,"Silent",Table2[[#This Row],[Age]]&gt;=97,"Greatest")</f>
        <v>Silent</v>
      </c>
      <c r="E1183" s="1">
        <v>163442</v>
      </c>
      <c r="F1183">
        <v>32</v>
      </c>
      <c r="G1183" t="str" cm="1">
        <f t="array" ref="G1183">_xlfn.IFS(Table2[[#This Row],[Spending Score (1-100)]]&lt;=25,"Low",Table2[[#This Row],[Spending Score (1-100)]]&lt;=50,"Medium",Table2[[#This Row],[Spending Score (1-100)]]&lt;=75,"High",Table2[[#This Row],[Spending Score (1-100)]]&lt;=100,"Very High")</f>
        <v>Medium</v>
      </c>
      <c r="H1183" t="s">
        <v>15</v>
      </c>
      <c r="I1183">
        <v>1</v>
      </c>
      <c r="J1183" t="str">
        <f>CONCATENATE(Table2[[#This Row],[Work Experience]],"years")</f>
        <v>1years</v>
      </c>
      <c r="K1183" t="str">
        <f>CONCATENATE(Table2[[#This Row],[Family Size2]],"members")</f>
        <v>6members</v>
      </c>
      <c r="L1183" t="str">
        <f>CONCATENATE(Table2[[#This Row],[Family Size2]],"members")</f>
        <v>6members</v>
      </c>
      <c r="M1183">
        <v>6</v>
      </c>
    </row>
    <row r="1184" spans="1:13">
      <c r="A1184">
        <v>1183</v>
      </c>
      <c r="B1184" t="s">
        <v>11</v>
      </c>
      <c r="C1184">
        <v>73</v>
      </c>
      <c r="D1184" t="str" cm="1">
        <f t="array" ref="D1184">_xlfn.IFS(Table2[[#This Row],[Age]]&lt;=11,"Gen A",Table2[[#This Row],[Age]]&lt;=27,"Gen Z",Table2[[#This Row],[Age]]&lt;=43,"Millenials",Table2[[#This Row],[Age]]&lt;=59,"Gen X",Table2[[#This Row],[Age]]&lt;=78,"Baby Boomers",Table2[[#This Row],[Age]]&lt;=96,"Silent",Table2[[#This Row],[Age]]&gt;=97,"Greatest")</f>
        <v>Baby Boomers</v>
      </c>
      <c r="E1184" s="1">
        <v>108159</v>
      </c>
      <c r="F1184">
        <v>18</v>
      </c>
      <c r="G1184" t="str" cm="1">
        <f t="array" ref="G1184">_xlfn.IFS(Table2[[#This Row],[Spending Score (1-100)]]&lt;=25,"Low",Table2[[#This Row],[Spending Score (1-100)]]&lt;=50,"Medium",Table2[[#This Row],[Spending Score (1-100)]]&lt;=75,"High",Table2[[#This Row],[Spending Score (1-100)]]&lt;=100,"Very High")</f>
        <v>Low</v>
      </c>
      <c r="H1184" t="s">
        <v>13</v>
      </c>
      <c r="I1184">
        <v>8</v>
      </c>
      <c r="J1184" t="str">
        <f>CONCATENATE(Table2[[#This Row],[Work Experience]],"years")</f>
        <v>8years</v>
      </c>
      <c r="K1184" t="str">
        <f>CONCATENATE(Table2[[#This Row],[Family Size2]],"members")</f>
        <v>7members</v>
      </c>
      <c r="L1184" t="str">
        <f>CONCATENATE(Table2[[#This Row],[Family Size2]],"members")</f>
        <v>7members</v>
      </c>
      <c r="M1184">
        <v>7</v>
      </c>
    </row>
    <row r="1185" spans="1:13">
      <c r="A1185">
        <v>1184</v>
      </c>
      <c r="B1185" t="s">
        <v>11</v>
      </c>
      <c r="C1185">
        <v>62</v>
      </c>
      <c r="D1185" t="str" cm="1">
        <f t="array" ref="D1185">_xlfn.IFS(Table2[[#This Row],[Age]]&lt;=11,"Gen A",Table2[[#This Row],[Age]]&lt;=27,"Gen Z",Table2[[#This Row],[Age]]&lt;=43,"Millenials",Table2[[#This Row],[Age]]&lt;=59,"Gen X",Table2[[#This Row],[Age]]&lt;=78,"Baby Boomers",Table2[[#This Row],[Age]]&lt;=96,"Silent",Table2[[#This Row],[Age]]&gt;=97,"Greatest")</f>
        <v>Baby Boomers</v>
      </c>
      <c r="E1185" s="1">
        <v>73419</v>
      </c>
      <c r="F1185">
        <v>14</v>
      </c>
      <c r="G1185" t="str" cm="1">
        <f t="array" ref="G1185">_xlfn.IFS(Table2[[#This Row],[Spending Score (1-100)]]&lt;=25,"Low",Table2[[#This Row],[Spending Score (1-100)]]&lt;=50,"Medium",Table2[[#This Row],[Spending Score (1-100)]]&lt;=75,"High",Table2[[#This Row],[Spending Score (1-100)]]&lt;=100,"Very High")</f>
        <v>Low</v>
      </c>
      <c r="H1185" t="s">
        <v>9</v>
      </c>
      <c r="I1185">
        <v>0</v>
      </c>
      <c r="J1185" t="str">
        <f>CONCATENATE(Table2[[#This Row],[Work Experience]],"years")</f>
        <v>0years</v>
      </c>
      <c r="K1185" t="str">
        <f>CONCATENATE(Table2[[#This Row],[Family Size2]],"members")</f>
        <v>1members</v>
      </c>
      <c r="L1185" t="str">
        <f>CONCATENATE(Table2[[#This Row],[Family Size2]],"members")</f>
        <v>1members</v>
      </c>
      <c r="M1185">
        <v>1</v>
      </c>
    </row>
    <row r="1186" spans="1:13">
      <c r="A1186">
        <v>1185</v>
      </c>
      <c r="B1186" t="s">
        <v>11</v>
      </c>
      <c r="C1186">
        <v>12</v>
      </c>
      <c r="D1186" t="str" cm="1">
        <f t="array" ref="D1186">_xlfn.IFS(Table2[[#This Row],[Age]]&lt;=11,"Gen A",Table2[[#This Row],[Age]]&lt;=27,"Gen Z",Table2[[#This Row],[Age]]&lt;=43,"Millenials",Table2[[#This Row],[Age]]&lt;=59,"Gen X",Table2[[#This Row],[Age]]&lt;=78,"Baby Boomers",Table2[[#This Row],[Age]]&lt;=96,"Silent",Table2[[#This Row],[Age]]&gt;=97,"Greatest")</f>
        <v>Gen Z</v>
      </c>
      <c r="E1186" s="1">
        <v>138425</v>
      </c>
      <c r="F1186">
        <v>78</v>
      </c>
      <c r="G1186" t="str" cm="1">
        <f t="array" ref="G1186">_xlfn.IFS(Table2[[#This Row],[Spending Score (1-100)]]&lt;=25,"Low",Table2[[#This Row],[Spending Score (1-100)]]&lt;=50,"Medium",Table2[[#This Row],[Spending Score (1-100)]]&lt;=75,"High",Table2[[#This Row],[Spending Score (1-100)]]&lt;=100,"Very High")</f>
        <v>Very High</v>
      </c>
      <c r="H1186" t="s">
        <v>16</v>
      </c>
      <c r="I1186">
        <v>11</v>
      </c>
      <c r="J1186" t="str">
        <f>CONCATENATE(Table2[[#This Row],[Work Experience]],"years")</f>
        <v>11years</v>
      </c>
      <c r="K1186" t="str">
        <f>CONCATENATE(Table2[[#This Row],[Family Size2]],"members")</f>
        <v>6members</v>
      </c>
      <c r="L1186" t="str">
        <f>CONCATENATE(Table2[[#This Row],[Family Size2]],"members")</f>
        <v>6members</v>
      </c>
      <c r="M1186">
        <v>6</v>
      </c>
    </row>
    <row r="1187" spans="1:13">
      <c r="A1187">
        <v>1186</v>
      </c>
      <c r="B1187" t="s">
        <v>8</v>
      </c>
      <c r="C1187">
        <v>65</v>
      </c>
      <c r="D1187" t="str" cm="1">
        <f t="array" ref="D1187">_xlfn.IFS(Table2[[#This Row],[Age]]&lt;=11,"Gen A",Table2[[#This Row],[Age]]&lt;=27,"Gen Z",Table2[[#This Row],[Age]]&lt;=43,"Millenials",Table2[[#This Row],[Age]]&lt;=59,"Gen X",Table2[[#This Row],[Age]]&lt;=78,"Baby Boomers",Table2[[#This Row],[Age]]&lt;=96,"Silent",Table2[[#This Row],[Age]]&gt;=97,"Greatest")</f>
        <v>Baby Boomers</v>
      </c>
      <c r="E1187" s="1">
        <v>54431</v>
      </c>
      <c r="F1187">
        <v>93</v>
      </c>
      <c r="G1187" t="str" cm="1">
        <f t="array" ref="G1187">_xlfn.IFS(Table2[[#This Row],[Spending Score (1-100)]]&lt;=25,"Low",Table2[[#This Row],[Spending Score (1-100)]]&lt;=50,"Medium",Table2[[#This Row],[Spending Score (1-100)]]&lt;=75,"High",Table2[[#This Row],[Spending Score (1-100)]]&lt;=100,"Very High")</f>
        <v>Very High</v>
      </c>
      <c r="H1187" t="s">
        <v>9</v>
      </c>
      <c r="I1187">
        <v>1</v>
      </c>
      <c r="J1187" t="str">
        <f>CONCATENATE(Table2[[#This Row],[Work Experience]],"years")</f>
        <v>1years</v>
      </c>
      <c r="K1187" t="str">
        <f>CONCATENATE(Table2[[#This Row],[Family Size2]],"members")</f>
        <v>7members</v>
      </c>
      <c r="L1187" t="str">
        <f>CONCATENATE(Table2[[#This Row],[Family Size2]],"members")</f>
        <v>7members</v>
      </c>
      <c r="M1187">
        <v>7</v>
      </c>
    </row>
    <row r="1188" spans="1:13">
      <c r="A1188">
        <v>1187</v>
      </c>
      <c r="B1188" t="s">
        <v>11</v>
      </c>
      <c r="C1188">
        <v>88</v>
      </c>
      <c r="D1188" t="str" cm="1">
        <f t="array" ref="D1188">_xlfn.IFS(Table2[[#This Row],[Age]]&lt;=11,"Gen A",Table2[[#This Row],[Age]]&lt;=27,"Gen Z",Table2[[#This Row],[Age]]&lt;=43,"Millenials",Table2[[#This Row],[Age]]&lt;=59,"Gen X",Table2[[#This Row],[Age]]&lt;=78,"Baby Boomers",Table2[[#This Row],[Age]]&lt;=96,"Silent",Table2[[#This Row],[Age]]&gt;=97,"Greatest")</f>
        <v>Silent</v>
      </c>
      <c r="E1188" s="1">
        <v>168437</v>
      </c>
      <c r="F1188">
        <v>81</v>
      </c>
      <c r="G1188" t="str" cm="1">
        <f t="array" ref="G1188">_xlfn.IFS(Table2[[#This Row],[Spending Score (1-100)]]&lt;=25,"Low",Table2[[#This Row],[Spending Score (1-100)]]&lt;=50,"Medium",Table2[[#This Row],[Spending Score (1-100)]]&lt;=75,"High",Table2[[#This Row],[Spending Score (1-100)]]&lt;=100,"Very High")</f>
        <v>Very High</v>
      </c>
      <c r="H1188" t="s">
        <v>14</v>
      </c>
      <c r="I1188">
        <v>2</v>
      </c>
      <c r="J1188" t="str">
        <f>CONCATENATE(Table2[[#This Row],[Work Experience]],"years")</f>
        <v>2years</v>
      </c>
      <c r="K1188" t="str">
        <f>CONCATENATE(Table2[[#This Row],[Family Size2]],"members")</f>
        <v>2members</v>
      </c>
      <c r="L1188" t="str">
        <f>CONCATENATE(Table2[[#This Row],[Family Size2]],"members")</f>
        <v>2members</v>
      </c>
      <c r="M1188">
        <v>2</v>
      </c>
    </row>
    <row r="1189" spans="1:13">
      <c r="A1189">
        <v>1188</v>
      </c>
      <c r="B1189" t="s">
        <v>11</v>
      </c>
      <c r="C1189">
        <v>55</v>
      </c>
      <c r="D1189" t="str" cm="1">
        <f t="array" ref="D1189">_xlfn.IFS(Table2[[#This Row],[Age]]&lt;=11,"Gen A",Table2[[#This Row],[Age]]&lt;=27,"Gen Z",Table2[[#This Row],[Age]]&lt;=43,"Millenials",Table2[[#This Row],[Age]]&lt;=59,"Gen X",Table2[[#This Row],[Age]]&lt;=78,"Baby Boomers",Table2[[#This Row],[Age]]&lt;=96,"Silent",Table2[[#This Row],[Age]]&gt;=97,"Greatest")</f>
        <v>Gen X</v>
      </c>
      <c r="E1189" s="1">
        <v>71322</v>
      </c>
      <c r="F1189">
        <v>54</v>
      </c>
      <c r="G1189" t="str" cm="1">
        <f t="array" ref="G1189">_xlfn.IFS(Table2[[#This Row],[Spending Score (1-100)]]&lt;=25,"Low",Table2[[#This Row],[Spending Score (1-100)]]&lt;=50,"Medium",Table2[[#This Row],[Spending Score (1-100)]]&lt;=75,"High",Table2[[#This Row],[Spending Score (1-100)]]&lt;=100,"Very High")</f>
        <v>High</v>
      </c>
      <c r="H1189" t="s">
        <v>13</v>
      </c>
      <c r="I1189">
        <v>1</v>
      </c>
      <c r="J1189" t="str">
        <f>CONCATENATE(Table2[[#This Row],[Work Experience]],"years")</f>
        <v>1years</v>
      </c>
      <c r="K1189" t="str">
        <f>CONCATENATE(Table2[[#This Row],[Family Size2]],"members")</f>
        <v>6members</v>
      </c>
      <c r="L1189" t="str">
        <f>CONCATENATE(Table2[[#This Row],[Family Size2]],"members")</f>
        <v>6members</v>
      </c>
      <c r="M1189">
        <v>6</v>
      </c>
    </row>
    <row r="1190" spans="1:13">
      <c r="A1190">
        <v>1189</v>
      </c>
      <c r="B1190" t="s">
        <v>11</v>
      </c>
      <c r="C1190">
        <v>99</v>
      </c>
      <c r="D1190" t="str" cm="1">
        <f t="array" ref="D1190">_xlfn.IFS(Table2[[#This Row],[Age]]&lt;=11,"Gen A",Table2[[#This Row],[Age]]&lt;=27,"Gen Z",Table2[[#This Row],[Age]]&lt;=43,"Millenials",Table2[[#This Row],[Age]]&lt;=59,"Gen X",Table2[[#This Row],[Age]]&lt;=78,"Baby Boomers",Table2[[#This Row],[Age]]&lt;=96,"Silent",Table2[[#This Row],[Age]]&gt;=97,"Greatest")</f>
        <v>Greatest</v>
      </c>
      <c r="E1190" s="1">
        <v>122548</v>
      </c>
      <c r="F1190">
        <v>14</v>
      </c>
      <c r="G1190" t="str" cm="1">
        <f t="array" ref="G1190">_xlfn.IFS(Table2[[#This Row],[Spending Score (1-100)]]&lt;=25,"Low",Table2[[#This Row],[Spending Score (1-100)]]&lt;=50,"Medium",Table2[[#This Row],[Spending Score (1-100)]]&lt;=75,"High",Table2[[#This Row],[Spending Score (1-100)]]&lt;=100,"Very High")</f>
        <v>Low</v>
      </c>
      <c r="H1190" t="s">
        <v>19</v>
      </c>
      <c r="I1190">
        <v>2</v>
      </c>
      <c r="J1190" t="str">
        <f>CONCATENATE(Table2[[#This Row],[Work Experience]],"years")</f>
        <v>2years</v>
      </c>
      <c r="K1190" t="str">
        <f>CONCATENATE(Table2[[#This Row],[Family Size2]],"members")</f>
        <v>5members</v>
      </c>
      <c r="L1190" t="str">
        <f>CONCATENATE(Table2[[#This Row],[Family Size2]],"members")</f>
        <v>5members</v>
      </c>
      <c r="M1190">
        <v>5</v>
      </c>
    </row>
    <row r="1191" spans="1:13">
      <c r="A1191">
        <v>1190</v>
      </c>
      <c r="B1191" t="s">
        <v>11</v>
      </c>
      <c r="C1191">
        <v>20</v>
      </c>
      <c r="D1191" t="str" cm="1">
        <f t="array" ref="D1191">_xlfn.IFS(Table2[[#This Row],[Age]]&lt;=11,"Gen A",Table2[[#This Row],[Age]]&lt;=27,"Gen Z",Table2[[#This Row],[Age]]&lt;=43,"Millenials",Table2[[#This Row],[Age]]&lt;=59,"Gen X",Table2[[#This Row],[Age]]&lt;=78,"Baby Boomers",Table2[[#This Row],[Age]]&lt;=96,"Silent",Table2[[#This Row],[Age]]&gt;=97,"Greatest")</f>
        <v>Gen Z</v>
      </c>
      <c r="E1191" s="1">
        <v>141428</v>
      </c>
      <c r="F1191">
        <v>32</v>
      </c>
      <c r="G1191" t="str" cm="1">
        <f t="array" ref="G1191">_xlfn.IFS(Table2[[#This Row],[Spending Score (1-100)]]&lt;=25,"Low",Table2[[#This Row],[Spending Score (1-100)]]&lt;=50,"Medium",Table2[[#This Row],[Spending Score (1-100)]]&lt;=75,"High",Table2[[#This Row],[Spending Score (1-100)]]&lt;=100,"Very High")</f>
        <v>Medium</v>
      </c>
      <c r="H1191" t="s">
        <v>13</v>
      </c>
      <c r="I1191">
        <v>1</v>
      </c>
      <c r="J1191" t="str">
        <f>CONCATENATE(Table2[[#This Row],[Work Experience]],"years")</f>
        <v>1years</v>
      </c>
      <c r="K1191" t="str">
        <f>CONCATENATE(Table2[[#This Row],[Family Size2]],"members")</f>
        <v>5members</v>
      </c>
      <c r="L1191" t="str">
        <f>CONCATENATE(Table2[[#This Row],[Family Size2]],"members")</f>
        <v>5members</v>
      </c>
      <c r="M1191">
        <v>5</v>
      </c>
    </row>
    <row r="1192" spans="1:13">
      <c r="A1192">
        <v>1191</v>
      </c>
      <c r="B1192" t="s">
        <v>8</v>
      </c>
      <c r="C1192">
        <v>97</v>
      </c>
      <c r="D1192" t="str" cm="1">
        <f t="array" ref="D1192">_xlfn.IFS(Table2[[#This Row],[Age]]&lt;=11,"Gen A",Table2[[#This Row],[Age]]&lt;=27,"Gen Z",Table2[[#This Row],[Age]]&lt;=43,"Millenials",Table2[[#This Row],[Age]]&lt;=59,"Gen X",Table2[[#This Row],[Age]]&lt;=78,"Baby Boomers",Table2[[#This Row],[Age]]&lt;=96,"Silent",Table2[[#This Row],[Age]]&gt;=97,"Greatest")</f>
        <v>Greatest</v>
      </c>
      <c r="E1192" s="1">
        <v>142214</v>
      </c>
      <c r="F1192">
        <v>32</v>
      </c>
      <c r="G1192" t="str" cm="1">
        <f t="array" ref="G1192">_xlfn.IFS(Table2[[#This Row],[Spending Score (1-100)]]&lt;=25,"Low",Table2[[#This Row],[Spending Score (1-100)]]&lt;=50,"Medium",Table2[[#This Row],[Spending Score (1-100)]]&lt;=75,"High",Table2[[#This Row],[Spending Score (1-100)]]&lt;=100,"Very High")</f>
        <v>Medium</v>
      </c>
      <c r="H1192" t="s">
        <v>14</v>
      </c>
      <c r="I1192">
        <v>7</v>
      </c>
      <c r="J1192" t="str">
        <f>CONCATENATE(Table2[[#This Row],[Work Experience]],"years")</f>
        <v>7years</v>
      </c>
      <c r="K1192" t="str">
        <f>CONCATENATE(Table2[[#This Row],[Family Size2]],"members")</f>
        <v>4members</v>
      </c>
      <c r="L1192" t="str">
        <f>CONCATENATE(Table2[[#This Row],[Family Size2]],"members")</f>
        <v>4members</v>
      </c>
      <c r="M1192">
        <v>4</v>
      </c>
    </row>
    <row r="1193" spans="1:13">
      <c r="A1193">
        <v>1192</v>
      </c>
      <c r="B1193" t="s">
        <v>11</v>
      </c>
      <c r="C1193">
        <v>93</v>
      </c>
      <c r="D1193" t="str" cm="1">
        <f t="array" ref="D1193">_xlfn.IFS(Table2[[#This Row],[Age]]&lt;=11,"Gen A",Table2[[#This Row],[Age]]&lt;=27,"Gen Z",Table2[[#This Row],[Age]]&lt;=43,"Millenials",Table2[[#This Row],[Age]]&lt;=59,"Gen X",Table2[[#This Row],[Age]]&lt;=78,"Baby Boomers",Table2[[#This Row],[Age]]&lt;=96,"Silent",Table2[[#This Row],[Age]]&gt;=97,"Greatest")</f>
        <v>Silent</v>
      </c>
      <c r="E1193" s="1">
        <v>62590</v>
      </c>
      <c r="F1193">
        <v>43</v>
      </c>
      <c r="G1193" t="str" cm="1">
        <f t="array" ref="G1193">_xlfn.IFS(Table2[[#This Row],[Spending Score (1-100)]]&lt;=25,"Low",Table2[[#This Row],[Spending Score (1-100)]]&lt;=50,"Medium",Table2[[#This Row],[Spending Score (1-100)]]&lt;=75,"High",Table2[[#This Row],[Spending Score (1-100)]]&lt;=100,"Very High")</f>
        <v>Medium</v>
      </c>
      <c r="H1193" t="s">
        <v>14</v>
      </c>
      <c r="I1193">
        <v>9</v>
      </c>
      <c r="J1193" t="str">
        <f>CONCATENATE(Table2[[#This Row],[Work Experience]],"years")</f>
        <v>9years</v>
      </c>
      <c r="K1193" t="str">
        <f>CONCATENATE(Table2[[#This Row],[Family Size2]],"members")</f>
        <v>6members</v>
      </c>
      <c r="L1193" t="str">
        <f>CONCATENATE(Table2[[#This Row],[Family Size2]],"members")</f>
        <v>6members</v>
      </c>
      <c r="M1193">
        <v>6</v>
      </c>
    </row>
    <row r="1194" spans="1:13">
      <c r="A1194">
        <v>1193</v>
      </c>
      <c r="B1194" t="s">
        <v>8</v>
      </c>
      <c r="C1194">
        <v>84</v>
      </c>
      <c r="D1194" t="str" cm="1">
        <f t="array" ref="D1194">_xlfn.IFS(Table2[[#This Row],[Age]]&lt;=11,"Gen A",Table2[[#This Row],[Age]]&lt;=27,"Gen Z",Table2[[#This Row],[Age]]&lt;=43,"Millenials",Table2[[#This Row],[Age]]&lt;=59,"Gen X",Table2[[#This Row],[Age]]&lt;=78,"Baby Boomers",Table2[[#This Row],[Age]]&lt;=96,"Silent",Table2[[#This Row],[Age]]&gt;=97,"Greatest")</f>
        <v>Silent</v>
      </c>
      <c r="E1194" s="1">
        <v>172523</v>
      </c>
      <c r="F1194">
        <v>83</v>
      </c>
      <c r="G1194" t="str" cm="1">
        <f t="array" ref="G1194">_xlfn.IFS(Table2[[#This Row],[Spending Score (1-100)]]&lt;=25,"Low",Table2[[#This Row],[Spending Score (1-100)]]&lt;=50,"Medium",Table2[[#This Row],[Spending Score (1-100)]]&lt;=75,"High",Table2[[#This Row],[Spending Score (1-100)]]&lt;=100,"Very High")</f>
        <v>Very High</v>
      </c>
      <c r="H1194" t="s">
        <v>14</v>
      </c>
      <c r="I1194">
        <v>6</v>
      </c>
      <c r="J1194" t="str">
        <f>CONCATENATE(Table2[[#This Row],[Work Experience]],"years")</f>
        <v>6years</v>
      </c>
      <c r="K1194" t="str">
        <f>CONCATENATE(Table2[[#This Row],[Family Size2]],"members")</f>
        <v>2members</v>
      </c>
      <c r="L1194" t="str">
        <f>CONCATENATE(Table2[[#This Row],[Family Size2]],"members")</f>
        <v>2members</v>
      </c>
      <c r="M1194">
        <v>2</v>
      </c>
    </row>
    <row r="1195" spans="1:13">
      <c r="A1195">
        <v>1194</v>
      </c>
      <c r="B1195" t="s">
        <v>11</v>
      </c>
      <c r="C1195">
        <v>16</v>
      </c>
      <c r="D1195" t="str" cm="1">
        <f t="array" ref="D1195">_xlfn.IFS(Table2[[#This Row],[Age]]&lt;=11,"Gen A",Table2[[#This Row],[Age]]&lt;=27,"Gen Z",Table2[[#This Row],[Age]]&lt;=43,"Millenials",Table2[[#This Row],[Age]]&lt;=59,"Gen X",Table2[[#This Row],[Age]]&lt;=78,"Baby Boomers",Table2[[#This Row],[Age]]&lt;=96,"Silent",Table2[[#This Row],[Age]]&gt;=97,"Greatest")</f>
        <v>Gen Z</v>
      </c>
      <c r="E1195" s="1">
        <v>157588</v>
      </c>
      <c r="F1195">
        <v>76</v>
      </c>
      <c r="G1195" t="str" cm="1">
        <f t="array" ref="G1195">_xlfn.IFS(Table2[[#This Row],[Spending Score (1-100)]]&lt;=25,"Low",Table2[[#This Row],[Spending Score (1-100)]]&lt;=50,"Medium",Table2[[#This Row],[Spending Score (1-100)]]&lt;=75,"High",Table2[[#This Row],[Spending Score (1-100)]]&lt;=100,"Very High")</f>
        <v>Very High</v>
      </c>
      <c r="H1195" t="s">
        <v>15</v>
      </c>
      <c r="I1195">
        <v>2</v>
      </c>
      <c r="J1195" t="str">
        <f>CONCATENATE(Table2[[#This Row],[Work Experience]],"years")</f>
        <v>2years</v>
      </c>
      <c r="K1195" t="str">
        <f>CONCATENATE(Table2[[#This Row],[Family Size2]],"members")</f>
        <v>6members</v>
      </c>
      <c r="L1195" t="str">
        <f>CONCATENATE(Table2[[#This Row],[Family Size2]],"members")</f>
        <v>6members</v>
      </c>
      <c r="M1195">
        <v>6</v>
      </c>
    </row>
    <row r="1196" spans="1:13">
      <c r="A1196">
        <v>1195</v>
      </c>
      <c r="B1196" t="s">
        <v>11</v>
      </c>
      <c r="C1196">
        <v>10</v>
      </c>
      <c r="D1196" t="str" cm="1">
        <f t="array" ref="D1196">_xlfn.IFS(Table2[[#This Row],[Age]]&lt;=11,"Gen A",Table2[[#This Row],[Age]]&lt;=27,"Gen Z",Table2[[#This Row],[Age]]&lt;=43,"Millenials",Table2[[#This Row],[Age]]&lt;=59,"Gen X",Table2[[#This Row],[Age]]&lt;=78,"Baby Boomers",Table2[[#This Row],[Age]]&lt;=96,"Silent",Table2[[#This Row],[Age]]&gt;=97,"Greatest")</f>
        <v>Gen A</v>
      </c>
      <c r="E1196" s="1">
        <v>143313</v>
      </c>
      <c r="F1196">
        <v>57</v>
      </c>
      <c r="G1196" t="str" cm="1">
        <f t="array" ref="G1196">_xlfn.IFS(Table2[[#This Row],[Spending Score (1-100)]]&lt;=25,"Low",Table2[[#This Row],[Spending Score (1-100)]]&lt;=50,"Medium",Table2[[#This Row],[Spending Score (1-100)]]&lt;=75,"High",Table2[[#This Row],[Spending Score (1-100)]]&lt;=100,"Very High")</f>
        <v>High</v>
      </c>
      <c r="H1196" t="s">
        <v>16</v>
      </c>
      <c r="I1196">
        <v>4</v>
      </c>
      <c r="J1196" t="str">
        <f>CONCATENATE(Table2[[#This Row],[Work Experience]],"years")</f>
        <v>4years</v>
      </c>
      <c r="K1196" t="str">
        <f>CONCATENATE(Table2[[#This Row],[Family Size2]],"members")</f>
        <v>7members</v>
      </c>
      <c r="L1196" t="str">
        <f>CONCATENATE(Table2[[#This Row],[Family Size2]],"members")</f>
        <v>7members</v>
      </c>
      <c r="M1196">
        <v>7</v>
      </c>
    </row>
    <row r="1197" spans="1:13">
      <c r="A1197">
        <v>1196</v>
      </c>
      <c r="B1197" t="s">
        <v>11</v>
      </c>
      <c r="C1197">
        <v>59</v>
      </c>
      <c r="D1197" t="str" cm="1">
        <f t="array" ref="D1197">_xlfn.IFS(Table2[[#This Row],[Age]]&lt;=11,"Gen A",Table2[[#This Row],[Age]]&lt;=27,"Gen Z",Table2[[#This Row],[Age]]&lt;=43,"Millenials",Table2[[#This Row],[Age]]&lt;=59,"Gen X",Table2[[#This Row],[Age]]&lt;=78,"Baby Boomers",Table2[[#This Row],[Age]]&lt;=96,"Silent",Table2[[#This Row],[Age]]&gt;=97,"Greatest")</f>
        <v>Gen X</v>
      </c>
      <c r="E1197" s="1">
        <v>119833</v>
      </c>
      <c r="F1197">
        <v>38</v>
      </c>
      <c r="G1197" t="str" cm="1">
        <f t="array" ref="G1197">_xlfn.IFS(Table2[[#This Row],[Spending Score (1-100)]]&lt;=25,"Low",Table2[[#This Row],[Spending Score (1-100)]]&lt;=50,"Medium",Table2[[#This Row],[Spending Score (1-100)]]&lt;=75,"High",Table2[[#This Row],[Spending Score (1-100)]]&lt;=100,"Very High")</f>
        <v>Medium</v>
      </c>
      <c r="H1197" t="s">
        <v>16</v>
      </c>
      <c r="I1197">
        <v>1</v>
      </c>
      <c r="J1197" t="str">
        <f>CONCATENATE(Table2[[#This Row],[Work Experience]],"years")</f>
        <v>1years</v>
      </c>
      <c r="K1197" t="str">
        <f>CONCATENATE(Table2[[#This Row],[Family Size2]],"members")</f>
        <v>2members</v>
      </c>
      <c r="L1197" t="str">
        <f>CONCATENATE(Table2[[#This Row],[Family Size2]],"members")</f>
        <v>2members</v>
      </c>
      <c r="M1197">
        <v>2</v>
      </c>
    </row>
    <row r="1198" spans="1:13">
      <c r="A1198">
        <v>1197</v>
      </c>
      <c r="B1198" t="s">
        <v>11</v>
      </c>
      <c r="C1198">
        <v>54</v>
      </c>
      <c r="D1198" t="str" cm="1">
        <f t="array" ref="D1198">_xlfn.IFS(Table2[[#This Row],[Age]]&lt;=11,"Gen A",Table2[[#This Row],[Age]]&lt;=27,"Gen Z",Table2[[#This Row],[Age]]&lt;=43,"Millenials",Table2[[#This Row],[Age]]&lt;=59,"Gen X",Table2[[#This Row],[Age]]&lt;=78,"Baby Boomers",Table2[[#This Row],[Age]]&lt;=96,"Silent",Table2[[#This Row],[Age]]&gt;=97,"Greatest")</f>
        <v>Gen X</v>
      </c>
      <c r="E1198" s="1">
        <v>70803</v>
      </c>
      <c r="F1198">
        <v>35</v>
      </c>
      <c r="G1198" t="str" cm="1">
        <f t="array" ref="G1198">_xlfn.IFS(Table2[[#This Row],[Spending Score (1-100)]]&lt;=25,"Low",Table2[[#This Row],[Spending Score (1-100)]]&lt;=50,"Medium",Table2[[#This Row],[Spending Score (1-100)]]&lt;=75,"High",Table2[[#This Row],[Spending Score (1-100)]]&lt;=100,"Very High")</f>
        <v>Medium</v>
      </c>
      <c r="H1198" t="s">
        <v>13</v>
      </c>
      <c r="I1198">
        <v>0</v>
      </c>
      <c r="J1198" t="str">
        <f>CONCATENATE(Table2[[#This Row],[Work Experience]],"years")</f>
        <v>0years</v>
      </c>
      <c r="K1198" t="str">
        <f>CONCATENATE(Table2[[#This Row],[Family Size2]],"members")</f>
        <v>5members</v>
      </c>
      <c r="L1198" t="str">
        <f>CONCATENATE(Table2[[#This Row],[Family Size2]],"members")</f>
        <v>5members</v>
      </c>
      <c r="M1198">
        <v>5</v>
      </c>
    </row>
    <row r="1199" spans="1:13">
      <c r="A1199">
        <v>1198</v>
      </c>
      <c r="B1199" t="s">
        <v>8</v>
      </c>
      <c r="C1199">
        <v>82</v>
      </c>
      <c r="D1199" t="str" cm="1">
        <f t="array" ref="D1199">_xlfn.IFS(Table2[[#This Row],[Age]]&lt;=11,"Gen A",Table2[[#This Row],[Age]]&lt;=27,"Gen Z",Table2[[#This Row],[Age]]&lt;=43,"Millenials",Table2[[#This Row],[Age]]&lt;=59,"Gen X",Table2[[#This Row],[Age]]&lt;=78,"Baby Boomers",Table2[[#This Row],[Age]]&lt;=96,"Silent",Table2[[#This Row],[Age]]&gt;=97,"Greatest")</f>
        <v>Silent</v>
      </c>
      <c r="E1199" s="1">
        <v>139008</v>
      </c>
      <c r="F1199">
        <v>47</v>
      </c>
      <c r="G1199" t="str" cm="1">
        <f t="array" ref="G1199">_xlfn.IFS(Table2[[#This Row],[Spending Score (1-100)]]&lt;=25,"Low",Table2[[#This Row],[Spending Score (1-100)]]&lt;=50,"Medium",Table2[[#This Row],[Spending Score (1-100)]]&lt;=75,"High",Table2[[#This Row],[Spending Score (1-100)]]&lt;=100,"Very High")</f>
        <v>Medium</v>
      </c>
      <c r="H1199" t="s">
        <v>14</v>
      </c>
      <c r="I1199">
        <v>1</v>
      </c>
      <c r="J1199" t="str">
        <f>CONCATENATE(Table2[[#This Row],[Work Experience]],"years")</f>
        <v>1years</v>
      </c>
      <c r="K1199" t="str">
        <f>CONCATENATE(Table2[[#This Row],[Family Size2]],"members")</f>
        <v>4members</v>
      </c>
      <c r="L1199" t="str">
        <f>CONCATENATE(Table2[[#This Row],[Family Size2]],"members")</f>
        <v>4members</v>
      </c>
      <c r="M1199">
        <v>4</v>
      </c>
    </row>
    <row r="1200" spans="1:13">
      <c r="A1200">
        <v>1199</v>
      </c>
      <c r="B1200" t="s">
        <v>8</v>
      </c>
      <c r="C1200">
        <v>83</v>
      </c>
      <c r="D1200" t="str" cm="1">
        <f t="array" ref="D1200">_xlfn.IFS(Table2[[#This Row],[Age]]&lt;=11,"Gen A",Table2[[#This Row],[Age]]&lt;=27,"Gen Z",Table2[[#This Row],[Age]]&lt;=43,"Millenials",Table2[[#This Row],[Age]]&lt;=59,"Gen X",Table2[[#This Row],[Age]]&lt;=78,"Baby Boomers",Table2[[#This Row],[Age]]&lt;=96,"Silent",Table2[[#This Row],[Age]]&gt;=97,"Greatest")</f>
        <v>Silent</v>
      </c>
      <c r="E1200" s="1">
        <v>126669</v>
      </c>
      <c r="F1200">
        <v>53</v>
      </c>
      <c r="G1200" t="str" cm="1">
        <f t="array" ref="G1200">_xlfn.IFS(Table2[[#This Row],[Spending Score (1-100)]]&lt;=25,"Low",Table2[[#This Row],[Spending Score (1-100)]]&lt;=50,"Medium",Table2[[#This Row],[Spending Score (1-100)]]&lt;=75,"High",Table2[[#This Row],[Spending Score (1-100)]]&lt;=100,"Very High")</f>
        <v>High</v>
      </c>
      <c r="H1200" t="s">
        <v>14</v>
      </c>
      <c r="I1200">
        <v>1</v>
      </c>
      <c r="J1200" t="str">
        <f>CONCATENATE(Table2[[#This Row],[Work Experience]],"years")</f>
        <v>1years</v>
      </c>
      <c r="K1200" t="str">
        <f>CONCATENATE(Table2[[#This Row],[Family Size2]],"members")</f>
        <v>6members</v>
      </c>
      <c r="L1200" t="str">
        <f>CONCATENATE(Table2[[#This Row],[Family Size2]],"members")</f>
        <v>6members</v>
      </c>
      <c r="M1200">
        <v>6</v>
      </c>
    </row>
    <row r="1201" spans="1:13">
      <c r="A1201">
        <v>1200</v>
      </c>
      <c r="B1201" t="s">
        <v>8</v>
      </c>
      <c r="C1201">
        <v>87</v>
      </c>
      <c r="D1201" t="str" cm="1">
        <f t="array" ref="D1201">_xlfn.IFS(Table2[[#This Row],[Age]]&lt;=11,"Gen A",Table2[[#This Row],[Age]]&lt;=27,"Gen Z",Table2[[#This Row],[Age]]&lt;=43,"Millenials",Table2[[#This Row],[Age]]&lt;=59,"Gen X",Table2[[#This Row],[Age]]&lt;=78,"Baby Boomers",Table2[[#This Row],[Age]]&lt;=96,"Silent",Table2[[#This Row],[Age]]&gt;=97,"Greatest")</f>
        <v>Silent</v>
      </c>
      <c r="E1201" s="1">
        <v>122722</v>
      </c>
      <c r="F1201">
        <v>10</v>
      </c>
      <c r="G1201" t="str" cm="1">
        <f t="array" ref="G1201">_xlfn.IFS(Table2[[#This Row],[Spending Score (1-100)]]&lt;=25,"Low",Table2[[#This Row],[Spending Score (1-100)]]&lt;=50,"Medium",Table2[[#This Row],[Spending Score (1-100)]]&lt;=75,"High",Table2[[#This Row],[Spending Score (1-100)]]&lt;=100,"Very High")</f>
        <v>Low</v>
      </c>
      <c r="H1201" t="s">
        <v>15</v>
      </c>
      <c r="I1201">
        <v>9</v>
      </c>
      <c r="J1201" t="str">
        <f>CONCATENATE(Table2[[#This Row],[Work Experience]],"years")</f>
        <v>9years</v>
      </c>
      <c r="K1201" t="str">
        <f>CONCATENATE(Table2[[#This Row],[Family Size2]],"members")</f>
        <v>4members</v>
      </c>
      <c r="L1201" t="str">
        <f>CONCATENATE(Table2[[#This Row],[Family Size2]],"members")</f>
        <v>4members</v>
      </c>
      <c r="M1201">
        <v>4</v>
      </c>
    </row>
    <row r="1202" spans="1:13">
      <c r="A1202">
        <v>1201</v>
      </c>
      <c r="B1202" t="s">
        <v>8</v>
      </c>
      <c r="C1202">
        <v>1</v>
      </c>
      <c r="D1202" t="str" cm="1">
        <f t="array" ref="D1202">_xlfn.IFS(Table2[[#This Row],[Age]]&lt;=11,"Gen A",Table2[[#This Row],[Age]]&lt;=27,"Gen Z",Table2[[#This Row],[Age]]&lt;=43,"Millenials",Table2[[#This Row],[Age]]&lt;=59,"Gen X",Table2[[#This Row],[Age]]&lt;=78,"Baby Boomers",Table2[[#This Row],[Age]]&lt;=96,"Silent",Table2[[#This Row],[Age]]&gt;=97,"Greatest")</f>
        <v>Gen A</v>
      </c>
      <c r="E1202" s="1">
        <v>79800</v>
      </c>
      <c r="F1202">
        <v>47</v>
      </c>
      <c r="G1202" t="str" cm="1">
        <f t="array" ref="G1202">_xlfn.IFS(Table2[[#This Row],[Spending Score (1-100)]]&lt;=25,"Low",Table2[[#This Row],[Spending Score (1-100)]]&lt;=50,"Medium",Table2[[#This Row],[Spending Score (1-100)]]&lt;=75,"High",Table2[[#This Row],[Spending Score (1-100)]]&lt;=100,"Very High")</f>
        <v>Medium</v>
      </c>
      <c r="H1202" t="s">
        <v>14</v>
      </c>
      <c r="I1202">
        <v>0</v>
      </c>
      <c r="J1202" t="str">
        <f>CONCATENATE(Table2[[#This Row],[Work Experience]],"years")</f>
        <v>0years</v>
      </c>
      <c r="K1202" t="str">
        <f>CONCATENATE(Table2[[#This Row],[Family Size2]],"members")</f>
        <v>1members</v>
      </c>
      <c r="L1202" t="str">
        <f>CONCATENATE(Table2[[#This Row],[Family Size2]],"members")</f>
        <v>1members</v>
      </c>
      <c r="M1202">
        <v>1</v>
      </c>
    </row>
    <row r="1203" spans="1:13">
      <c r="A1203">
        <v>1202</v>
      </c>
      <c r="B1203" t="s">
        <v>8</v>
      </c>
      <c r="C1203">
        <v>89</v>
      </c>
      <c r="D1203" t="str" cm="1">
        <f t="array" ref="D1203">_xlfn.IFS(Table2[[#This Row],[Age]]&lt;=11,"Gen A",Table2[[#This Row],[Age]]&lt;=27,"Gen Z",Table2[[#This Row],[Age]]&lt;=43,"Millenials",Table2[[#This Row],[Age]]&lt;=59,"Gen X",Table2[[#This Row],[Age]]&lt;=78,"Baby Boomers",Table2[[#This Row],[Age]]&lt;=96,"Silent",Table2[[#This Row],[Age]]&gt;=97,"Greatest")</f>
        <v>Silent</v>
      </c>
      <c r="E1203" s="1">
        <v>100155</v>
      </c>
      <c r="F1203">
        <v>5</v>
      </c>
      <c r="G1203" t="str" cm="1">
        <f t="array" ref="G1203">_xlfn.IFS(Table2[[#This Row],[Spending Score (1-100)]]&lt;=25,"Low",Table2[[#This Row],[Spending Score (1-100)]]&lt;=50,"Medium",Table2[[#This Row],[Spending Score (1-100)]]&lt;=75,"High",Table2[[#This Row],[Spending Score (1-100)]]&lt;=100,"Very High")</f>
        <v>Low</v>
      </c>
      <c r="H1203" t="s">
        <v>9</v>
      </c>
      <c r="I1203">
        <v>6</v>
      </c>
      <c r="J1203" t="str">
        <f>CONCATENATE(Table2[[#This Row],[Work Experience]],"years")</f>
        <v>6years</v>
      </c>
      <c r="K1203" t="str">
        <f>CONCATENATE(Table2[[#This Row],[Family Size2]],"members")</f>
        <v>1members</v>
      </c>
      <c r="L1203" t="str">
        <f>CONCATENATE(Table2[[#This Row],[Family Size2]],"members")</f>
        <v>1members</v>
      </c>
      <c r="M1203">
        <v>1</v>
      </c>
    </row>
    <row r="1204" spans="1:13">
      <c r="A1204">
        <v>1203</v>
      </c>
      <c r="B1204" t="s">
        <v>11</v>
      </c>
      <c r="C1204">
        <v>32</v>
      </c>
      <c r="D1204" t="str" cm="1">
        <f t="array" ref="D1204">_xlfn.IFS(Table2[[#This Row],[Age]]&lt;=11,"Gen A",Table2[[#This Row],[Age]]&lt;=27,"Gen Z",Table2[[#This Row],[Age]]&lt;=43,"Millenials",Table2[[#This Row],[Age]]&lt;=59,"Gen X",Table2[[#This Row],[Age]]&lt;=78,"Baby Boomers",Table2[[#This Row],[Age]]&lt;=96,"Silent",Table2[[#This Row],[Age]]&gt;=97,"Greatest")</f>
        <v>Millenials</v>
      </c>
      <c r="E1204" s="1">
        <v>110846</v>
      </c>
      <c r="F1204">
        <v>49</v>
      </c>
      <c r="G1204" t="str" cm="1">
        <f t="array" ref="G1204">_xlfn.IFS(Table2[[#This Row],[Spending Score (1-100)]]&lt;=25,"Low",Table2[[#This Row],[Spending Score (1-100)]]&lt;=50,"Medium",Table2[[#This Row],[Spending Score (1-100)]]&lt;=75,"High",Table2[[#This Row],[Spending Score (1-100)]]&lt;=100,"Very High")</f>
        <v>Medium</v>
      </c>
      <c r="H1204" t="s">
        <v>14</v>
      </c>
      <c r="I1204">
        <v>0</v>
      </c>
      <c r="J1204" t="str">
        <f>CONCATENATE(Table2[[#This Row],[Work Experience]],"years")</f>
        <v>0years</v>
      </c>
      <c r="K1204" t="str">
        <f>CONCATENATE(Table2[[#This Row],[Family Size2]],"members")</f>
        <v>2members</v>
      </c>
      <c r="L1204" t="str">
        <f>CONCATENATE(Table2[[#This Row],[Family Size2]],"members")</f>
        <v>2members</v>
      </c>
      <c r="M1204">
        <v>2</v>
      </c>
    </row>
    <row r="1205" spans="1:13">
      <c r="A1205">
        <v>1204</v>
      </c>
      <c r="B1205" t="s">
        <v>11</v>
      </c>
      <c r="C1205">
        <v>1</v>
      </c>
      <c r="D1205" t="str" cm="1">
        <f t="array" ref="D1205">_xlfn.IFS(Table2[[#This Row],[Age]]&lt;=11,"Gen A",Table2[[#This Row],[Age]]&lt;=27,"Gen Z",Table2[[#This Row],[Age]]&lt;=43,"Millenials",Table2[[#This Row],[Age]]&lt;=59,"Gen X",Table2[[#This Row],[Age]]&lt;=78,"Baby Boomers",Table2[[#This Row],[Age]]&lt;=96,"Silent",Table2[[#This Row],[Age]]&gt;=97,"Greatest")</f>
        <v>Gen A</v>
      </c>
      <c r="E1205" s="1">
        <v>106841</v>
      </c>
      <c r="F1205">
        <v>69</v>
      </c>
      <c r="G1205" t="str" cm="1">
        <f t="array" ref="G1205">_xlfn.IFS(Table2[[#This Row],[Spending Score (1-100)]]&lt;=25,"Low",Table2[[#This Row],[Spending Score (1-100)]]&lt;=50,"Medium",Table2[[#This Row],[Spending Score (1-100)]]&lt;=75,"High",Table2[[#This Row],[Spending Score (1-100)]]&lt;=100,"Very High")</f>
        <v>High</v>
      </c>
      <c r="H1205" t="s">
        <v>13</v>
      </c>
      <c r="I1205">
        <v>0</v>
      </c>
      <c r="J1205" t="str">
        <f>CONCATENATE(Table2[[#This Row],[Work Experience]],"years")</f>
        <v>0years</v>
      </c>
      <c r="K1205" t="str">
        <f>CONCATENATE(Table2[[#This Row],[Family Size2]],"members")</f>
        <v>3members</v>
      </c>
      <c r="L1205" t="str">
        <f>CONCATENATE(Table2[[#This Row],[Family Size2]],"members")</f>
        <v>3members</v>
      </c>
      <c r="M1205">
        <v>3</v>
      </c>
    </row>
    <row r="1206" spans="1:13">
      <c r="A1206">
        <v>1205</v>
      </c>
      <c r="B1206" t="s">
        <v>11</v>
      </c>
      <c r="C1206">
        <v>54</v>
      </c>
      <c r="D1206" t="str" cm="1">
        <f t="array" ref="D1206">_xlfn.IFS(Table2[[#This Row],[Age]]&lt;=11,"Gen A",Table2[[#This Row],[Age]]&lt;=27,"Gen Z",Table2[[#This Row],[Age]]&lt;=43,"Millenials",Table2[[#This Row],[Age]]&lt;=59,"Gen X",Table2[[#This Row],[Age]]&lt;=78,"Baby Boomers",Table2[[#This Row],[Age]]&lt;=96,"Silent",Table2[[#This Row],[Age]]&gt;=97,"Greatest")</f>
        <v>Gen X</v>
      </c>
      <c r="E1206" s="1">
        <v>117181</v>
      </c>
      <c r="F1206">
        <v>66</v>
      </c>
      <c r="G1206" t="str" cm="1">
        <f t="array" ref="G1206">_xlfn.IFS(Table2[[#This Row],[Spending Score (1-100)]]&lt;=25,"Low",Table2[[#This Row],[Spending Score (1-100)]]&lt;=50,"Medium",Table2[[#This Row],[Spending Score (1-100)]]&lt;=75,"High",Table2[[#This Row],[Spending Score (1-100)]]&lt;=100,"Very High")</f>
        <v>High</v>
      </c>
      <c r="H1206" t="s">
        <v>16</v>
      </c>
      <c r="I1206">
        <v>12</v>
      </c>
      <c r="J1206" t="str">
        <f>CONCATENATE(Table2[[#This Row],[Work Experience]],"years")</f>
        <v>12years</v>
      </c>
      <c r="K1206" t="str">
        <f>CONCATENATE(Table2[[#This Row],[Family Size2]],"members")</f>
        <v>5members</v>
      </c>
      <c r="L1206" t="str">
        <f>CONCATENATE(Table2[[#This Row],[Family Size2]],"members")</f>
        <v>5members</v>
      </c>
      <c r="M1206">
        <v>5</v>
      </c>
    </row>
    <row r="1207" spans="1:13">
      <c r="A1207">
        <v>1206</v>
      </c>
      <c r="B1207" t="s">
        <v>11</v>
      </c>
      <c r="C1207">
        <v>56</v>
      </c>
      <c r="D1207" t="str" cm="1">
        <f t="array" ref="D1207">_xlfn.IFS(Table2[[#This Row],[Age]]&lt;=11,"Gen A",Table2[[#This Row],[Age]]&lt;=27,"Gen Z",Table2[[#This Row],[Age]]&lt;=43,"Millenials",Table2[[#This Row],[Age]]&lt;=59,"Gen X",Table2[[#This Row],[Age]]&lt;=78,"Baby Boomers",Table2[[#This Row],[Age]]&lt;=96,"Silent",Table2[[#This Row],[Age]]&gt;=97,"Greatest")</f>
        <v>Gen X</v>
      </c>
      <c r="E1207" s="1">
        <v>86898</v>
      </c>
      <c r="F1207">
        <v>76</v>
      </c>
      <c r="G1207" t="str" cm="1">
        <f t="array" ref="G1207">_xlfn.IFS(Table2[[#This Row],[Spending Score (1-100)]]&lt;=25,"Low",Table2[[#This Row],[Spending Score (1-100)]]&lt;=50,"Medium",Table2[[#This Row],[Spending Score (1-100)]]&lt;=75,"High",Table2[[#This Row],[Spending Score (1-100)]]&lt;=100,"Very High")</f>
        <v>Very High</v>
      </c>
      <c r="H1207" t="s">
        <v>9</v>
      </c>
      <c r="I1207">
        <v>0</v>
      </c>
      <c r="J1207" t="str">
        <f>CONCATENATE(Table2[[#This Row],[Work Experience]],"years")</f>
        <v>0years</v>
      </c>
      <c r="K1207" t="str">
        <f>CONCATENATE(Table2[[#This Row],[Family Size2]],"members")</f>
        <v>6members</v>
      </c>
      <c r="L1207" t="str">
        <f>CONCATENATE(Table2[[#This Row],[Family Size2]],"members")</f>
        <v>6members</v>
      </c>
      <c r="M1207">
        <v>6</v>
      </c>
    </row>
    <row r="1208" spans="1:13">
      <c r="A1208">
        <v>1207</v>
      </c>
      <c r="B1208" t="s">
        <v>11</v>
      </c>
      <c r="C1208">
        <v>31</v>
      </c>
      <c r="D1208" t="str" cm="1">
        <f t="array" ref="D1208">_xlfn.IFS(Table2[[#This Row],[Age]]&lt;=11,"Gen A",Table2[[#This Row],[Age]]&lt;=27,"Gen Z",Table2[[#This Row],[Age]]&lt;=43,"Millenials",Table2[[#This Row],[Age]]&lt;=59,"Gen X",Table2[[#This Row],[Age]]&lt;=78,"Baby Boomers",Table2[[#This Row],[Age]]&lt;=96,"Silent",Table2[[#This Row],[Age]]&gt;=97,"Greatest")</f>
        <v>Millenials</v>
      </c>
      <c r="E1208" s="1">
        <v>143241</v>
      </c>
      <c r="F1208">
        <v>81</v>
      </c>
      <c r="G1208" t="str" cm="1">
        <f t="array" ref="G1208">_xlfn.IFS(Table2[[#This Row],[Spending Score (1-100)]]&lt;=25,"Low",Table2[[#This Row],[Spending Score (1-100)]]&lt;=50,"Medium",Table2[[#This Row],[Spending Score (1-100)]]&lt;=75,"High",Table2[[#This Row],[Spending Score (1-100)]]&lt;=100,"Very High")</f>
        <v>Very High</v>
      </c>
      <c r="H1208" t="s">
        <v>15</v>
      </c>
      <c r="I1208">
        <v>4</v>
      </c>
      <c r="J1208" t="str">
        <f>CONCATENATE(Table2[[#This Row],[Work Experience]],"years")</f>
        <v>4years</v>
      </c>
      <c r="K1208" t="str">
        <f>CONCATENATE(Table2[[#This Row],[Family Size2]],"members")</f>
        <v>7members</v>
      </c>
      <c r="L1208" t="str">
        <f>CONCATENATE(Table2[[#This Row],[Family Size2]],"members")</f>
        <v>7members</v>
      </c>
      <c r="M1208">
        <v>7</v>
      </c>
    </row>
    <row r="1209" spans="1:13">
      <c r="A1209">
        <v>1208</v>
      </c>
      <c r="B1209" t="s">
        <v>11</v>
      </c>
      <c r="C1209">
        <v>26</v>
      </c>
      <c r="D1209" t="str" cm="1">
        <f t="array" ref="D1209">_xlfn.IFS(Table2[[#This Row],[Age]]&lt;=11,"Gen A",Table2[[#This Row],[Age]]&lt;=27,"Gen Z",Table2[[#This Row],[Age]]&lt;=43,"Millenials",Table2[[#This Row],[Age]]&lt;=59,"Gen X",Table2[[#This Row],[Age]]&lt;=78,"Baby Boomers",Table2[[#This Row],[Age]]&lt;=96,"Silent",Table2[[#This Row],[Age]]&gt;=97,"Greatest")</f>
        <v>Gen Z</v>
      </c>
      <c r="E1209" s="1">
        <v>146028</v>
      </c>
      <c r="F1209">
        <v>33</v>
      </c>
      <c r="G1209" t="str" cm="1">
        <f t="array" ref="G1209">_xlfn.IFS(Table2[[#This Row],[Spending Score (1-100)]]&lt;=25,"Low",Table2[[#This Row],[Spending Score (1-100)]]&lt;=50,"Medium",Table2[[#This Row],[Spending Score (1-100)]]&lt;=75,"High",Table2[[#This Row],[Spending Score (1-100)]]&lt;=100,"Very High")</f>
        <v>Medium</v>
      </c>
      <c r="H1209" t="s">
        <v>9</v>
      </c>
      <c r="I1209">
        <v>0</v>
      </c>
      <c r="J1209" t="str">
        <f>CONCATENATE(Table2[[#This Row],[Work Experience]],"years")</f>
        <v>0years</v>
      </c>
      <c r="K1209" t="str">
        <f>CONCATENATE(Table2[[#This Row],[Family Size2]],"members")</f>
        <v>5members</v>
      </c>
      <c r="L1209" t="str">
        <f>CONCATENATE(Table2[[#This Row],[Family Size2]],"members")</f>
        <v>5members</v>
      </c>
      <c r="M1209">
        <v>5</v>
      </c>
    </row>
    <row r="1210" spans="1:13">
      <c r="A1210">
        <v>1209</v>
      </c>
      <c r="B1210" t="s">
        <v>8</v>
      </c>
      <c r="C1210">
        <v>7</v>
      </c>
      <c r="D1210" t="str" cm="1">
        <f t="array" ref="D1210">_xlfn.IFS(Table2[[#This Row],[Age]]&lt;=11,"Gen A",Table2[[#This Row],[Age]]&lt;=27,"Gen Z",Table2[[#This Row],[Age]]&lt;=43,"Millenials",Table2[[#This Row],[Age]]&lt;=59,"Gen X",Table2[[#This Row],[Age]]&lt;=78,"Baby Boomers",Table2[[#This Row],[Age]]&lt;=96,"Silent",Table2[[#This Row],[Age]]&gt;=97,"Greatest")</f>
        <v>Gen A</v>
      </c>
      <c r="E1210" s="1">
        <v>165287</v>
      </c>
      <c r="F1210">
        <v>65</v>
      </c>
      <c r="G1210" t="str" cm="1">
        <f t="array" ref="G1210">_xlfn.IFS(Table2[[#This Row],[Spending Score (1-100)]]&lt;=25,"Low",Table2[[#This Row],[Spending Score (1-100)]]&lt;=50,"Medium",Table2[[#This Row],[Spending Score (1-100)]]&lt;=75,"High",Table2[[#This Row],[Spending Score (1-100)]]&lt;=100,"Very High")</f>
        <v>High</v>
      </c>
      <c r="H1210" t="s">
        <v>16</v>
      </c>
      <c r="I1210">
        <v>1</v>
      </c>
      <c r="J1210" t="str">
        <f>CONCATENATE(Table2[[#This Row],[Work Experience]],"years")</f>
        <v>1years</v>
      </c>
      <c r="K1210" t="str">
        <f>CONCATENATE(Table2[[#This Row],[Family Size2]],"members")</f>
        <v>3members</v>
      </c>
      <c r="L1210" t="str">
        <f>CONCATENATE(Table2[[#This Row],[Family Size2]],"members")</f>
        <v>3members</v>
      </c>
      <c r="M1210">
        <v>3</v>
      </c>
    </row>
    <row r="1211" spans="1:13">
      <c r="A1211">
        <v>1210</v>
      </c>
      <c r="B1211" t="s">
        <v>11</v>
      </c>
      <c r="C1211">
        <v>60</v>
      </c>
      <c r="D1211" t="str" cm="1">
        <f t="array" ref="D1211">_xlfn.IFS(Table2[[#This Row],[Age]]&lt;=11,"Gen A",Table2[[#This Row],[Age]]&lt;=27,"Gen Z",Table2[[#This Row],[Age]]&lt;=43,"Millenials",Table2[[#This Row],[Age]]&lt;=59,"Gen X",Table2[[#This Row],[Age]]&lt;=78,"Baby Boomers",Table2[[#This Row],[Age]]&lt;=96,"Silent",Table2[[#This Row],[Age]]&gt;=97,"Greatest")</f>
        <v>Baby Boomers</v>
      </c>
      <c r="E1211" s="1">
        <v>132486</v>
      </c>
      <c r="F1211">
        <v>9</v>
      </c>
      <c r="G1211" t="str" cm="1">
        <f t="array" ref="G1211">_xlfn.IFS(Table2[[#This Row],[Spending Score (1-100)]]&lt;=25,"Low",Table2[[#This Row],[Spending Score (1-100)]]&lt;=50,"Medium",Table2[[#This Row],[Spending Score (1-100)]]&lt;=75,"High",Table2[[#This Row],[Spending Score (1-100)]]&lt;=100,"Very High")</f>
        <v>Low</v>
      </c>
      <c r="H1211" t="s">
        <v>14</v>
      </c>
      <c r="I1211">
        <v>1</v>
      </c>
      <c r="J1211" t="str">
        <f>CONCATENATE(Table2[[#This Row],[Work Experience]],"years")</f>
        <v>1years</v>
      </c>
      <c r="K1211" t="str">
        <f>CONCATENATE(Table2[[#This Row],[Family Size2]],"members")</f>
        <v>2members</v>
      </c>
      <c r="L1211" t="str">
        <f>CONCATENATE(Table2[[#This Row],[Family Size2]],"members")</f>
        <v>2members</v>
      </c>
      <c r="M1211">
        <v>2</v>
      </c>
    </row>
    <row r="1212" spans="1:13">
      <c r="A1212">
        <v>1211</v>
      </c>
      <c r="B1212" t="s">
        <v>8</v>
      </c>
      <c r="C1212">
        <v>92</v>
      </c>
      <c r="D1212" t="str" cm="1">
        <f t="array" ref="D1212">_xlfn.IFS(Table2[[#This Row],[Age]]&lt;=11,"Gen A",Table2[[#This Row],[Age]]&lt;=27,"Gen Z",Table2[[#This Row],[Age]]&lt;=43,"Millenials",Table2[[#This Row],[Age]]&lt;=59,"Gen X",Table2[[#This Row],[Age]]&lt;=78,"Baby Boomers",Table2[[#This Row],[Age]]&lt;=96,"Silent",Table2[[#This Row],[Age]]&gt;=97,"Greatest")</f>
        <v>Silent</v>
      </c>
      <c r="E1212" s="1">
        <v>96424</v>
      </c>
      <c r="F1212">
        <v>74</v>
      </c>
      <c r="G1212" t="str" cm="1">
        <f t="array" ref="G1212">_xlfn.IFS(Table2[[#This Row],[Spending Score (1-100)]]&lt;=25,"Low",Table2[[#This Row],[Spending Score (1-100)]]&lt;=50,"Medium",Table2[[#This Row],[Spending Score (1-100)]]&lt;=75,"High",Table2[[#This Row],[Spending Score (1-100)]]&lt;=100,"Very High")</f>
        <v>High</v>
      </c>
      <c r="H1212" t="s">
        <v>14</v>
      </c>
      <c r="I1212">
        <v>8</v>
      </c>
      <c r="J1212" t="str">
        <f>CONCATENATE(Table2[[#This Row],[Work Experience]],"years")</f>
        <v>8years</v>
      </c>
      <c r="K1212" t="str">
        <f>CONCATENATE(Table2[[#This Row],[Family Size2]],"members")</f>
        <v>5members</v>
      </c>
      <c r="L1212" t="str">
        <f>CONCATENATE(Table2[[#This Row],[Family Size2]],"members")</f>
        <v>5members</v>
      </c>
      <c r="M1212">
        <v>5</v>
      </c>
    </row>
    <row r="1213" spans="1:13">
      <c r="A1213">
        <v>1212</v>
      </c>
      <c r="B1213" t="s">
        <v>11</v>
      </c>
      <c r="C1213">
        <v>93</v>
      </c>
      <c r="D1213" t="str" cm="1">
        <f t="array" ref="D1213">_xlfn.IFS(Table2[[#This Row],[Age]]&lt;=11,"Gen A",Table2[[#This Row],[Age]]&lt;=27,"Gen Z",Table2[[#This Row],[Age]]&lt;=43,"Millenials",Table2[[#This Row],[Age]]&lt;=59,"Gen X",Table2[[#This Row],[Age]]&lt;=78,"Baby Boomers",Table2[[#This Row],[Age]]&lt;=96,"Silent",Table2[[#This Row],[Age]]&gt;=97,"Greatest")</f>
        <v>Silent</v>
      </c>
      <c r="E1213" s="1">
        <v>151468</v>
      </c>
      <c r="F1213">
        <v>41</v>
      </c>
      <c r="G1213" t="str" cm="1">
        <f t="array" ref="G1213">_xlfn.IFS(Table2[[#This Row],[Spending Score (1-100)]]&lt;=25,"Low",Table2[[#This Row],[Spending Score (1-100)]]&lt;=50,"Medium",Table2[[#This Row],[Spending Score (1-100)]]&lt;=75,"High",Table2[[#This Row],[Spending Score (1-100)]]&lt;=100,"Very High")</f>
        <v>Medium</v>
      </c>
      <c r="H1213" t="s">
        <v>14</v>
      </c>
      <c r="I1213">
        <v>1</v>
      </c>
      <c r="J1213" t="str">
        <f>CONCATENATE(Table2[[#This Row],[Work Experience]],"years")</f>
        <v>1years</v>
      </c>
      <c r="K1213" t="str">
        <f>CONCATENATE(Table2[[#This Row],[Family Size2]],"members")</f>
        <v>5members</v>
      </c>
      <c r="L1213" t="str">
        <f>CONCATENATE(Table2[[#This Row],[Family Size2]],"members")</f>
        <v>5members</v>
      </c>
      <c r="M1213">
        <v>5</v>
      </c>
    </row>
    <row r="1214" spans="1:13">
      <c r="A1214">
        <v>1213</v>
      </c>
      <c r="B1214" t="s">
        <v>11</v>
      </c>
      <c r="C1214">
        <v>8</v>
      </c>
      <c r="D1214" t="str" cm="1">
        <f t="array" ref="D1214">_xlfn.IFS(Table2[[#This Row],[Age]]&lt;=11,"Gen A",Table2[[#This Row],[Age]]&lt;=27,"Gen Z",Table2[[#This Row],[Age]]&lt;=43,"Millenials",Table2[[#This Row],[Age]]&lt;=59,"Gen X",Table2[[#This Row],[Age]]&lt;=78,"Baby Boomers",Table2[[#This Row],[Age]]&lt;=96,"Silent",Table2[[#This Row],[Age]]&gt;=97,"Greatest")</f>
        <v>Gen A</v>
      </c>
      <c r="E1214" s="1">
        <v>76561</v>
      </c>
      <c r="F1214">
        <v>79</v>
      </c>
      <c r="G1214" t="str" cm="1">
        <f t="array" ref="G1214">_xlfn.IFS(Table2[[#This Row],[Spending Score (1-100)]]&lt;=25,"Low",Table2[[#This Row],[Spending Score (1-100)]]&lt;=50,"Medium",Table2[[#This Row],[Spending Score (1-100)]]&lt;=75,"High",Table2[[#This Row],[Spending Score (1-100)]]&lt;=100,"Very High")</f>
        <v>Very High</v>
      </c>
      <c r="H1214" t="s">
        <v>9</v>
      </c>
      <c r="I1214">
        <v>0</v>
      </c>
      <c r="J1214" t="str">
        <f>CONCATENATE(Table2[[#This Row],[Work Experience]],"years")</f>
        <v>0years</v>
      </c>
      <c r="K1214" t="str">
        <f>CONCATENATE(Table2[[#This Row],[Family Size2]],"members")</f>
        <v>1members</v>
      </c>
      <c r="L1214" t="str">
        <f>CONCATENATE(Table2[[#This Row],[Family Size2]],"members")</f>
        <v>1members</v>
      </c>
      <c r="M1214">
        <v>1</v>
      </c>
    </row>
    <row r="1215" spans="1:13">
      <c r="A1215">
        <v>1214</v>
      </c>
      <c r="B1215" t="s">
        <v>11</v>
      </c>
      <c r="C1215">
        <v>81</v>
      </c>
      <c r="D1215" t="str" cm="1">
        <f t="array" ref="D1215">_xlfn.IFS(Table2[[#This Row],[Age]]&lt;=11,"Gen A",Table2[[#This Row],[Age]]&lt;=27,"Gen Z",Table2[[#This Row],[Age]]&lt;=43,"Millenials",Table2[[#This Row],[Age]]&lt;=59,"Gen X",Table2[[#This Row],[Age]]&lt;=78,"Baby Boomers",Table2[[#This Row],[Age]]&lt;=96,"Silent",Table2[[#This Row],[Age]]&gt;=97,"Greatest")</f>
        <v>Silent</v>
      </c>
      <c r="E1215" s="1">
        <v>125316</v>
      </c>
      <c r="F1215">
        <v>81</v>
      </c>
      <c r="G1215" t="str" cm="1">
        <f t="array" ref="G1215">_xlfn.IFS(Table2[[#This Row],[Spending Score (1-100)]]&lt;=25,"Low",Table2[[#This Row],[Spending Score (1-100)]]&lt;=50,"Medium",Table2[[#This Row],[Spending Score (1-100)]]&lt;=75,"High",Table2[[#This Row],[Spending Score (1-100)]]&lt;=100,"Very High")</f>
        <v>Very High</v>
      </c>
      <c r="H1215" t="s">
        <v>12</v>
      </c>
      <c r="I1215">
        <v>0</v>
      </c>
      <c r="J1215" t="str">
        <f>CONCATENATE(Table2[[#This Row],[Work Experience]],"years")</f>
        <v>0years</v>
      </c>
      <c r="K1215" t="str">
        <f>CONCATENATE(Table2[[#This Row],[Family Size2]],"members")</f>
        <v>6members</v>
      </c>
      <c r="L1215" t="str">
        <f>CONCATENATE(Table2[[#This Row],[Family Size2]],"members")</f>
        <v>6members</v>
      </c>
      <c r="M1215">
        <v>6</v>
      </c>
    </row>
    <row r="1216" spans="1:13">
      <c r="A1216">
        <v>1215</v>
      </c>
      <c r="B1216" t="s">
        <v>8</v>
      </c>
      <c r="C1216">
        <v>21</v>
      </c>
      <c r="D1216" t="str" cm="1">
        <f t="array" ref="D1216">_xlfn.IFS(Table2[[#This Row],[Age]]&lt;=11,"Gen A",Table2[[#This Row],[Age]]&lt;=27,"Gen Z",Table2[[#This Row],[Age]]&lt;=43,"Millenials",Table2[[#This Row],[Age]]&lt;=59,"Gen X",Table2[[#This Row],[Age]]&lt;=78,"Baby Boomers",Table2[[#This Row],[Age]]&lt;=96,"Silent",Table2[[#This Row],[Age]]&gt;=97,"Greatest")</f>
        <v>Gen Z</v>
      </c>
      <c r="E1216" s="1">
        <v>109373</v>
      </c>
      <c r="F1216">
        <v>22</v>
      </c>
      <c r="G1216" t="str" cm="1">
        <f t="array" ref="G1216">_xlfn.IFS(Table2[[#This Row],[Spending Score (1-100)]]&lt;=25,"Low",Table2[[#This Row],[Spending Score (1-100)]]&lt;=50,"Medium",Table2[[#This Row],[Spending Score (1-100)]]&lt;=75,"High",Table2[[#This Row],[Spending Score (1-100)]]&lt;=100,"Very High")</f>
        <v>Low</v>
      </c>
      <c r="H1216" t="s">
        <v>13</v>
      </c>
      <c r="I1216">
        <v>4</v>
      </c>
      <c r="J1216" t="str">
        <f>CONCATENATE(Table2[[#This Row],[Work Experience]],"years")</f>
        <v>4years</v>
      </c>
      <c r="K1216" t="str">
        <f>CONCATENATE(Table2[[#This Row],[Family Size2]],"members")</f>
        <v>2members</v>
      </c>
      <c r="L1216" t="str">
        <f>CONCATENATE(Table2[[#This Row],[Family Size2]],"members")</f>
        <v>2members</v>
      </c>
      <c r="M1216">
        <v>2</v>
      </c>
    </row>
    <row r="1217" spans="1:13">
      <c r="A1217">
        <v>1216</v>
      </c>
      <c r="B1217" t="s">
        <v>8</v>
      </c>
      <c r="C1217">
        <v>96</v>
      </c>
      <c r="D1217" t="str" cm="1">
        <f t="array" ref="D1217">_xlfn.IFS(Table2[[#This Row],[Age]]&lt;=11,"Gen A",Table2[[#This Row],[Age]]&lt;=27,"Gen Z",Table2[[#This Row],[Age]]&lt;=43,"Millenials",Table2[[#This Row],[Age]]&lt;=59,"Gen X",Table2[[#This Row],[Age]]&lt;=78,"Baby Boomers",Table2[[#This Row],[Age]]&lt;=96,"Silent",Table2[[#This Row],[Age]]&gt;=97,"Greatest")</f>
        <v>Silent</v>
      </c>
      <c r="E1217" s="1">
        <v>135042</v>
      </c>
      <c r="F1217">
        <v>12</v>
      </c>
      <c r="G1217" t="str" cm="1">
        <f t="array" ref="G1217">_xlfn.IFS(Table2[[#This Row],[Spending Score (1-100)]]&lt;=25,"Low",Table2[[#This Row],[Spending Score (1-100)]]&lt;=50,"Medium",Table2[[#This Row],[Spending Score (1-100)]]&lt;=75,"High",Table2[[#This Row],[Spending Score (1-100)]]&lt;=100,"Very High")</f>
        <v>Low</v>
      </c>
      <c r="H1217" t="s">
        <v>14</v>
      </c>
      <c r="I1217">
        <v>0</v>
      </c>
      <c r="J1217" t="str">
        <f>CONCATENATE(Table2[[#This Row],[Work Experience]],"years")</f>
        <v>0years</v>
      </c>
      <c r="K1217" t="str">
        <f>CONCATENATE(Table2[[#This Row],[Family Size2]],"members")</f>
        <v>7members</v>
      </c>
      <c r="L1217" t="str">
        <f>CONCATENATE(Table2[[#This Row],[Family Size2]],"members")</f>
        <v>7members</v>
      </c>
      <c r="M1217">
        <v>7</v>
      </c>
    </row>
    <row r="1218" spans="1:13">
      <c r="A1218">
        <v>1217</v>
      </c>
      <c r="B1218" t="s">
        <v>11</v>
      </c>
      <c r="C1218">
        <v>78</v>
      </c>
      <c r="D1218" t="str" cm="1">
        <f t="array" ref="D1218">_xlfn.IFS(Table2[[#This Row],[Age]]&lt;=11,"Gen A",Table2[[#This Row],[Age]]&lt;=27,"Gen Z",Table2[[#This Row],[Age]]&lt;=43,"Millenials",Table2[[#This Row],[Age]]&lt;=59,"Gen X",Table2[[#This Row],[Age]]&lt;=78,"Baby Boomers",Table2[[#This Row],[Age]]&lt;=96,"Silent",Table2[[#This Row],[Age]]&gt;=97,"Greatest")</f>
        <v>Baby Boomers</v>
      </c>
      <c r="E1218" s="1">
        <v>59784</v>
      </c>
      <c r="F1218">
        <v>81</v>
      </c>
      <c r="G1218" t="str" cm="1">
        <f t="array" ref="G1218">_xlfn.IFS(Table2[[#This Row],[Spending Score (1-100)]]&lt;=25,"Low",Table2[[#This Row],[Spending Score (1-100)]]&lt;=50,"Medium",Table2[[#This Row],[Spending Score (1-100)]]&lt;=75,"High",Table2[[#This Row],[Spending Score (1-100)]]&lt;=100,"Very High")</f>
        <v>Very High</v>
      </c>
      <c r="H1218" t="s">
        <v>14</v>
      </c>
      <c r="I1218">
        <v>3</v>
      </c>
      <c r="J1218" t="str">
        <f>CONCATENATE(Table2[[#This Row],[Work Experience]],"years")</f>
        <v>3years</v>
      </c>
      <c r="K1218" t="str">
        <f>CONCATENATE(Table2[[#This Row],[Family Size2]],"members")</f>
        <v>3members</v>
      </c>
      <c r="L1218" t="str">
        <f>CONCATENATE(Table2[[#This Row],[Family Size2]],"members")</f>
        <v>3members</v>
      </c>
      <c r="M1218">
        <v>3</v>
      </c>
    </row>
    <row r="1219" spans="1:13">
      <c r="A1219">
        <v>1218</v>
      </c>
      <c r="B1219" t="s">
        <v>8</v>
      </c>
      <c r="C1219">
        <v>86</v>
      </c>
      <c r="D1219" t="str" cm="1">
        <f t="array" ref="D1219">_xlfn.IFS(Table2[[#This Row],[Age]]&lt;=11,"Gen A",Table2[[#This Row],[Age]]&lt;=27,"Gen Z",Table2[[#This Row],[Age]]&lt;=43,"Millenials",Table2[[#This Row],[Age]]&lt;=59,"Gen X",Table2[[#This Row],[Age]]&lt;=78,"Baby Boomers",Table2[[#This Row],[Age]]&lt;=96,"Silent",Table2[[#This Row],[Age]]&gt;=97,"Greatest")</f>
        <v>Silent</v>
      </c>
      <c r="E1219" s="1">
        <v>140687</v>
      </c>
      <c r="F1219">
        <v>63</v>
      </c>
      <c r="G1219" t="str" cm="1">
        <f t="array" ref="G1219">_xlfn.IFS(Table2[[#This Row],[Spending Score (1-100)]]&lt;=25,"Low",Table2[[#This Row],[Spending Score (1-100)]]&lt;=50,"Medium",Table2[[#This Row],[Spending Score (1-100)]]&lt;=75,"High",Table2[[#This Row],[Spending Score (1-100)]]&lt;=100,"Very High")</f>
        <v>High</v>
      </c>
      <c r="H1219" t="s">
        <v>14</v>
      </c>
      <c r="I1219">
        <v>1</v>
      </c>
      <c r="J1219" t="str">
        <f>CONCATENATE(Table2[[#This Row],[Work Experience]],"years")</f>
        <v>1years</v>
      </c>
      <c r="K1219" t="str">
        <f>CONCATENATE(Table2[[#This Row],[Family Size2]],"members")</f>
        <v>2members</v>
      </c>
      <c r="L1219" t="str">
        <f>CONCATENATE(Table2[[#This Row],[Family Size2]],"members")</f>
        <v>2members</v>
      </c>
      <c r="M1219">
        <v>2</v>
      </c>
    </row>
    <row r="1220" spans="1:13">
      <c r="A1220">
        <v>1219</v>
      </c>
      <c r="B1220" t="s">
        <v>8</v>
      </c>
      <c r="C1220">
        <v>1</v>
      </c>
      <c r="D1220" t="str" cm="1">
        <f t="array" ref="D1220">_xlfn.IFS(Table2[[#This Row],[Age]]&lt;=11,"Gen A",Table2[[#This Row],[Age]]&lt;=27,"Gen Z",Table2[[#This Row],[Age]]&lt;=43,"Millenials",Table2[[#This Row],[Age]]&lt;=59,"Gen X",Table2[[#This Row],[Age]]&lt;=78,"Baby Boomers",Table2[[#This Row],[Age]]&lt;=96,"Silent",Table2[[#This Row],[Age]]&gt;=97,"Greatest")</f>
        <v>Gen A</v>
      </c>
      <c r="E1220" s="1">
        <v>182927</v>
      </c>
      <c r="F1220">
        <v>55</v>
      </c>
      <c r="G1220" t="str" cm="1">
        <f t="array" ref="G1220">_xlfn.IFS(Table2[[#This Row],[Spending Score (1-100)]]&lt;=25,"Low",Table2[[#This Row],[Spending Score (1-100)]]&lt;=50,"Medium",Table2[[#This Row],[Spending Score (1-100)]]&lt;=75,"High",Table2[[#This Row],[Spending Score (1-100)]]&lt;=100,"Very High")</f>
        <v>High</v>
      </c>
      <c r="H1220" t="s">
        <v>9</v>
      </c>
      <c r="I1220">
        <v>1</v>
      </c>
      <c r="J1220" t="str">
        <f>CONCATENATE(Table2[[#This Row],[Work Experience]],"years")</f>
        <v>1years</v>
      </c>
      <c r="K1220" t="str">
        <f>CONCATENATE(Table2[[#This Row],[Family Size2]],"members")</f>
        <v>1members</v>
      </c>
      <c r="L1220" t="str">
        <f>CONCATENATE(Table2[[#This Row],[Family Size2]],"members")</f>
        <v>1members</v>
      </c>
      <c r="M1220">
        <v>1</v>
      </c>
    </row>
    <row r="1221" spans="1:13">
      <c r="A1221">
        <v>1220</v>
      </c>
      <c r="B1221" t="s">
        <v>11</v>
      </c>
      <c r="C1221">
        <v>62</v>
      </c>
      <c r="D1221" t="str" cm="1">
        <f t="array" ref="D1221">_xlfn.IFS(Table2[[#This Row],[Age]]&lt;=11,"Gen A",Table2[[#This Row],[Age]]&lt;=27,"Gen Z",Table2[[#This Row],[Age]]&lt;=43,"Millenials",Table2[[#This Row],[Age]]&lt;=59,"Gen X",Table2[[#This Row],[Age]]&lt;=78,"Baby Boomers",Table2[[#This Row],[Age]]&lt;=96,"Silent",Table2[[#This Row],[Age]]&gt;=97,"Greatest")</f>
        <v>Baby Boomers</v>
      </c>
      <c r="E1221" s="1">
        <v>175534</v>
      </c>
      <c r="F1221">
        <v>44</v>
      </c>
      <c r="G1221" t="str" cm="1">
        <f t="array" ref="G1221">_xlfn.IFS(Table2[[#This Row],[Spending Score (1-100)]]&lt;=25,"Low",Table2[[#This Row],[Spending Score (1-100)]]&lt;=50,"Medium",Table2[[#This Row],[Spending Score (1-100)]]&lt;=75,"High",Table2[[#This Row],[Spending Score (1-100)]]&lt;=100,"Very High")</f>
        <v>Medium</v>
      </c>
      <c r="H1221" t="s">
        <v>14</v>
      </c>
      <c r="I1221">
        <v>1</v>
      </c>
      <c r="J1221" t="str">
        <f>CONCATENATE(Table2[[#This Row],[Work Experience]],"years")</f>
        <v>1years</v>
      </c>
      <c r="K1221" t="str">
        <f>CONCATENATE(Table2[[#This Row],[Family Size2]],"members")</f>
        <v>6members</v>
      </c>
      <c r="L1221" t="str">
        <f>CONCATENATE(Table2[[#This Row],[Family Size2]],"members")</f>
        <v>6members</v>
      </c>
      <c r="M1221">
        <v>6</v>
      </c>
    </row>
    <row r="1222" spans="1:13">
      <c r="A1222">
        <v>1221</v>
      </c>
      <c r="B1222" t="s">
        <v>8</v>
      </c>
      <c r="C1222">
        <v>68</v>
      </c>
      <c r="D1222" t="str" cm="1">
        <f t="array" ref="D1222">_xlfn.IFS(Table2[[#This Row],[Age]]&lt;=11,"Gen A",Table2[[#This Row],[Age]]&lt;=27,"Gen Z",Table2[[#This Row],[Age]]&lt;=43,"Millenials",Table2[[#This Row],[Age]]&lt;=59,"Gen X",Table2[[#This Row],[Age]]&lt;=78,"Baby Boomers",Table2[[#This Row],[Age]]&lt;=96,"Silent",Table2[[#This Row],[Age]]&gt;=97,"Greatest")</f>
        <v>Baby Boomers</v>
      </c>
      <c r="E1222" s="1">
        <v>170957</v>
      </c>
      <c r="F1222">
        <v>6</v>
      </c>
      <c r="G1222" t="str" cm="1">
        <f t="array" ref="G1222">_xlfn.IFS(Table2[[#This Row],[Spending Score (1-100)]]&lt;=25,"Low",Table2[[#This Row],[Spending Score (1-100)]]&lt;=50,"Medium",Table2[[#This Row],[Spending Score (1-100)]]&lt;=75,"High",Table2[[#This Row],[Spending Score (1-100)]]&lt;=100,"Very High")</f>
        <v>Low</v>
      </c>
      <c r="H1222" t="s">
        <v>12</v>
      </c>
      <c r="I1222">
        <v>1</v>
      </c>
      <c r="J1222" t="str">
        <f>CONCATENATE(Table2[[#This Row],[Work Experience]],"years")</f>
        <v>1years</v>
      </c>
      <c r="K1222" t="str">
        <f>CONCATENATE(Table2[[#This Row],[Family Size2]],"members")</f>
        <v>3members</v>
      </c>
      <c r="L1222" t="str">
        <f>CONCATENATE(Table2[[#This Row],[Family Size2]],"members")</f>
        <v>3members</v>
      </c>
      <c r="M1222">
        <v>3</v>
      </c>
    </row>
    <row r="1223" spans="1:13">
      <c r="A1223">
        <v>1222</v>
      </c>
      <c r="B1223" t="s">
        <v>8</v>
      </c>
      <c r="C1223">
        <v>70</v>
      </c>
      <c r="D1223" t="str" cm="1">
        <f t="array" ref="D1223">_xlfn.IFS(Table2[[#This Row],[Age]]&lt;=11,"Gen A",Table2[[#This Row],[Age]]&lt;=27,"Gen Z",Table2[[#This Row],[Age]]&lt;=43,"Millenials",Table2[[#This Row],[Age]]&lt;=59,"Gen X",Table2[[#This Row],[Age]]&lt;=78,"Baby Boomers",Table2[[#This Row],[Age]]&lt;=96,"Silent",Table2[[#This Row],[Age]]&gt;=97,"Greatest")</f>
        <v>Baby Boomers</v>
      </c>
      <c r="E1223" s="1">
        <v>81197</v>
      </c>
      <c r="F1223">
        <v>76</v>
      </c>
      <c r="G1223" t="str" cm="1">
        <f t="array" ref="G1223">_xlfn.IFS(Table2[[#This Row],[Spending Score (1-100)]]&lt;=25,"Low",Table2[[#This Row],[Spending Score (1-100)]]&lt;=50,"Medium",Table2[[#This Row],[Spending Score (1-100)]]&lt;=75,"High",Table2[[#This Row],[Spending Score (1-100)]]&lt;=100,"Very High")</f>
        <v>Very High</v>
      </c>
      <c r="H1223" t="s">
        <v>14</v>
      </c>
      <c r="I1223">
        <v>0</v>
      </c>
      <c r="J1223" t="str">
        <f>CONCATENATE(Table2[[#This Row],[Work Experience]],"years")</f>
        <v>0years</v>
      </c>
      <c r="K1223" t="str">
        <f>CONCATENATE(Table2[[#This Row],[Family Size2]],"members")</f>
        <v>4members</v>
      </c>
      <c r="L1223" t="str">
        <f>CONCATENATE(Table2[[#This Row],[Family Size2]],"members")</f>
        <v>4members</v>
      </c>
      <c r="M1223">
        <v>4</v>
      </c>
    </row>
    <row r="1224" spans="1:13">
      <c r="A1224">
        <v>1223</v>
      </c>
      <c r="B1224" t="s">
        <v>11</v>
      </c>
      <c r="C1224">
        <v>21</v>
      </c>
      <c r="D1224" t="str" cm="1">
        <f t="array" ref="D1224">_xlfn.IFS(Table2[[#This Row],[Age]]&lt;=11,"Gen A",Table2[[#This Row],[Age]]&lt;=27,"Gen Z",Table2[[#This Row],[Age]]&lt;=43,"Millenials",Table2[[#This Row],[Age]]&lt;=59,"Gen X",Table2[[#This Row],[Age]]&lt;=78,"Baby Boomers",Table2[[#This Row],[Age]]&lt;=96,"Silent",Table2[[#This Row],[Age]]&gt;=97,"Greatest")</f>
        <v>Gen Z</v>
      </c>
      <c r="E1224" s="1">
        <v>104888</v>
      </c>
      <c r="F1224">
        <v>8</v>
      </c>
      <c r="G1224" t="str" cm="1">
        <f t="array" ref="G1224">_xlfn.IFS(Table2[[#This Row],[Spending Score (1-100)]]&lt;=25,"Low",Table2[[#This Row],[Spending Score (1-100)]]&lt;=50,"Medium",Table2[[#This Row],[Spending Score (1-100)]]&lt;=75,"High",Table2[[#This Row],[Spending Score (1-100)]]&lt;=100,"Very High")</f>
        <v>Low</v>
      </c>
      <c r="H1224" t="s">
        <v>9</v>
      </c>
      <c r="I1224">
        <v>0</v>
      </c>
      <c r="J1224" t="str">
        <f>CONCATENATE(Table2[[#This Row],[Work Experience]],"years")</f>
        <v>0years</v>
      </c>
      <c r="K1224" t="str">
        <f>CONCATENATE(Table2[[#This Row],[Family Size2]],"members")</f>
        <v>4members</v>
      </c>
      <c r="L1224" t="str">
        <f>CONCATENATE(Table2[[#This Row],[Family Size2]],"members")</f>
        <v>4members</v>
      </c>
      <c r="M1224">
        <v>4</v>
      </c>
    </row>
    <row r="1225" spans="1:13">
      <c r="A1225">
        <v>1224</v>
      </c>
      <c r="B1225" t="s">
        <v>8</v>
      </c>
      <c r="C1225">
        <v>74</v>
      </c>
      <c r="D1225" t="str" cm="1">
        <f t="array" ref="D1225">_xlfn.IFS(Table2[[#This Row],[Age]]&lt;=11,"Gen A",Table2[[#This Row],[Age]]&lt;=27,"Gen Z",Table2[[#This Row],[Age]]&lt;=43,"Millenials",Table2[[#This Row],[Age]]&lt;=59,"Gen X",Table2[[#This Row],[Age]]&lt;=78,"Baby Boomers",Table2[[#This Row],[Age]]&lt;=96,"Silent",Table2[[#This Row],[Age]]&gt;=97,"Greatest")</f>
        <v>Baby Boomers</v>
      </c>
      <c r="E1225" s="1">
        <v>184838</v>
      </c>
      <c r="F1225">
        <v>18</v>
      </c>
      <c r="G1225" t="str" cm="1">
        <f t="array" ref="G1225">_xlfn.IFS(Table2[[#This Row],[Spending Score (1-100)]]&lt;=25,"Low",Table2[[#This Row],[Spending Score (1-100)]]&lt;=50,"Medium",Table2[[#This Row],[Spending Score (1-100)]]&lt;=75,"High",Table2[[#This Row],[Spending Score (1-100)]]&lt;=100,"Very High")</f>
        <v>Low</v>
      </c>
      <c r="H1225" t="s">
        <v>19</v>
      </c>
      <c r="I1225">
        <v>8</v>
      </c>
      <c r="J1225" t="str">
        <f>CONCATENATE(Table2[[#This Row],[Work Experience]],"years")</f>
        <v>8years</v>
      </c>
      <c r="K1225" t="str">
        <f>CONCATENATE(Table2[[#This Row],[Family Size2]],"members")</f>
        <v>5members</v>
      </c>
      <c r="L1225" t="str">
        <f>CONCATENATE(Table2[[#This Row],[Family Size2]],"members")</f>
        <v>5members</v>
      </c>
      <c r="M1225">
        <v>5</v>
      </c>
    </row>
    <row r="1226" spans="1:13">
      <c r="A1226">
        <v>1225</v>
      </c>
      <c r="B1226" t="s">
        <v>11</v>
      </c>
      <c r="C1226">
        <v>62</v>
      </c>
      <c r="D1226" t="str" cm="1">
        <f t="array" ref="D1226">_xlfn.IFS(Table2[[#This Row],[Age]]&lt;=11,"Gen A",Table2[[#This Row],[Age]]&lt;=27,"Gen Z",Table2[[#This Row],[Age]]&lt;=43,"Millenials",Table2[[#This Row],[Age]]&lt;=59,"Gen X",Table2[[#This Row],[Age]]&lt;=78,"Baby Boomers",Table2[[#This Row],[Age]]&lt;=96,"Silent",Table2[[#This Row],[Age]]&gt;=97,"Greatest")</f>
        <v>Baby Boomers</v>
      </c>
      <c r="E1226" s="1">
        <v>139588</v>
      </c>
      <c r="F1226">
        <v>66</v>
      </c>
      <c r="G1226" t="str" cm="1">
        <f t="array" ref="G1226">_xlfn.IFS(Table2[[#This Row],[Spending Score (1-100)]]&lt;=25,"Low",Table2[[#This Row],[Spending Score (1-100)]]&lt;=50,"Medium",Table2[[#This Row],[Spending Score (1-100)]]&lt;=75,"High",Table2[[#This Row],[Spending Score (1-100)]]&lt;=100,"Very High")</f>
        <v>High</v>
      </c>
      <c r="H1226" t="s">
        <v>15</v>
      </c>
      <c r="I1226">
        <v>0</v>
      </c>
      <c r="J1226" t="str">
        <f>CONCATENATE(Table2[[#This Row],[Work Experience]],"years")</f>
        <v>0years</v>
      </c>
      <c r="K1226" t="str">
        <f>CONCATENATE(Table2[[#This Row],[Family Size2]],"members")</f>
        <v>2members</v>
      </c>
      <c r="L1226" t="str">
        <f>CONCATENATE(Table2[[#This Row],[Family Size2]],"members")</f>
        <v>2members</v>
      </c>
      <c r="M1226">
        <v>2</v>
      </c>
    </row>
    <row r="1227" spans="1:13">
      <c r="A1227">
        <v>1226</v>
      </c>
      <c r="B1227" t="s">
        <v>8</v>
      </c>
      <c r="C1227">
        <v>22</v>
      </c>
      <c r="D1227" t="str" cm="1">
        <f t="array" ref="D1227">_xlfn.IFS(Table2[[#This Row],[Age]]&lt;=11,"Gen A",Table2[[#This Row],[Age]]&lt;=27,"Gen Z",Table2[[#This Row],[Age]]&lt;=43,"Millenials",Table2[[#This Row],[Age]]&lt;=59,"Gen X",Table2[[#This Row],[Age]]&lt;=78,"Baby Boomers",Table2[[#This Row],[Age]]&lt;=96,"Silent",Table2[[#This Row],[Age]]&gt;=97,"Greatest")</f>
        <v>Gen Z</v>
      </c>
      <c r="E1227" s="1">
        <v>126543</v>
      </c>
      <c r="F1227">
        <v>45</v>
      </c>
      <c r="G1227" t="str" cm="1">
        <f t="array" ref="G1227">_xlfn.IFS(Table2[[#This Row],[Spending Score (1-100)]]&lt;=25,"Low",Table2[[#This Row],[Spending Score (1-100)]]&lt;=50,"Medium",Table2[[#This Row],[Spending Score (1-100)]]&lt;=75,"High",Table2[[#This Row],[Spending Score (1-100)]]&lt;=100,"Very High")</f>
        <v>Medium</v>
      </c>
      <c r="H1227" t="s">
        <v>17</v>
      </c>
      <c r="I1227">
        <v>0</v>
      </c>
      <c r="J1227" t="str">
        <f>CONCATENATE(Table2[[#This Row],[Work Experience]],"years")</f>
        <v>0years</v>
      </c>
      <c r="K1227" t="str">
        <f>CONCATENATE(Table2[[#This Row],[Family Size2]],"members")</f>
        <v>3members</v>
      </c>
      <c r="L1227" t="str">
        <f>CONCATENATE(Table2[[#This Row],[Family Size2]],"members")</f>
        <v>3members</v>
      </c>
      <c r="M1227">
        <v>3</v>
      </c>
    </row>
    <row r="1228" spans="1:13">
      <c r="A1228">
        <v>1227</v>
      </c>
      <c r="B1228" t="s">
        <v>11</v>
      </c>
      <c r="C1228">
        <v>87</v>
      </c>
      <c r="D1228" t="str" cm="1">
        <f t="array" ref="D1228">_xlfn.IFS(Table2[[#This Row],[Age]]&lt;=11,"Gen A",Table2[[#This Row],[Age]]&lt;=27,"Gen Z",Table2[[#This Row],[Age]]&lt;=43,"Millenials",Table2[[#This Row],[Age]]&lt;=59,"Gen X",Table2[[#This Row],[Age]]&lt;=78,"Baby Boomers",Table2[[#This Row],[Age]]&lt;=96,"Silent",Table2[[#This Row],[Age]]&gt;=97,"Greatest")</f>
        <v>Silent</v>
      </c>
      <c r="E1228" s="1">
        <v>177260</v>
      </c>
      <c r="F1228">
        <v>45</v>
      </c>
      <c r="G1228" t="str" cm="1">
        <f t="array" ref="G1228">_xlfn.IFS(Table2[[#This Row],[Spending Score (1-100)]]&lt;=25,"Low",Table2[[#This Row],[Spending Score (1-100)]]&lt;=50,"Medium",Table2[[#This Row],[Spending Score (1-100)]]&lt;=75,"High",Table2[[#This Row],[Spending Score (1-100)]]&lt;=100,"Very High")</f>
        <v>Medium</v>
      </c>
      <c r="H1228" t="s">
        <v>13</v>
      </c>
      <c r="I1228">
        <v>14</v>
      </c>
      <c r="J1228" t="str">
        <f>CONCATENATE(Table2[[#This Row],[Work Experience]],"years")</f>
        <v>14years</v>
      </c>
      <c r="K1228" t="str">
        <f>CONCATENATE(Table2[[#This Row],[Family Size2]],"members")</f>
        <v>2members</v>
      </c>
      <c r="L1228" t="str">
        <f>CONCATENATE(Table2[[#This Row],[Family Size2]],"members")</f>
        <v>2members</v>
      </c>
      <c r="M1228">
        <v>2</v>
      </c>
    </row>
    <row r="1229" spans="1:13">
      <c r="A1229">
        <v>1228</v>
      </c>
      <c r="B1229" t="s">
        <v>8</v>
      </c>
      <c r="C1229">
        <v>44</v>
      </c>
      <c r="D1229" t="str" cm="1">
        <f t="array" ref="D1229">_xlfn.IFS(Table2[[#This Row],[Age]]&lt;=11,"Gen A",Table2[[#This Row],[Age]]&lt;=27,"Gen Z",Table2[[#This Row],[Age]]&lt;=43,"Millenials",Table2[[#This Row],[Age]]&lt;=59,"Gen X",Table2[[#This Row],[Age]]&lt;=78,"Baby Boomers",Table2[[#This Row],[Age]]&lt;=96,"Silent",Table2[[#This Row],[Age]]&gt;=97,"Greatest")</f>
        <v>Gen X</v>
      </c>
      <c r="E1229" s="1">
        <v>156823</v>
      </c>
      <c r="F1229">
        <v>42</v>
      </c>
      <c r="G1229" t="str" cm="1">
        <f t="array" ref="G1229">_xlfn.IFS(Table2[[#This Row],[Spending Score (1-100)]]&lt;=25,"Low",Table2[[#This Row],[Spending Score (1-100)]]&lt;=50,"Medium",Table2[[#This Row],[Spending Score (1-100)]]&lt;=75,"High",Table2[[#This Row],[Spending Score (1-100)]]&lt;=100,"Very High")</f>
        <v>Medium</v>
      </c>
      <c r="H1229" t="s">
        <v>9</v>
      </c>
      <c r="I1229">
        <v>9</v>
      </c>
      <c r="J1229" t="str">
        <f>CONCATENATE(Table2[[#This Row],[Work Experience]],"years")</f>
        <v>9years</v>
      </c>
      <c r="K1229" t="str">
        <f>CONCATENATE(Table2[[#This Row],[Family Size2]],"members")</f>
        <v>5members</v>
      </c>
      <c r="L1229" t="str">
        <f>CONCATENATE(Table2[[#This Row],[Family Size2]],"members")</f>
        <v>5members</v>
      </c>
      <c r="M1229">
        <v>5</v>
      </c>
    </row>
    <row r="1230" spans="1:13">
      <c r="A1230">
        <v>1229</v>
      </c>
      <c r="B1230" t="s">
        <v>11</v>
      </c>
      <c r="C1230">
        <v>27</v>
      </c>
      <c r="D1230" t="str" cm="1">
        <f t="array" ref="D1230">_xlfn.IFS(Table2[[#This Row],[Age]]&lt;=11,"Gen A",Table2[[#This Row],[Age]]&lt;=27,"Gen Z",Table2[[#This Row],[Age]]&lt;=43,"Millenials",Table2[[#This Row],[Age]]&lt;=59,"Gen X",Table2[[#This Row],[Age]]&lt;=78,"Baby Boomers",Table2[[#This Row],[Age]]&lt;=96,"Silent",Table2[[#This Row],[Age]]&gt;=97,"Greatest")</f>
        <v>Gen Z</v>
      </c>
      <c r="E1230" s="1">
        <v>183201</v>
      </c>
      <c r="F1230">
        <v>52</v>
      </c>
      <c r="G1230" t="str" cm="1">
        <f t="array" ref="G1230">_xlfn.IFS(Table2[[#This Row],[Spending Score (1-100)]]&lt;=25,"Low",Table2[[#This Row],[Spending Score (1-100)]]&lt;=50,"Medium",Table2[[#This Row],[Spending Score (1-100)]]&lt;=75,"High",Table2[[#This Row],[Spending Score (1-100)]]&lt;=100,"Very High")</f>
        <v>High</v>
      </c>
      <c r="H1230" t="s">
        <v>10</v>
      </c>
      <c r="I1230">
        <v>8</v>
      </c>
      <c r="J1230" t="str">
        <f>CONCATENATE(Table2[[#This Row],[Work Experience]],"years")</f>
        <v>8years</v>
      </c>
      <c r="K1230" t="str">
        <f>CONCATENATE(Table2[[#This Row],[Family Size2]],"members")</f>
        <v>6members</v>
      </c>
      <c r="L1230" t="str">
        <f>CONCATENATE(Table2[[#This Row],[Family Size2]],"members")</f>
        <v>6members</v>
      </c>
      <c r="M1230">
        <v>6</v>
      </c>
    </row>
    <row r="1231" spans="1:13">
      <c r="A1231">
        <v>1230</v>
      </c>
      <c r="B1231" t="s">
        <v>11</v>
      </c>
      <c r="C1231">
        <v>95</v>
      </c>
      <c r="D1231" t="str" cm="1">
        <f t="array" ref="D1231">_xlfn.IFS(Table2[[#This Row],[Age]]&lt;=11,"Gen A",Table2[[#This Row],[Age]]&lt;=27,"Gen Z",Table2[[#This Row],[Age]]&lt;=43,"Millenials",Table2[[#This Row],[Age]]&lt;=59,"Gen X",Table2[[#This Row],[Age]]&lt;=78,"Baby Boomers",Table2[[#This Row],[Age]]&lt;=96,"Silent",Table2[[#This Row],[Age]]&gt;=97,"Greatest")</f>
        <v>Silent</v>
      </c>
      <c r="E1231" s="1">
        <v>84925</v>
      </c>
      <c r="F1231">
        <v>46</v>
      </c>
      <c r="G1231" t="str" cm="1">
        <f t="array" ref="G1231">_xlfn.IFS(Table2[[#This Row],[Spending Score (1-100)]]&lt;=25,"Low",Table2[[#This Row],[Spending Score (1-100)]]&lt;=50,"Medium",Table2[[#This Row],[Spending Score (1-100)]]&lt;=75,"High",Table2[[#This Row],[Spending Score (1-100)]]&lt;=100,"Very High")</f>
        <v>Medium</v>
      </c>
      <c r="H1231" t="s">
        <v>14</v>
      </c>
      <c r="I1231">
        <v>4</v>
      </c>
      <c r="J1231" t="str">
        <f>CONCATENATE(Table2[[#This Row],[Work Experience]],"years")</f>
        <v>4years</v>
      </c>
      <c r="K1231" t="str">
        <f>CONCATENATE(Table2[[#This Row],[Family Size2]],"members")</f>
        <v>6members</v>
      </c>
      <c r="L1231" t="str">
        <f>CONCATENATE(Table2[[#This Row],[Family Size2]],"members")</f>
        <v>6members</v>
      </c>
      <c r="M1231">
        <v>6</v>
      </c>
    </row>
    <row r="1232" spans="1:13">
      <c r="A1232">
        <v>1231</v>
      </c>
      <c r="B1232" t="s">
        <v>8</v>
      </c>
      <c r="C1232">
        <v>89</v>
      </c>
      <c r="D1232" t="str" cm="1">
        <f t="array" ref="D1232">_xlfn.IFS(Table2[[#This Row],[Age]]&lt;=11,"Gen A",Table2[[#This Row],[Age]]&lt;=27,"Gen Z",Table2[[#This Row],[Age]]&lt;=43,"Millenials",Table2[[#This Row],[Age]]&lt;=59,"Gen X",Table2[[#This Row],[Age]]&lt;=78,"Baby Boomers",Table2[[#This Row],[Age]]&lt;=96,"Silent",Table2[[#This Row],[Age]]&gt;=97,"Greatest")</f>
        <v>Silent</v>
      </c>
      <c r="E1232" s="1">
        <v>69719</v>
      </c>
      <c r="F1232">
        <v>47</v>
      </c>
      <c r="G1232" t="str" cm="1">
        <f t="array" ref="G1232">_xlfn.IFS(Table2[[#This Row],[Spending Score (1-100)]]&lt;=25,"Low",Table2[[#This Row],[Spending Score (1-100)]]&lt;=50,"Medium",Table2[[#This Row],[Spending Score (1-100)]]&lt;=75,"High",Table2[[#This Row],[Spending Score (1-100)]]&lt;=100,"Very High")</f>
        <v>Medium</v>
      </c>
      <c r="H1232" t="s">
        <v>14</v>
      </c>
      <c r="I1232">
        <v>9</v>
      </c>
      <c r="J1232" t="str">
        <f>CONCATENATE(Table2[[#This Row],[Work Experience]],"years")</f>
        <v>9years</v>
      </c>
      <c r="K1232" t="str">
        <f>CONCATENATE(Table2[[#This Row],[Family Size2]],"members")</f>
        <v>2members</v>
      </c>
      <c r="L1232" t="str">
        <f>CONCATENATE(Table2[[#This Row],[Family Size2]],"members")</f>
        <v>2members</v>
      </c>
      <c r="M1232">
        <v>2</v>
      </c>
    </row>
    <row r="1233" spans="1:13">
      <c r="A1233">
        <v>1232</v>
      </c>
      <c r="B1233" t="s">
        <v>11</v>
      </c>
      <c r="C1233">
        <v>41</v>
      </c>
      <c r="D1233" t="str" cm="1">
        <f t="array" ref="D1233">_xlfn.IFS(Table2[[#This Row],[Age]]&lt;=11,"Gen A",Table2[[#This Row],[Age]]&lt;=27,"Gen Z",Table2[[#This Row],[Age]]&lt;=43,"Millenials",Table2[[#This Row],[Age]]&lt;=59,"Gen X",Table2[[#This Row],[Age]]&lt;=78,"Baby Boomers",Table2[[#This Row],[Age]]&lt;=96,"Silent",Table2[[#This Row],[Age]]&gt;=97,"Greatest")</f>
        <v>Millenials</v>
      </c>
      <c r="E1233" s="1">
        <v>61355</v>
      </c>
      <c r="F1233">
        <v>13</v>
      </c>
      <c r="G1233" t="str" cm="1">
        <f t="array" ref="G1233">_xlfn.IFS(Table2[[#This Row],[Spending Score (1-100)]]&lt;=25,"Low",Table2[[#This Row],[Spending Score (1-100)]]&lt;=50,"Medium",Table2[[#This Row],[Spending Score (1-100)]]&lt;=75,"High",Table2[[#This Row],[Spending Score (1-100)]]&lt;=100,"Very High")</f>
        <v>Low</v>
      </c>
      <c r="H1233" t="s">
        <v>9</v>
      </c>
      <c r="I1233">
        <v>1</v>
      </c>
      <c r="J1233" t="str">
        <f>CONCATENATE(Table2[[#This Row],[Work Experience]],"years")</f>
        <v>1years</v>
      </c>
      <c r="K1233" t="str">
        <f>CONCATENATE(Table2[[#This Row],[Family Size2]],"members")</f>
        <v>3members</v>
      </c>
      <c r="L1233" t="str">
        <f>CONCATENATE(Table2[[#This Row],[Family Size2]],"members")</f>
        <v>3members</v>
      </c>
      <c r="M1233">
        <v>3</v>
      </c>
    </row>
    <row r="1234" spans="1:13">
      <c r="A1234">
        <v>1233</v>
      </c>
      <c r="B1234" t="s">
        <v>8</v>
      </c>
      <c r="C1234">
        <v>41</v>
      </c>
      <c r="D1234" t="str" cm="1">
        <f t="array" ref="D1234">_xlfn.IFS(Table2[[#This Row],[Age]]&lt;=11,"Gen A",Table2[[#This Row],[Age]]&lt;=27,"Gen Z",Table2[[#This Row],[Age]]&lt;=43,"Millenials",Table2[[#This Row],[Age]]&lt;=59,"Gen X",Table2[[#This Row],[Age]]&lt;=78,"Baby Boomers",Table2[[#This Row],[Age]]&lt;=96,"Silent",Table2[[#This Row],[Age]]&gt;=97,"Greatest")</f>
        <v>Millenials</v>
      </c>
      <c r="E1234" s="1">
        <v>156014</v>
      </c>
      <c r="F1234">
        <v>49</v>
      </c>
      <c r="G1234" t="str" cm="1">
        <f t="array" ref="G1234">_xlfn.IFS(Table2[[#This Row],[Spending Score (1-100)]]&lt;=25,"Low",Table2[[#This Row],[Spending Score (1-100)]]&lt;=50,"Medium",Table2[[#This Row],[Spending Score (1-100)]]&lt;=75,"High",Table2[[#This Row],[Spending Score (1-100)]]&lt;=100,"Very High")</f>
        <v>Medium</v>
      </c>
      <c r="H1234" t="s">
        <v>16</v>
      </c>
      <c r="I1234">
        <v>14</v>
      </c>
      <c r="J1234" t="str">
        <f>CONCATENATE(Table2[[#This Row],[Work Experience]],"years")</f>
        <v>14years</v>
      </c>
      <c r="K1234" t="str">
        <f>CONCATENATE(Table2[[#This Row],[Family Size2]],"members")</f>
        <v>5members</v>
      </c>
      <c r="L1234" t="str">
        <f>CONCATENATE(Table2[[#This Row],[Family Size2]],"members")</f>
        <v>5members</v>
      </c>
      <c r="M1234">
        <v>5</v>
      </c>
    </row>
    <row r="1235" spans="1:13">
      <c r="A1235">
        <v>1234</v>
      </c>
      <c r="B1235" t="s">
        <v>8</v>
      </c>
      <c r="C1235">
        <v>21</v>
      </c>
      <c r="D1235" t="str" cm="1">
        <f t="array" ref="D1235">_xlfn.IFS(Table2[[#This Row],[Age]]&lt;=11,"Gen A",Table2[[#This Row],[Age]]&lt;=27,"Gen Z",Table2[[#This Row],[Age]]&lt;=43,"Millenials",Table2[[#This Row],[Age]]&lt;=59,"Gen X",Table2[[#This Row],[Age]]&lt;=78,"Baby Boomers",Table2[[#This Row],[Age]]&lt;=96,"Silent",Table2[[#This Row],[Age]]&gt;=97,"Greatest")</f>
        <v>Gen Z</v>
      </c>
      <c r="E1235" s="1">
        <v>184088</v>
      </c>
      <c r="F1235">
        <v>21</v>
      </c>
      <c r="G1235" t="str" cm="1">
        <f t="array" ref="G1235">_xlfn.IFS(Table2[[#This Row],[Spending Score (1-100)]]&lt;=25,"Low",Table2[[#This Row],[Spending Score (1-100)]]&lt;=50,"Medium",Table2[[#This Row],[Spending Score (1-100)]]&lt;=75,"High",Table2[[#This Row],[Spending Score (1-100)]]&lt;=100,"Very High")</f>
        <v>Low</v>
      </c>
      <c r="H1235" t="s">
        <v>13</v>
      </c>
      <c r="I1235">
        <v>11</v>
      </c>
      <c r="J1235" t="str">
        <f>CONCATENATE(Table2[[#This Row],[Work Experience]],"years")</f>
        <v>11years</v>
      </c>
      <c r="K1235" t="str">
        <f>CONCATENATE(Table2[[#This Row],[Family Size2]],"members")</f>
        <v>7members</v>
      </c>
      <c r="L1235" t="str">
        <f>CONCATENATE(Table2[[#This Row],[Family Size2]],"members")</f>
        <v>7members</v>
      </c>
      <c r="M1235">
        <v>7</v>
      </c>
    </row>
    <row r="1236" spans="1:13">
      <c r="A1236">
        <v>1235</v>
      </c>
      <c r="B1236" t="s">
        <v>11</v>
      </c>
      <c r="C1236">
        <v>59</v>
      </c>
      <c r="D1236" t="str" cm="1">
        <f t="array" ref="D1236">_xlfn.IFS(Table2[[#This Row],[Age]]&lt;=11,"Gen A",Table2[[#This Row],[Age]]&lt;=27,"Gen Z",Table2[[#This Row],[Age]]&lt;=43,"Millenials",Table2[[#This Row],[Age]]&lt;=59,"Gen X",Table2[[#This Row],[Age]]&lt;=78,"Baby Boomers",Table2[[#This Row],[Age]]&lt;=96,"Silent",Table2[[#This Row],[Age]]&gt;=97,"Greatest")</f>
        <v>Gen X</v>
      </c>
      <c r="E1236" s="1">
        <v>158372</v>
      </c>
      <c r="F1236">
        <v>98</v>
      </c>
      <c r="G1236" t="str" cm="1">
        <f t="array" ref="G1236">_xlfn.IFS(Table2[[#This Row],[Spending Score (1-100)]]&lt;=25,"Low",Table2[[#This Row],[Spending Score (1-100)]]&lt;=50,"Medium",Table2[[#This Row],[Spending Score (1-100)]]&lt;=75,"High",Table2[[#This Row],[Spending Score (1-100)]]&lt;=100,"Very High")</f>
        <v>Very High</v>
      </c>
      <c r="H1236" t="s">
        <v>14</v>
      </c>
      <c r="I1236">
        <v>1</v>
      </c>
      <c r="J1236" t="str">
        <f>CONCATENATE(Table2[[#This Row],[Work Experience]],"years")</f>
        <v>1years</v>
      </c>
      <c r="K1236" t="str">
        <f>CONCATENATE(Table2[[#This Row],[Family Size2]],"members")</f>
        <v>1members</v>
      </c>
      <c r="L1236" t="str">
        <f>CONCATENATE(Table2[[#This Row],[Family Size2]],"members")</f>
        <v>1members</v>
      </c>
      <c r="M1236">
        <v>1</v>
      </c>
    </row>
    <row r="1237" spans="1:13">
      <c r="A1237">
        <v>1236</v>
      </c>
      <c r="B1237" t="s">
        <v>11</v>
      </c>
      <c r="C1237">
        <v>64</v>
      </c>
      <c r="D1237" t="str" cm="1">
        <f t="array" ref="D1237">_xlfn.IFS(Table2[[#This Row],[Age]]&lt;=11,"Gen A",Table2[[#This Row],[Age]]&lt;=27,"Gen Z",Table2[[#This Row],[Age]]&lt;=43,"Millenials",Table2[[#This Row],[Age]]&lt;=59,"Gen X",Table2[[#This Row],[Age]]&lt;=78,"Baby Boomers",Table2[[#This Row],[Age]]&lt;=96,"Silent",Table2[[#This Row],[Age]]&gt;=97,"Greatest")</f>
        <v>Baby Boomers</v>
      </c>
      <c r="E1237" s="1">
        <v>135742</v>
      </c>
      <c r="F1237">
        <v>67</v>
      </c>
      <c r="G1237" t="str" cm="1">
        <f t="array" ref="G1237">_xlfn.IFS(Table2[[#This Row],[Spending Score (1-100)]]&lt;=25,"Low",Table2[[#This Row],[Spending Score (1-100)]]&lt;=50,"Medium",Table2[[#This Row],[Spending Score (1-100)]]&lt;=75,"High",Table2[[#This Row],[Spending Score (1-100)]]&lt;=100,"Very High")</f>
        <v>High</v>
      </c>
      <c r="H1237" t="s">
        <v>9</v>
      </c>
      <c r="I1237">
        <v>1</v>
      </c>
      <c r="J1237" t="str">
        <f>CONCATENATE(Table2[[#This Row],[Work Experience]],"years")</f>
        <v>1years</v>
      </c>
      <c r="K1237" t="str">
        <f>CONCATENATE(Table2[[#This Row],[Family Size2]],"members")</f>
        <v>7members</v>
      </c>
      <c r="L1237" t="str">
        <f>CONCATENATE(Table2[[#This Row],[Family Size2]],"members")</f>
        <v>7members</v>
      </c>
      <c r="M1237">
        <v>7</v>
      </c>
    </row>
    <row r="1238" spans="1:13">
      <c r="A1238">
        <v>1237</v>
      </c>
      <c r="B1238" t="s">
        <v>11</v>
      </c>
      <c r="C1238">
        <v>38</v>
      </c>
      <c r="D1238" t="str" cm="1">
        <f t="array" ref="D1238">_xlfn.IFS(Table2[[#This Row],[Age]]&lt;=11,"Gen A",Table2[[#This Row],[Age]]&lt;=27,"Gen Z",Table2[[#This Row],[Age]]&lt;=43,"Millenials",Table2[[#This Row],[Age]]&lt;=59,"Gen X",Table2[[#This Row],[Age]]&lt;=78,"Baby Boomers",Table2[[#This Row],[Age]]&lt;=96,"Silent",Table2[[#This Row],[Age]]&gt;=97,"Greatest")</f>
        <v>Millenials</v>
      </c>
      <c r="E1238" s="1">
        <v>145704</v>
      </c>
      <c r="F1238">
        <v>82</v>
      </c>
      <c r="G1238" t="str" cm="1">
        <f t="array" ref="G1238">_xlfn.IFS(Table2[[#This Row],[Spending Score (1-100)]]&lt;=25,"Low",Table2[[#This Row],[Spending Score (1-100)]]&lt;=50,"Medium",Table2[[#This Row],[Spending Score (1-100)]]&lt;=75,"High",Table2[[#This Row],[Spending Score (1-100)]]&lt;=100,"Very High")</f>
        <v>Very High</v>
      </c>
      <c r="H1238" t="s">
        <v>18</v>
      </c>
      <c r="I1238">
        <v>0</v>
      </c>
      <c r="J1238" t="str">
        <f>CONCATENATE(Table2[[#This Row],[Work Experience]],"years")</f>
        <v>0years</v>
      </c>
      <c r="K1238" t="str">
        <f>CONCATENATE(Table2[[#This Row],[Family Size2]],"members")</f>
        <v>4members</v>
      </c>
      <c r="L1238" t="str">
        <f>CONCATENATE(Table2[[#This Row],[Family Size2]],"members")</f>
        <v>4members</v>
      </c>
      <c r="M1238">
        <v>4</v>
      </c>
    </row>
    <row r="1239" spans="1:13">
      <c r="A1239">
        <v>1238</v>
      </c>
      <c r="B1239" t="s">
        <v>11</v>
      </c>
      <c r="C1239">
        <v>70</v>
      </c>
      <c r="D1239" t="str" cm="1">
        <f t="array" ref="D1239">_xlfn.IFS(Table2[[#This Row],[Age]]&lt;=11,"Gen A",Table2[[#This Row],[Age]]&lt;=27,"Gen Z",Table2[[#This Row],[Age]]&lt;=43,"Millenials",Table2[[#This Row],[Age]]&lt;=59,"Gen X",Table2[[#This Row],[Age]]&lt;=78,"Baby Boomers",Table2[[#This Row],[Age]]&lt;=96,"Silent",Table2[[#This Row],[Age]]&gt;=97,"Greatest")</f>
        <v>Baby Boomers</v>
      </c>
      <c r="E1239" s="1">
        <v>157307</v>
      </c>
      <c r="F1239">
        <v>23</v>
      </c>
      <c r="G1239" t="str" cm="1">
        <f t="array" ref="G1239">_xlfn.IFS(Table2[[#This Row],[Spending Score (1-100)]]&lt;=25,"Low",Table2[[#This Row],[Spending Score (1-100)]]&lt;=50,"Medium",Table2[[#This Row],[Spending Score (1-100)]]&lt;=75,"High",Table2[[#This Row],[Spending Score (1-100)]]&lt;=100,"Very High")</f>
        <v>Low</v>
      </c>
      <c r="H1239" t="s">
        <v>15</v>
      </c>
      <c r="I1239">
        <v>4</v>
      </c>
      <c r="J1239" t="str">
        <f>CONCATENATE(Table2[[#This Row],[Work Experience]],"years")</f>
        <v>4years</v>
      </c>
      <c r="K1239" t="str">
        <f>CONCATENATE(Table2[[#This Row],[Family Size2]],"members")</f>
        <v>3members</v>
      </c>
      <c r="L1239" t="str">
        <f>CONCATENATE(Table2[[#This Row],[Family Size2]],"members")</f>
        <v>3members</v>
      </c>
      <c r="M1239">
        <v>3</v>
      </c>
    </row>
    <row r="1240" spans="1:13">
      <c r="A1240">
        <v>1239</v>
      </c>
      <c r="B1240" t="s">
        <v>11</v>
      </c>
      <c r="C1240">
        <v>25</v>
      </c>
      <c r="D1240" t="str" cm="1">
        <f t="array" ref="D1240">_xlfn.IFS(Table2[[#This Row],[Age]]&lt;=11,"Gen A",Table2[[#This Row],[Age]]&lt;=27,"Gen Z",Table2[[#This Row],[Age]]&lt;=43,"Millenials",Table2[[#This Row],[Age]]&lt;=59,"Gen X",Table2[[#This Row],[Age]]&lt;=78,"Baby Boomers",Table2[[#This Row],[Age]]&lt;=96,"Silent",Table2[[#This Row],[Age]]&gt;=97,"Greatest")</f>
        <v>Gen Z</v>
      </c>
      <c r="E1240" s="1">
        <v>88064</v>
      </c>
      <c r="F1240">
        <v>73</v>
      </c>
      <c r="G1240" t="str" cm="1">
        <f t="array" ref="G1240">_xlfn.IFS(Table2[[#This Row],[Spending Score (1-100)]]&lt;=25,"Low",Table2[[#This Row],[Spending Score (1-100)]]&lt;=50,"Medium",Table2[[#This Row],[Spending Score (1-100)]]&lt;=75,"High",Table2[[#This Row],[Spending Score (1-100)]]&lt;=100,"Very High")</f>
        <v>High</v>
      </c>
      <c r="H1240" t="s">
        <v>15</v>
      </c>
      <c r="I1240">
        <v>1</v>
      </c>
      <c r="J1240" t="str">
        <f>CONCATENATE(Table2[[#This Row],[Work Experience]],"years")</f>
        <v>1years</v>
      </c>
      <c r="K1240" t="str">
        <f>CONCATENATE(Table2[[#This Row],[Family Size2]],"members")</f>
        <v>5members</v>
      </c>
      <c r="L1240" t="str">
        <f>CONCATENATE(Table2[[#This Row],[Family Size2]],"members")</f>
        <v>5members</v>
      </c>
      <c r="M1240">
        <v>5</v>
      </c>
    </row>
    <row r="1241" spans="1:13">
      <c r="A1241">
        <v>1240</v>
      </c>
      <c r="B1241" t="s">
        <v>11</v>
      </c>
      <c r="C1241">
        <v>3</v>
      </c>
      <c r="D1241" t="str" cm="1">
        <f t="array" ref="D1241">_xlfn.IFS(Table2[[#This Row],[Age]]&lt;=11,"Gen A",Table2[[#This Row],[Age]]&lt;=27,"Gen Z",Table2[[#This Row],[Age]]&lt;=43,"Millenials",Table2[[#This Row],[Age]]&lt;=59,"Gen X",Table2[[#This Row],[Age]]&lt;=78,"Baby Boomers",Table2[[#This Row],[Age]]&lt;=96,"Silent",Table2[[#This Row],[Age]]&gt;=97,"Greatest")</f>
        <v>Gen A</v>
      </c>
      <c r="E1241" s="1">
        <v>167226</v>
      </c>
      <c r="F1241">
        <v>59</v>
      </c>
      <c r="G1241" t="str" cm="1">
        <f t="array" ref="G1241">_xlfn.IFS(Table2[[#This Row],[Spending Score (1-100)]]&lt;=25,"Low",Table2[[#This Row],[Spending Score (1-100)]]&lt;=50,"Medium",Table2[[#This Row],[Spending Score (1-100)]]&lt;=75,"High",Table2[[#This Row],[Spending Score (1-100)]]&lt;=100,"Very High")</f>
        <v>High</v>
      </c>
      <c r="H1241" t="s">
        <v>17</v>
      </c>
      <c r="I1241">
        <v>3</v>
      </c>
      <c r="J1241" t="str">
        <f>CONCATENATE(Table2[[#This Row],[Work Experience]],"years")</f>
        <v>3years</v>
      </c>
      <c r="K1241" t="str">
        <f>CONCATENATE(Table2[[#This Row],[Family Size2]],"members")</f>
        <v>1members</v>
      </c>
      <c r="L1241" t="str">
        <f>CONCATENATE(Table2[[#This Row],[Family Size2]],"members")</f>
        <v>1members</v>
      </c>
      <c r="M1241">
        <v>1</v>
      </c>
    </row>
    <row r="1242" spans="1:13">
      <c r="A1242">
        <v>1241</v>
      </c>
      <c r="B1242" t="s">
        <v>11</v>
      </c>
      <c r="C1242">
        <v>70</v>
      </c>
      <c r="D1242" t="str" cm="1">
        <f t="array" ref="D1242">_xlfn.IFS(Table2[[#This Row],[Age]]&lt;=11,"Gen A",Table2[[#This Row],[Age]]&lt;=27,"Gen Z",Table2[[#This Row],[Age]]&lt;=43,"Millenials",Table2[[#This Row],[Age]]&lt;=59,"Gen X",Table2[[#This Row],[Age]]&lt;=78,"Baby Boomers",Table2[[#This Row],[Age]]&lt;=96,"Silent",Table2[[#This Row],[Age]]&gt;=97,"Greatest")</f>
        <v>Baby Boomers</v>
      </c>
      <c r="E1242" s="1">
        <v>153821</v>
      </c>
      <c r="F1242">
        <v>8</v>
      </c>
      <c r="G1242" t="str" cm="1">
        <f t="array" ref="G1242">_xlfn.IFS(Table2[[#This Row],[Spending Score (1-100)]]&lt;=25,"Low",Table2[[#This Row],[Spending Score (1-100)]]&lt;=50,"Medium",Table2[[#This Row],[Spending Score (1-100)]]&lt;=75,"High",Table2[[#This Row],[Spending Score (1-100)]]&lt;=100,"Very High")</f>
        <v>Low</v>
      </c>
      <c r="H1242" t="s">
        <v>18</v>
      </c>
      <c r="I1242">
        <v>1</v>
      </c>
      <c r="J1242" t="str">
        <f>CONCATENATE(Table2[[#This Row],[Work Experience]],"years")</f>
        <v>1years</v>
      </c>
      <c r="K1242" t="str">
        <f>CONCATENATE(Table2[[#This Row],[Family Size2]],"members")</f>
        <v>4members</v>
      </c>
      <c r="L1242" t="str">
        <f>CONCATENATE(Table2[[#This Row],[Family Size2]],"members")</f>
        <v>4members</v>
      </c>
      <c r="M1242">
        <v>4</v>
      </c>
    </row>
    <row r="1243" spans="1:13">
      <c r="A1243">
        <v>1242</v>
      </c>
      <c r="B1243" t="s">
        <v>8</v>
      </c>
      <c r="C1243">
        <v>29</v>
      </c>
      <c r="D1243" t="str" cm="1">
        <f t="array" ref="D1243">_xlfn.IFS(Table2[[#This Row],[Age]]&lt;=11,"Gen A",Table2[[#This Row],[Age]]&lt;=27,"Gen Z",Table2[[#This Row],[Age]]&lt;=43,"Millenials",Table2[[#This Row],[Age]]&lt;=59,"Gen X",Table2[[#This Row],[Age]]&lt;=78,"Baby Boomers",Table2[[#This Row],[Age]]&lt;=96,"Silent",Table2[[#This Row],[Age]]&gt;=97,"Greatest")</f>
        <v>Millenials</v>
      </c>
      <c r="E1243" s="1">
        <v>170669</v>
      </c>
      <c r="F1243">
        <v>78</v>
      </c>
      <c r="G1243" t="str" cm="1">
        <f t="array" ref="G1243">_xlfn.IFS(Table2[[#This Row],[Spending Score (1-100)]]&lt;=25,"Low",Table2[[#This Row],[Spending Score (1-100)]]&lt;=50,"Medium",Table2[[#This Row],[Spending Score (1-100)]]&lt;=75,"High",Table2[[#This Row],[Spending Score (1-100)]]&lt;=100,"Very High")</f>
        <v>Very High</v>
      </c>
      <c r="H1243" t="s">
        <v>16</v>
      </c>
      <c r="I1243">
        <v>9</v>
      </c>
      <c r="J1243" t="str">
        <f>CONCATENATE(Table2[[#This Row],[Work Experience]],"years")</f>
        <v>9years</v>
      </c>
      <c r="K1243" t="str">
        <f>CONCATENATE(Table2[[#This Row],[Family Size2]],"members")</f>
        <v>5members</v>
      </c>
      <c r="L1243" t="str">
        <f>CONCATENATE(Table2[[#This Row],[Family Size2]],"members")</f>
        <v>5members</v>
      </c>
      <c r="M1243">
        <v>5</v>
      </c>
    </row>
    <row r="1244" spans="1:13">
      <c r="A1244">
        <v>1243</v>
      </c>
      <c r="B1244" t="s">
        <v>8</v>
      </c>
      <c r="C1244">
        <v>88</v>
      </c>
      <c r="D1244" t="str" cm="1">
        <f t="array" ref="D1244">_xlfn.IFS(Table2[[#This Row],[Age]]&lt;=11,"Gen A",Table2[[#This Row],[Age]]&lt;=27,"Gen Z",Table2[[#This Row],[Age]]&lt;=43,"Millenials",Table2[[#This Row],[Age]]&lt;=59,"Gen X",Table2[[#This Row],[Age]]&lt;=78,"Baby Boomers",Table2[[#This Row],[Age]]&lt;=96,"Silent",Table2[[#This Row],[Age]]&gt;=97,"Greatest")</f>
        <v>Silent</v>
      </c>
      <c r="E1244" s="1">
        <v>93555</v>
      </c>
      <c r="F1244">
        <v>13</v>
      </c>
      <c r="G1244" t="str" cm="1">
        <f t="array" ref="G1244">_xlfn.IFS(Table2[[#This Row],[Spending Score (1-100)]]&lt;=25,"Low",Table2[[#This Row],[Spending Score (1-100)]]&lt;=50,"Medium",Table2[[#This Row],[Spending Score (1-100)]]&lt;=75,"High",Table2[[#This Row],[Spending Score (1-100)]]&lt;=100,"Very High")</f>
        <v>Low</v>
      </c>
      <c r="H1244" t="s">
        <v>14</v>
      </c>
      <c r="I1244">
        <v>3</v>
      </c>
      <c r="J1244" t="str">
        <f>CONCATENATE(Table2[[#This Row],[Work Experience]],"years")</f>
        <v>3years</v>
      </c>
      <c r="K1244" t="str">
        <f>CONCATENATE(Table2[[#This Row],[Family Size2]],"members")</f>
        <v>3members</v>
      </c>
      <c r="L1244" t="str">
        <f>CONCATENATE(Table2[[#This Row],[Family Size2]],"members")</f>
        <v>3members</v>
      </c>
      <c r="M1244">
        <v>3</v>
      </c>
    </row>
    <row r="1245" spans="1:13">
      <c r="A1245">
        <v>1244</v>
      </c>
      <c r="B1245" t="s">
        <v>11</v>
      </c>
      <c r="C1245">
        <v>20</v>
      </c>
      <c r="D1245" t="str" cm="1">
        <f t="array" ref="D1245">_xlfn.IFS(Table2[[#This Row],[Age]]&lt;=11,"Gen A",Table2[[#This Row],[Age]]&lt;=27,"Gen Z",Table2[[#This Row],[Age]]&lt;=43,"Millenials",Table2[[#This Row],[Age]]&lt;=59,"Gen X",Table2[[#This Row],[Age]]&lt;=78,"Baby Boomers",Table2[[#This Row],[Age]]&lt;=96,"Silent",Table2[[#This Row],[Age]]&gt;=97,"Greatest")</f>
        <v>Gen Z</v>
      </c>
      <c r="E1245" s="1">
        <v>101941</v>
      </c>
      <c r="F1245">
        <v>18</v>
      </c>
      <c r="G1245" t="str" cm="1">
        <f t="array" ref="G1245">_xlfn.IFS(Table2[[#This Row],[Spending Score (1-100)]]&lt;=25,"Low",Table2[[#This Row],[Spending Score (1-100)]]&lt;=50,"Medium",Table2[[#This Row],[Spending Score (1-100)]]&lt;=75,"High",Table2[[#This Row],[Spending Score (1-100)]]&lt;=100,"Very High")</f>
        <v>Low</v>
      </c>
      <c r="H1245" t="s">
        <v>9</v>
      </c>
      <c r="I1245">
        <v>1</v>
      </c>
      <c r="J1245" t="str">
        <f>CONCATENATE(Table2[[#This Row],[Work Experience]],"years")</f>
        <v>1years</v>
      </c>
      <c r="K1245" t="str">
        <f>CONCATENATE(Table2[[#This Row],[Family Size2]],"members")</f>
        <v>3members</v>
      </c>
      <c r="L1245" t="str">
        <f>CONCATENATE(Table2[[#This Row],[Family Size2]],"members")</f>
        <v>3members</v>
      </c>
      <c r="M1245">
        <v>3</v>
      </c>
    </row>
    <row r="1246" spans="1:13">
      <c r="A1246">
        <v>1245</v>
      </c>
      <c r="B1246" t="s">
        <v>11</v>
      </c>
      <c r="C1246">
        <v>58</v>
      </c>
      <c r="D1246" t="str" cm="1">
        <f t="array" ref="D1246">_xlfn.IFS(Table2[[#This Row],[Age]]&lt;=11,"Gen A",Table2[[#This Row],[Age]]&lt;=27,"Gen Z",Table2[[#This Row],[Age]]&lt;=43,"Millenials",Table2[[#This Row],[Age]]&lt;=59,"Gen X",Table2[[#This Row],[Age]]&lt;=78,"Baby Boomers",Table2[[#This Row],[Age]]&lt;=96,"Silent",Table2[[#This Row],[Age]]&gt;=97,"Greatest")</f>
        <v>Gen X</v>
      </c>
      <c r="E1246" s="1">
        <v>78795</v>
      </c>
      <c r="F1246">
        <v>44</v>
      </c>
      <c r="G1246" t="str" cm="1">
        <f t="array" ref="G1246">_xlfn.IFS(Table2[[#This Row],[Spending Score (1-100)]]&lt;=25,"Low",Table2[[#This Row],[Spending Score (1-100)]]&lt;=50,"Medium",Table2[[#This Row],[Spending Score (1-100)]]&lt;=75,"High",Table2[[#This Row],[Spending Score (1-100)]]&lt;=100,"Very High")</f>
        <v>Medium</v>
      </c>
      <c r="H1246" t="s">
        <v>10</v>
      </c>
      <c r="I1246">
        <v>0</v>
      </c>
      <c r="J1246" t="str">
        <f>CONCATENATE(Table2[[#This Row],[Work Experience]],"years")</f>
        <v>0years</v>
      </c>
      <c r="K1246" t="str">
        <f>CONCATENATE(Table2[[#This Row],[Family Size2]],"members")</f>
        <v>6members</v>
      </c>
      <c r="L1246" t="str">
        <f>CONCATENATE(Table2[[#This Row],[Family Size2]],"members")</f>
        <v>6members</v>
      </c>
      <c r="M1246">
        <v>6</v>
      </c>
    </row>
    <row r="1247" spans="1:13">
      <c r="A1247">
        <v>1246</v>
      </c>
      <c r="B1247" t="s">
        <v>11</v>
      </c>
      <c r="C1247">
        <v>70</v>
      </c>
      <c r="D1247" t="str" cm="1">
        <f t="array" ref="D1247">_xlfn.IFS(Table2[[#This Row],[Age]]&lt;=11,"Gen A",Table2[[#This Row],[Age]]&lt;=27,"Gen Z",Table2[[#This Row],[Age]]&lt;=43,"Millenials",Table2[[#This Row],[Age]]&lt;=59,"Gen X",Table2[[#This Row],[Age]]&lt;=78,"Baby Boomers",Table2[[#This Row],[Age]]&lt;=96,"Silent",Table2[[#This Row],[Age]]&gt;=97,"Greatest")</f>
        <v>Baby Boomers</v>
      </c>
      <c r="E1247" s="1">
        <v>55875</v>
      </c>
      <c r="F1247">
        <v>94</v>
      </c>
      <c r="G1247" t="str" cm="1">
        <f t="array" ref="G1247">_xlfn.IFS(Table2[[#This Row],[Spending Score (1-100)]]&lt;=25,"Low",Table2[[#This Row],[Spending Score (1-100)]]&lt;=50,"Medium",Table2[[#This Row],[Spending Score (1-100)]]&lt;=75,"High",Table2[[#This Row],[Spending Score (1-100)]]&lt;=100,"Very High")</f>
        <v>Very High</v>
      </c>
      <c r="H1247" t="s">
        <v>10</v>
      </c>
      <c r="I1247">
        <v>0</v>
      </c>
      <c r="J1247" t="str">
        <f>CONCATENATE(Table2[[#This Row],[Work Experience]],"years")</f>
        <v>0years</v>
      </c>
      <c r="K1247" t="str">
        <f>CONCATENATE(Table2[[#This Row],[Family Size2]],"members")</f>
        <v>5members</v>
      </c>
      <c r="L1247" t="str">
        <f>CONCATENATE(Table2[[#This Row],[Family Size2]],"members")</f>
        <v>5members</v>
      </c>
      <c r="M1247">
        <v>5</v>
      </c>
    </row>
    <row r="1248" spans="1:13">
      <c r="A1248">
        <v>1247</v>
      </c>
      <c r="B1248" t="s">
        <v>11</v>
      </c>
      <c r="C1248">
        <v>44</v>
      </c>
      <c r="D1248" t="str" cm="1">
        <f t="array" ref="D1248">_xlfn.IFS(Table2[[#This Row],[Age]]&lt;=11,"Gen A",Table2[[#This Row],[Age]]&lt;=27,"Gen Z",Table2[[#This Row],[Age]]&lt;=43,"Millenials",Table2[[#This Row],[Age]]&lt;=59,"Gen X",Table2[[#This Row],[Age]]&lt;=78,"Baby Boomers",Table2[[#This Row],[Age]]&lt;=96,"Silent",Table2[[#This Row],[Age]]&gt;=97,"Greatest")</f>
        <v>Gen X</v>
      </c>
      <c r="E1248" s="1">
        <v>177513</v>
      </c>
      <c r="F1248">
        <v>81</v>
      </c>
      <c r="G1248" t="str" cm="1">
        <f t="array" ref="G1248">_xlfn.IFS(Table2[[#This Row],[Spending Score (1-100)]]&lt;=25,"Low",Table2[[#This Row],[Spending Score (1-100)]]&lt;=50,"Medium",Table2[[#This Row],[Spending Score (1-100)]]&lt;=75,"High",Table2[[#This Row],[Spending Score (1-100)]]&lt;=100,"Very High")</f>
        <v>Very High</v>
      </c>
      <c r="H1248" t="s">
        <v>12</v>
      </c>
      <c r="I1248">
        <v>1</v>
      </c>
      <c r="J1248" t="str">
        <f>CONCATENATE(Table2[[#This Row],[Work Experience]],"years")</f>
        <v>1years</v>
      </c>
      <c r="K1248" t="str">
        <f>CONCATENATE(Table2[[#This Row],[Family Size2]],"members")</f>
        <v>5members</v>
      </c>
      <c r="L1248" t="str">
        <f>CONCATENATE(Table2[[#This Row],[Family Size2]],"members")</f>
        <v>5members</v>
      </c>
      <c r="M1248">
        <v>5</v>
      </c>
    </row>
    <row r="1249" spans="1:13">
      <c r="A1249">
        <v>1248</v>
      </c>
      <c r="B1249" t="s">
        <v>11</v>
      </c>
      <c r="C1249">
        <v>87</v>
      </c>
      <c r="D1249" t="str" cm="1">
        <f t="array" ref="D1249">_xlfn.IFS(Table2[[#This Row],[Age]]&lt;=11,"Gen A",Table2[[#This Row],[Age]]&lt;=27,"Gen Z",Table2[[#This Row],[Age]]&lt;=43,"Millenials",Table2[[#This Row],[Age]]&lt;=59,"Gen X",Table2[[#This Row],[Age]]&lt;=78,"Baby Boomers",Table2[[#This Row],[Age]]&lt;=96,"Silent",Table2[[#This Row],[Age]]&gt;=97,"Greatest")</f>
        <v>Silent</v>
      </c>
      <c r="E1249" s="1">
        <v>100850</v>
      </c>
      <c r="F1249">
        <v>83</v>
      </c>
      <c r="G1249" t="str" cm="1">
        <f t="array" ref="G1249">_xlfn.IFS(Table2[[#This Row],[Spending Score (1-100)]]&lt;=25,"Low",Table2[[#This Row],[Spending Score (1-100)]]&lt;=50,"Medium",Table2[[#This Row],[Spending Score (1-100)]]&lt;=75,"High",Table2[[#This Row],[Spending Score (1-100)]]&lt;=100,"Very High")</f>
        <v>Very High</v>
      </c>
      <c r="H1249" t="s">
        <v>16</v>
      </c>
      <c r="I1249">
        <v>0</v>
      </c>
      <c r="J1249" t="str">
        <f>CONCATENATE(Table2[[#This Row],[Work Experience]],"years")</f>
        <v>0years</v>
      </c>
      <c r="K1249" t="str">
        <f>CONCATENATE(Table2[[#This Row],[Family Size2]],"members")</f>
        <v>3members</v>
      </c>
      <c r="L1249" t="str">
        <f>CONCATENATE(Table2[[#This Row],[Family Size2]],"members")</f>
        <v>3members</v>
      </c>
      <c r="M1249">
        <v>3</v>
      </c>
    </row>
    <row r="1250" spans="1:13">
      <c r="A1250">
        <v>1249</v>
      </c>
      <c r="B1250" t="s">
        <v>11</v>
      </c>
      <c r="C1250">
        <v>0</v>
      </c>
      <c r="D1250" t="str" cm="1">
        <f t="array" ref="D1250">_xlfn.IFS(Table2[[#This Row],[Age]]&lt;=11,"Gen A",Table2[[#This Row],[Age]]&lt;=27,"Gen Z",Table2[[#This Row],[Age]]&lt;=43,"Millenials",Table2[[#This Row],[Age]]&lt;=59,"Gen X",Table2[[#This Row],[Age]]&lt;=78,"Baby Boomers",Table2[[#This Row],[Age]]&lt;=96,"Silent",Table2[[#This Row],[Age]]&gt;=97,"Greatest")</f>
        <v>Gen A</v>
      </c>
      <c r="E1250" s="1">
        <v>143082</v>
      </c>
      <c r="F1250">
        <v>63</v>
      </c>
      <c r="G1250" t="str" cm="1">
        <f t="array" ref="G1250">_xlfn.IFS(Table2[[#This Row],[Spending Score (1-100)]]&lt;=25,"Low",Table2[[#This Row],[Spending Score (1-100)]]&lt;=50,"Medium",Table2[[#This Row],[Spending Score (1-100)]]&lt;=75,"High",Table2[[#This Row],[Spending Score (1-100)]]&lt;=100,"Very High")</f>
        <v>High</v>
      </c>
      <c r="H1250" t="s">
        <v>13</v>
      </c>
      <c r="I1250">
        <v>0</v>
      </c>
      <c r="J1250" t="str">
        <f>CONCATENATE(Table2[[#This Row],[Work Experience]],"years")</f>
        <v>0years</v>
      </c>
      <c r="K1250" t="str">
        <f>CONCATENATE(Table2[[#This Row],[Family Size2]],"members")</f>
        <v>7members</v>
      </c>
      <c r="L1250" t="str">
        <f>CONCATENATE(Table2[[#This Row],[Family Size2]],"members")</f>
        <v>7members</v>
      </c>
      <c r="M1250">
        <v>7</v>
      </c>
    </row>
    <row r="1251" spans="1:13">
      <c r="A1251">
        <v>1250</v>
      </c>
      <c r="B1251" t="s">
        <v>11</v>
      </c>
      <c r="C1251">
        <v>96</v>
      </c>
      <c r="D1251" t="str" cm="1">
        <f t="array" ref="D1251">_xlfn.IFS(Table2[[#This Row],[Age]]&lt;=11,"Gen A",Table2[[#This Row],[Age]]&lt;=27,"Gen Z",Table2[[#This Row],[Age]]&lt;=43,"Millenials",Table2[[#This Row],[Age]]&lt;=59,"Gen X",Table2[[#This Row],[Age]]&lt;=78,"Baby Boomers",Table2[[#This Row],[Age]]&lt;=96,"Silent",Table2[[#This Row],[Age]]&gt;=97,"Greatest")</f>
        <v>Silent</v>
      </c>
      <c r="E1251" s="1">
        <v>85447</v>
      </c>
      <c r="F1251">
        <v>4</v>
      </c>
      <c r="G1251" t="str" cm="1">
        <f t="array" ref="G1251">_xlfn.IFS(Table2[[#This Row],[Spending Score (1-100)]]&lt;=25,"Low",Table2[[#This Row],[Spending Score (1-100)]]&lt;=50,"Medium",Table2[[#This Row],[Spending Score (1-100)]]&lt;=75,"High",Table2[[#This Row],[Spending Score (1-100)]]&lt;=100,"Very High")</f>
        <v>Low</v>
      </c>
      <c r="H1251" t="s">
        <v>14</v>
      </c>
      <c r="I1251">
        <v>9</v>
      </c>
      <c r="J1251" t="str">
        <f>CONCATENATE(Table2[[#This Row],[Work Experience]],"years")</f>
        <v>9years</v>
      </c>
      <c r="K1251" t="str">
        <f>CONCATENATE(Table2[[#This Row],[Family Size2]],"members")</f>
        <v>6members</v>
      </c>
      <c r="L1251" t="str">
        <f>CONCATENATE(Table2[[#This Row],[Family Size2]],"members")</f>
        <v>6members</v>
      </c>
      <c r="M1251">
        <v>6</v>
      </c>
    </row>
    <row r="1252" spans="1:13">
      <c r="A1252">
        <v>1251</v>
      </c>
      <c r="B1252" t="s">
        <v>11</v>
      </c>
      <c r="C1252">
        <v>75</v>
      </c>
      <c r="D1252" t="str" cm="1">
        <f t="array" ref="D1252">_xlfn.IFS(Table2[[#This Row],[Age]]&lt;=11,"Gen A",Table2[[#This Row],[Age]]&lt;=27,"Gen Z",Table2[[#This Row],[Age]]&lt;=43,"Millenials",Table2[[#This Row],[Age]]&lt;=59,"Gen X",Table2[[#This Row],[Age]]&lt;=78,"Baby Boomers",Table2[[#This Row],[Age]]&lt;=96,"Silent",Table2[[#This Row],[Age]]&gt;=97,"Greatest")</f>
        <v>Baby Boomers</v>
      </c>
      <c r="E1252" s="1">
        <v>114213</v>
      </c>
      <c r="F1252">
        <v>33</v>
      </c>
      <c r="G1252" t="str" cm="1">
        <f t="array" ref="G1252">_xlfn.IFS(Table2[[#This Row],[Spending Score (1-100)]]&lt;=25,"Low",Table2[[#This Row],[Spending Score (1-100)]]&lt;=50,"Medium",Table2[[#This Row],[Spending Score (1-100)]]&lt;=75,"High",Table2[[#This Row],[Spending Score (1-100)]]&lt;=100,"Very High")</f>
        <v>Medium</v>
      </c>
      <c r="H1252" t="s">
        <v>16</v>
      </c>
      <c r="I1252">
        <v>9</v>
      </c>
      <c r="J1252" t="str">
        <f>CONCATENATE(Table2[[#This Row],[Work Experience]],"years")</f>
        <v>9years</v>
      </c>
      <c r="K1252" t="str">
        <f>CONCATENATE(Table2[[#This Row],[Family Size2]],"members")</f>
        <v>4members</v>
      </c>
      <c r="L1252" t="str">
        <f>CONCATENATE(Table2[[#This Row],[Family Size2]],"members")</f>
        <v>4members</v>
      </c>
      <c r="M1252">
        <v>4</v>
      </c>
    </row>
    <row r="1253" spans="1:13">
      <c r="A1253">
        <v>1252</v>
      </c>
      <c r="B1253" t="s">
        <v>8</v>
      </c>
      <c r="C1253">
        <v>14</v>
      </c>
      <c r="D1253" t="str" cm="1">
        <f t="array" ref="D1253">_xlfn.IFS(Table2[[#This Row],[Age]]&lt;=11,"Gen A",Table2[[#This Row],[Age]]&lt;=27,"Gen Z",Table2[[#This Row],[Age]]&lt;=43,"Millenials",Table2[[#This Row],[Age]]&lt;=59,"Gen X",Table2[[#This Row],[Age]]&lt;=78,"Baby Boomers",Table2[[#This Row],[Age]]&lt;=96,"Silent",Table2[[#This Row],[Age]]&gt;=97,"Greatest")</f>
        <v>Gen Z</v>
      </c>
      <c r="E1253" s="1">
        <v>161120</v>
      </c>
      <c r="F1253">
        <v>69</v>
      </c>
      <c r="G1253" t="str" cm="1">
        <f t="array" ref="G1253">_xlfn.IFS(Table2[[#This Row],[Spending Score (1-100)]]&lt;=25,"Low",Table2[[#This Row],[Spending Score (1-100)]]&lt;=50,"Medium",Table2[[#This Row],[Spending Score (1-100)]]&lt;=75,"High",Table2[[#This Row],[Spending Score (1-100)]]&lt;=100,"Very High")</f>
        <v>High</v>
      </c>
      <c r="H1253" t="s">
        <v>15</v>
      </c>
      <c r="I1253">
        <v>0</v>
      </c>
      <c r="J1253" t="str">
        <f>CONCATENATE(Table2[[#This Row],[Work Experience]],"years")</f>
        <v>0years</v>
      </c>
      <c r="K1253" t="str">
        <f>CONCATENATE(Table2[[#This Row],[Family Size2]],"members")</f>
        <v>1members</v>
      </c>
      <c r="L1253" t="str">
        <f>CONCATENATE(Table2[[#This Row],[Family Size2]],"members")</f>
        <v>1members</v>
      </c>
      <c r="M1253">
        <v>1</v>
      </c>
    </row>
    <row r="1254" spans="1:13">
      <c r="A1254">
        <v>1253</v>
      </c>
      <c r="B1254" t="s">
        <v>11</v>
      </c>
      <c r="C1254">
        <v>8</v>
      </c>
      <c r="D1254" t="str" cm="1">
        <f t="array" ref="D1254">_xlfn.IFS(Table2[[#This Row],[Age]]&lt;=11,"Gen A",Table2[[#This Row],[Age]]&lt;=27,"Gen Z",Table2[[#This Row],[Age]]&lt;=43,"Millenials",Table2[[#This Row],[Age]]&lt;=59,"Gen X",Table2[[#This Row],[Age]]&lt;=78,"Baby Boomers",Table2[[#This Row],[Age]]&lt;=96,"Silent",Table2[[#This Row],[Age]]&gt;=97,"Greatest")</f>
        <v>Gen A</v>
      </c>
      <c r="E1254" s="1">
        <v>186682</v>
      </c>
      <c r="F1254">
        <v>86</v>
      </c>
      <c r="G1254" t="str" cm="1">
        <f t="array" ref="G1254">_xlfn.IFS(Table2[[#This Row],[Spending Score (1-100)]]&lt;=25,"Low",Table2[[#This Row],[Spending Score (1-100)]]&lt;=50,"Medium",Table2[[#This Row],[Spending Score (1-100)]]&lt;=75,"High",Table2[[#This Row],[Spending Score (1-100)]]&lt;=100,"Very High")</f>
        <v>Very High</v>
      </c>
      <c r="H1254" t="s">
        <v>13</v>
      </c>
      <c r="I1254">
        <v>1</v>
      </c>
      <c r="J1254" t="str">
        <f>CONCATENATE(Table2[[#This Row],[Work Experience]],"years")</f>
        <v>1years</v>
      </c>
      <c r="K1254" t="str">
        <f>CONCATENATE(Table2[[#This Row],[Family Size2]],"members")</f>
        <v>1members</v>
      </c>
      <c r="L1254" t="str">
        <f>CONCATENATE(Table2[[#This Row],[Family Size2]],"members")</f>
        <v>1members</v>
      </c>
      <c r="M1254">
        <v>1</v>
      </c>
    </row>
    <row r="1255" spans="1:13">
      <c r="A1255">
        <v>1254</v>
      </c>
      <c r="B1255" t="s">
        <v>8</v>
      </c>
      <c r="C1255">
        <v>58</v>
      </c>
      <c r="D1255" t="str" cm="1">
        <f t="array" ref="D1255">_xlfn.IFS(Table2[[#This Row],[Age]]&lt;=11,"Gen A",Table2[[#This Row],[Age]]&lt;=27,"Gen Z",Table2[[#This Row],[Age]]&lt;=43,"Millenials",Table2[[#This Row],[Age]]&lt;=59,"Gen X",Table2[[#This Row],[Age]]&lt;=78,"Baby Boomers",Table2[[#This Row],[Age]]&lt;=96,"Silent",Table2[[#This Row],[Age]]&gt;=97,"Greatest")</f>
        <v>Gen X</v>
      </c>
      <c r="E1255" s="1">
        <v>105302</v>
      </c>
      <c r="F1255">
        <v>75</v>
      </c>
      <c r="G1255" t="str" cm="1">
        <f t="array" ref="G1255">_xlfn.IFS(Table2[[#This Row],[Spending Score (1-100)]]&lt;=25,"Low",Table2[[#This Row],[Spending Score (1-100)]]&lt;=50,"Medium",Table2[[#This Row],[Spending Score (1-100)]]&lt;=75,"High",Table2[[#This Row],[Spending Score (1-100)]]&lt;=100,"Very High")</f>
        <v>High</v>
      </c>
      <c r="H1255" t="s">
        <v>16</v>
      </c>
      <c r="I1255">
        <v>0</v>
      </c>
      <c r="J1255" t="str">
        <f>CONCATENATE(Table2[[#This Row],[Work Experience]],"years")</f>
        <v>0years</v>
      </c>
      <c r="K1255" t="str">
        <f>CONCATENATE(Table2[[#This Row],[Family Size2]],"members")</f>
        <v>3members</v>
      </c>
      <c r="L1255" t="str">
        <f>CONCATENATE(Table2[[#This Row],[Family Size2]],"members")</f>
        <v>3members</v>
      </c>
      <c r="M1255">
        <v>3</v>
      </c>
    </row>
    <row r="1256" spans="1:13">
      <c r="A1256">
        <v>1255</v>
      </c>
      <c r="B1256" t="s">
        <v>11</v>
      </c>
      <c r="C1256">
        <v>5</v>
      </c>
      <c r="D1256" t="str" cm="1">
        <f t="array" ref="D1256">_xlfn.IFS(Table2[[#This Row],[Age]]&lt;=11,"Gen A",Table2[[#This Row],[Age]]&lt;=27,"Gen Z",Table2[[#This Row],[Age]]&lt;=43,"Millenials",Table2[[#This Row],[Age]]&lt;=59,"Gen X",Table2[[#This Row],[Age]]&lt;=78,"Baby Boomers",Table2[[#This Row],[Age]]&lt;=96,"Silent",Table2[[#This Row],[Age]]&gt;=97,"Greatest")</f>
        <v>Gen A</v>
      </c>
      <c r="E1256" s="1">
        <v>133400</v>
      </c>
      <c r="F1256">
        <v>47</v>
      </c>
      <c r="G1256" t="str" cm="1">
        <f t="array" ref="G1256">_xlfn.IFS(Table2[[#This Row],[Spending Score (1-100)]]&lt;=25,"Low",Table2[[#This Row],[Spending Score (1-100)]]&lt;=50,"Medium",Table2[[#This Row],[Spending Score (1-100)]]&lt;=75,"High",Table2[[#This Row],[Spending Score (1-100)]]&lt;=100,"Very High")</f>
        <v>Medium</v>
      </c>
      <c r="H1256" t="s">
        <v>10</v>
      </c>
      <c r="I1256">
        <v>0</v>
      </c>
      <c r="J1256" t="str">
        <f>CONCATENATE(Table2[[#This Row],[Work Experience]],"years")</f>
        <v>0years</v>
      </c>
      <c r="K1256" t="str">
        <f>CONCATENATE(Table2[[#This Row],[Family Size2]],"members")</f>
        <v>6members</v>
      </c>
      <c r="L1256" t="str">
        <f>CONCATENATE(Table2[[#This Row],[Family Size2]],"members")</f>
        <v>6members</v>
      </c>
      <c r="M1256">
        <v>6</v>
      </c>
    </row>
    <row r="1257" spans="1:13">
      <c r="A1257">
        <v>1256</v>
      </c>
      <c r="B1257" t="s">
        <v>8</v>
      </c>
      <c r="C1257">
        <v>70</v>
      </c>
      <c r="D1257" t="str" cm="1">
        <f t="array" ref="D1257">_xlfn.IFS(Table2[[#This Row],[Age]]&lt;=11,"Gen A",Table2[[#This Row],[Age]]&lt;=27,"Gen Z",Table2[[#This Row],[Age]]&lt;=43,"Millenials",Table2[[#This Row],[Age]]&lt;=59,"Gen X",Table2[[#This Row],[Age]]&lt;=78,"Baby Boomers",Table2[[#This Row],[Age]]&lt;=96,"Silent",Table2[[#This Row],[Age]]&gt;=97,"Greatest")</f>
        <v>Baby Boomers</v>
      </c>
      <c r="E1257" s="1">
        <v>56432</v>
      </c>
      <c r="F1257">
        <v>23</v>
      </c>
      <c r="G1257" t="str" cm="1">
        <f t="array" ref="G1257">_xlfn.IFS(Table2[[#This Row],[Spending Score (1-100)]]&lt;=25,"Low",Table2[[#This Row],[Spending Score (1-100)]]&lt;=50,"Medium",Table2[[#This Row],[Spending Score (1-100)]]&lt;=75,"High",Table2[[#This Row],[Spending Score (1-100)]]&lt;=100,"Very High")</f>
        <v>Low</v>
      </c>
      <c r="H1257" t="s">
        <v>10</v>
      </c>
      <c r="I1257">
        <v>0</v>
      </c>
      <c r="J1257" t="str">
        <f>CONCATENATE(Table2[[#This Row],[Work Experience]],"years")</f>
        <v>0years</v>
      </c>
      <c r="K1257" t="str">
        <f>CONCATENATE(Table2[[#This Row],[Family Size2]],"members")</f>
        <v>5members</v>
      </c>
      <c r="L1257" t="str">
        <f>CONCATENATE(Table2[[#This Row],[Family Size2]],"members")</f>
        <v>5members</v>
      </c>
      <c r="M1257">
        <v>5</v>
      </c>
    </row>
    <row r="1258" spans="1:13">
      <c r="A1258">
        <v>1257</v>
      </c>
      <c r="B1258" t="s">
        <v>11</v>
      </c>
      <c r="C1258">
        <v>49</v>
      </c>
      <c r="D1258" t="str" cm="1">
        <f t="array" ref="D1258">_xlfn.IFS(Table2[[#This Row],[Age]]&lt;=11,"Gen A",Table2[[#This Row],[Age]]&lt;=27,"Gen Z",Table2[[#This Row],[Age]]&lt;=43,"Millenials",Table2[[#This Row],[Age]]&lt;=59,"Gen X",Table2[[#This Row],[Age]]&lt;=78,"Baby Boomers",Table2[[#This Row],[Age]]&lt;=96,"Silent",Table2[[#This Row],[Age]]&gt;=97,"Greatest")</f>
        <v>Gen X</v>
      </c>
      <c r="E1258" s="1">
        <v>136467</v>
      </c>
      <c r="F1258">
        <v>72</v>
      </c>
      <c r="G1258" t="str" cm="1">
        <f t="array" ref="G1258">_xlfn.IFS(Table2[[#This Row],[Spending Score (1-100)]]&lt;=25,"Low",Table2[[#This Row],[Spending Score (1-100)]]&lt;=50,"Medium",Table2[[#This Row],[Spending Score (1-100)]]&lt;=75,"High",Table2[[#This Row],[Spending Score (1-100)]]&lt;=100,"Very High")</f>
        <v>High</v>
      </c>
      <c r="H1258" t="s">
        <v>9</v>
      </c>
      <c r="I1258">
        <v>3</v>
      </c>
      <c r="J1258" t="str">
        <f>CONCATENATE(Table2[[#This Row],[Work Experience]],"years")</f>
        <v>3years</v>
      </c>
      <c r="K1258" t="str">
        <f>CONCATENATE(Table2[[#This Row],[Family Size2]],"members")</f>
        <v>3members</v>
      </c>
      <c r="L1258" t="str">
        <f>CONCATENATE(Table2[[#This Row],[Family Size2]],"members")</f>
        <v>3members</v>
      </c>
      <c r="M1258">
        <v>3</v>
      </c>
    </row>
    <row r="1259" spans="1:13">
      <c r="A1259">
        <v>1258</v>
      </c>
      <c r="B1259" t="s">
        <v>8</v>
      </c>
      <c r="C1259">
        <v>60</v>
      </c>
      <c r="D1259" t="str" cm="1">
        <f t="array" ref="D1259">_xlfn.IFS(Table2[[#This Row],[Age]]&lt;=11,"Gen A",Table2[[#This Row],[Age]]&lt;=27,"Gen Z",Table2[[#This Row],[Age]]&lt;=43,"Millenials",Table2[[#This Row],[Age]]&lt;=59,"Gen X",Table2[[#This Row],[Age]]&lt;=78,"Baby Boomers",Table2[[#This Row],[Age]]&lt;=96,"Silent",Table2[[#This Row],[Age]]&gt;=97,"Greatest")</f>
        <v>Baby Boomers</v>
      </c>
      <c r="E1259" s="1">
        <v>189945</v>
      </c>
      <c r="F1259">
        <v>20</v>
      </c>
      <c r="G1259" t="str" cm="1">
        <f t="array" ref="G1259">_xlfn.IFS(Table2[[#This Row],[Spending Score (1-100)]]&lt;=25,"Low",Table2[[#This Row],[Spending Score (1-100)]]&lt;=50,"Medium",Table2[[#This Row],[Spending Score (1-100)]]&lt;=75,"High",Table2[[#This Row],[Spending Score (1-100)]]&lt;=100,"Very High")</f>
        <v>Low</v>
      </c>
      <c r="H1259" t="s">
        <v>10</v>
      </c>
      <c r="I1259">
        <v>0</v>
      </c>
      <c r="J1259" t="str">
        <f>CONCATENATE(Table2[[#This Row],[Work Experience]],"years")</f>
        <v>0years</v>
      </c>
      <c r="K1259" t="str">
        <f>CONCATENATE(Table2[[#This Row],[Family Size2]],"members")</f>
        <v>5members</v>
      </c>
      <c r="L1259" t="str">
        <f>CONCATENATE(Table2[[#This Row],[Family Size2]],"members")</f>
        <v>5members</v>
      </c>
      <c r="M1259">
        <v>5</v>
      </c>
    </row>
    <row r="1260" spans="1:13">
      <c r="A1260">
        <v>1259</v>
      </c>
      <c r="B1260" t="s">
        <v>11</v>
      </c>
      <c r="C1260">
        <v>25</v>
      </c>
      <c r="D1260" t="str" cm="1">
        <f t="array" ref="D1260">_xlfn.IFS(Table2[[#This Row],[Age]]&lt;=11,"Gen A",Table2[[#This Row],[Age]]&lt;=27,"Gen Z",Table2[[#This Row],[Age]]&lt;=43,"Millenials",Table2[[#This Row],[Age]]&lt;=59,"Gen X",Table2[[#This Row],[Age]]&lt;=78,"Baby Boomers",Table2[[#This Row],[Age]]&lt;=96,"Silent",Table2[[#This Row],[Age]]&gt;=97,"Greatest")</f>
        <v>Gen Z</v>
      </c>
      <c r="E1260" s="1">
        <v>163966</v>
      </c>
      <c r="F1260">
        <v>48</v>
      </c>
      <c r="G1260" t="str" cm="1">
        <f t="array" ref="G1260">_xlfn.IFS(Table2[[#This Row],[Spending Score (1-100)]]&lt;=25,"Low",Table2[[#This Row],[Spending Score (1-100)]]&lt;=50,"Medium",Table2[[#This Row],[Spending Score (1-100)]]&lt;=75,"High",Table2[[#This Row],[Spending Score (1-100)]]&lt;=100,"Very High")</f>
        <v>Medium</v>
      </c>
      <c r="H1260" t="s">
        <v>12</v>
      </c>
      <c r="I1260">
        <v>1</v>
      </c>
      <c r="J1260" t="str">
        <f>CONCATENATE(Table2[[#This Row],[Work Experience]],"years")</f>
        <v>1years</v>
      </c>
      <c r="K1260" t="str">
        <f>CONCATENATE(Table2[[#This Row],[Family Size2]],"members")</f>
        <v>5members</v>
      </c>
      <c r="L1260" t="str">
        <f>CONCATENATE(Table2[[#This Row],[Family Size2]],"members")</f>
        <v>5members</v>
      </c>
      <c r="M1260">
        <v>5</v>
      </c>
    </row>
    <row r="1261" spans="1:13">
      <c r="A1261">
        <v>1260</v>
      </c>
      <c r="B1261" t="s">
        <v>8</v>
      </c>
      <c r="C1261">
        <v>47</v>
      </c>
      <c r="D1261" t="str" cm="1">
        <f t="array" ref="D1261">_xlfn.IFS(Table2[[#This Row],[Age]]&lt;=11,"Gen A",Table2[[#This Row],[Age]]&lt;=27,"Gen Z",Table2[[#This Row],[Age]]&lt;=43,"Millenials",Table2[[#This Row],[Age]]&lt;=59,"Gen X",Table2[[#This Row],[Age]]&lt;=78,"Baby Boomers",Table2[[#This Row],[Age]]&lt;=96,"Silent",Table2[[#This Row],[Age]]&gt;=97,"Greatest")</f>
        <v>Gen X</v>
      </c>
      <c r="E1261" s="1">
        <v>52152</v>
      </c>
      <c r="F1261">
        <v>17</v>
      </c>
      <c r="G1261" t="str" cm="1">
        <f t="array" ref="G1261">_xlfn.IFS(Table2[[#This Row],[Spending Score (1-100)]]&lt;=25,"Low",Table2[[#This Row],[Spending Score (1-100)]]&lt;=50,"Medium",Table2[[#This Row],[Spending Score (1-100)]]&lt;=75,"High",Table2[[#This Row],[Spending Score (1-100)]]&lt;=100,"Very High")</f>
        <v>Low</v>
      </c>
      <c r="H1261" t="s">
        <v>14</v>
      </c>
      <c r="I1261">
        <v>0</v>
      </c>
      <c r="J1261" t="str">
        <f>CONCATENATE(Table2[[#This Row],[Work Experience]],"years")</f>
        <v>0years</v>
      </c>
      <c r="K1261" t="str">
        <f>CONCATENATE(Table2[[#This Row],[Family Size2]],"members")</f>
        <v>3members</v>
      </c>
      <c r="L1261" t="str">
        <f>CONCATENATE(Table2[[#This Row],[Family Size2]],"members")</f>
        <v>3members</v>
      </c>
      <c r="M1261">
        <v>3</v>
      </c>
    </row>
    <row r="1262" spans="1:13">
      <c r="A1262">
        <v>1261</v>
      </c>
      <c r="B1262" t="s">
        <v>8</v>
      </c>
      <c r="C1262">
        <v>53</v>
      </c>
      <c r="D1262" t="str" cm="1">
        <f t="array" ref="D1262">_xlfn.IFS(Table2[[#This Row],[Age]]&lt;=11,"Gen A",Table2[[#This Row],[Age]]&lt;=27,"Gen Z",Table2[[#This Row],[Age]]&lt;=43,"Millenials",Table2[[#This Row],[Age]]&lt;=59,"Gen X",Table2[[#This Row],[Age]]&lt;=78,"Baby Boomers",Table2[[#This Row],[Age]]&lt;=96,"Silent",Table2[[#This Row],[Age]]&gt;=97,"Greatest")</f>
        <v>Gen X</v>
      </c>
      <c r="E1262" s="1">
        <v>145720</v>
      </c>
      <c r="F1262">
        <v>62</v>
      </c>
      <c r="G1262" t="str" cm="1">
        <f t="array" ref="G1262">_xlfn.IFS(Table2[[#This Row],[Spending Score (1-100)]]&lt;=25,"Low",Table2[[#This Row],[Spending Score (1-100)]]&lt;=50,"Medium",Table2[[#This Row],[Spending Score (1-100)]]&lt;=75,"High",Table2[[#This Row],[Spending Score (1-100)]]&lt;=100,"Very High")</f>
        <v>High</v>
      </c>
      <c r="H1262" t="s">
        <v>17</v>
      </c>
      <c r="I1262">
        <v>12</v>
      </c>
      <c r="J1262" t="str">
        <f>CONCATENATE(Table2[[#This Row],[Work Experience]],"years")</f>
        <v>12years</v>
      </c>
      <c r="K1262" t="str">
        <f>CONCATENATE(Table2[[#This Row],[Family Size2]],"members")</f>
        <v>7members</v>
      </c>
      <c r="L1262" t="str">
        <f>CONCATENATE(Table2[[#This Row],[Family Size2]],"members")</f>
        <v>7members</v>
      </c>
      <c r="M1262">
        <v>7</v>
      </c>
    </row>
    <row r="1263" spans="1:13">
      <c r="A1263">
        <v>1262</v>
      </c>
      <c r="B1263" t="s">
        <v>8</v>
      </c>
      <c r="C1263">
        <v>24</v>
      </c>
      <c r="D1263" t="str" cm="1">
        <f t="array" ref="D1263">_xlfn.IFS(Table2[[#This Row],[Age]]&lt;=11,"Gen A",Table2[[#This Row],[Age]]&lt;=27,"Gen Z",Table2[[#This Row],[Age]]&lt;=43,"Millenials",Table2[[#This Row],[Age]]&lt;=59,"Gen X",Table2[[#This Row],[Age]]&lt;=78,"Baby Boomers",Table2[[#This Row],[Age]]&lt;=96,"Silent",Table2[[#This Row],[Age]]&gt;=97,"Greatest")</f>
        <v>Gen Z</v>
      </c>
      <c r="E1263" s="1">
        <v>188034</v>
      </c>
      <c r="F1263">
        <v>61</v>
      </c>
      <c r="G1263" t="str" cm="1">
        <f t="array" ref="G1263">_xlfn.IFS(Table2[[#This Row],[Spending Score (1-100)]]&lt;=25,"Low",Table2[[#This Row],[Spending Score (1-100)]]&lt;=50,"Medium",Table2[[#This Row],[Spending Score (1-100)]]&lt;=75,"High",Table2[[#This Row],[Spending Score (1-100)]]&lt;=100,"Very High")</f>
        <v>High</v>
      </c>
      <c r="H1263" t="s">
        <v>9</v>
      </c>
      <c r="I1263">
        <v>1</v>
      </c>
      <c r="J1263" t="str">
        <f>CONCATENATE(Table2[[#This Row],[Work Experience]],"years")</f>
        <v>1years</v>
      </c>
      <c r="K1263" t="str">
        <f>CONCATENATE(Table2[[#This Row],[Family Size2]],"members")</f>
        <v>5members</v>
      </c>
      <c r="L1263" t="str">
        <f>CONCATENATE(Table2[[#This Row],[Family Size2]],"members")</f>
        <v>5members</v>
      </c>
      <c r="M1263">
        <v>5</v>
      </c>
    </row>
    <row r="1264" spans="1:13">
      <c r="A1264">
        <v>1263</v>
      </c>
      <c r="B1264" t="s">
        <v>11</v>
      </c>
      <c r="C1264">
        <v>46</v>
      </c>
      <c r="D1264" t="str" cm="1">
        <f t="array" ref="D1264">_xlfn.IFS(Table2[[#This Row],[Age]]&lt;=11,"Gen A",Table2[[#This Row],[Age]]&lt;=27,"Gen Z",Table2[[#This Row],[Age]]&lt;=43,"Millenials",Table2[[#This Row],[Age]]&lt;=59,"Gen X",Table2[[#This Row],[Age]]&lt;=78,"Baby Boomers",Table2[[#This Row],[Age]]&lt;=96,"Silent",Table2[[#This Row],[Age]]&gt;=97,"Greatest")</f>
        <v>Gen X</v>
      </c>
      <c r="E1264" s="1">
        <v>127911</v>
      </c>
      <c r="F1264">
        <v>3</v>
      </c>
      <c r="G1264" t="str" cm="1">
        <f t="array" ref="G1264">_xlfn.IFS(Table2[[#This Row],[Spending Score (1-100)]]&lt;=25,"Low",Table2[[#This Row],[Spending Score (1-100)]]&lt;=50,"Medium",Table2[[#This Row],[Spending Score (1-100)]]&lt;=75,"High",Table2[[#This Row],[Spending Score (1-100)]]&lt;=100,"Very High")</f>
        <v>Low</v>
      </c>
      <c r="H1264" t="s">
        <v>17</v>
      </c>
      <c r="I1264">
        <v>9</v>
      </c>
      <c r="J1264" t="str">
        <f>CONCATENATE(Table2[[#This Row],[Work Experience]],"years")</f>
        <v>9years</v>
      </c>
      <c r="K1264" t="str">
        <f>CONCATENATE(Table2[[#This Row],[Family Size2]],"members")</f>
        <v>2members</v>
      </c>
      <c r="L1264" t="str">
        <f>CONCATENATE(Table2[[#This Row],[Family Size2]],"members")</f>
        <v>2members</v>
      </c>
      <c r="M1264">
        <v>2</v>
      </c>
    </row>
    <row r="1265" spans="1:13">
      <c r="A1265">
        <v>1264</v>
      </c>
      <c r="B1265" t="s">
        <v>11</v>
      </c>
      <c r="C1265">
        <v>70</v>
      </c>
      <c r="D1265" t="str" cm="1">
        <f t="array" ref="D1265">_xlfn.IFS(Table2[[#This Row],[Age]]&lt;=11,"Gen A",Table2[[#This Row],[Age]]&lt;=27,"Gen Z",Table2[[#This Row],[Age]]&lt;=43,"Millenials",Table2[[#This Row],[Age]]&lt;=59,"Gen X",Table2[[#This Row],[Age]]&lt;=78,"Baby Boomers",Table2[[#This Row],[Age]]&lt;=96,"Silent",Table2[[#This Row],[Age]]&gt;=97,"Greatest")</f>
        <v>Baby Boomers</v>
      </c>
      <c r="E1265" s="1">
        <v>174114</v>
      </c>
      <c r="F1265">
        <v>31</v>
      </c>
      <c r="G1265" t="str" cm="1">
        <f t="array" ref="G1265">_xlfn.IFS(Table2[[#This Row],[Spending Score (1-100)]]&lt;=25,"Low",Table2[[#This Row],[Spending Score (1-100)]]&lt;=50,"Medium",Table2[[#This Row],[Spending Score (1-100)]]&lt;=75,"High",Table2[[#This Row],[Spending Score (1-100)]]&lt;=100,"Very High")</f>
        <v>Medium</v>
      </c>
      <c r="H1265" t="s">
        <v>12</v>
      </c>
      <c r="I1265">
        <v>1</v>
      </c>
      <c r="J1265" t="str">
        <f>CONCATENATE(Table2[[#This Row],[Work Experience]],"years")</f>
        <v>1years</v>
      </c>
      <c r="K1265" t="str">
        <f>CONCATENATE(Table2[[#This Row],[Family Size2]],"members")</f>
        <v>1members</v>
      </c>
      <c r="L1265" t="str">
        <f>CONCATENATE(Table2[[#This Row],[Family Size2]],"members")</f>
        <v>1members</v>
      </c>
      <c r="M1265">
        <v>1</v>
      </c>
    </row>
    <row r="1266" spans="1:13">
      <c r="A1266">
        <v>1265</v>
      </c>
      <c r="B1266" t="s">
        <v>8</v>
      </c>
      <c r="C1266">
        <v>53</v>
      </c>
      <c r="D1266" t="str" cm="1">
        <f t="array" ref="D1266">_xlfn.IFS(Table2[[#This Row],[Age]]&lt;=11,"Gen A",Table2[[#This Row],[Age]]&lt;=27,"Gen Z",Table2[[#This Row],[Age]]&lt;=43,"Millenials",Table2[[#This Row],[Age]]&lt;=59,"Gen X",Table2[[#This Row],[Age]]&lt;=78,"Baby Boomers",Table2[[#This Row],[Age]]&lt;=96,"Silent",Table2[[#This Row],[Age]]&gt;=97,"Greatest")</f>
        <v>Gen X</v>
      </c>
      <c r="E1266" s="1">
        <v>144489</v>
      </c>
      <c r="F1266">
        <v>10</v>
      </c>
      <c r="G1266" t="str" cm="1">
        <f t="array" ref="G1266">_xlfn.IFS(Table2[[#This Row],[Spending Score (1-100)]]&lt;=25,"Low",Table2[[#This Row],[Spending Score (1-100)]]&lt;=50,"Medium",Table2[[#This Row],[Spending Score (1-100)]]&lt;=75,"High",Table2[[#This Row],[Spending Score (1-100)]]&lt;=100,"Very High")</f>
        <v>Low</v>
      </c>
      <c r="H1266" t="s">
        <v>14</v>
      </c>
      <c r="I1266">
        <v>14</v>
      </c>
      <c r="J1266" t="str">
        <f>CONCATENATE(Table2[[#This Row],[Work Experience]],"years")</f>
        <v>14years</v>
      </c>
      <c r="K1266" t="str">
        <f>CONCATENATE(Table2[[#This Row],[Family Size2]],"members")</f>
        <v>3members</v>
      </c>
      <c r="L1266" t="str">
        <f>CONCATENATE(Table2[[#This Row],[Family Size2]],"members")</f>
        <v>3members</v>
      </c>
      <c r="M1266">
        <v>3</v>
      </c>
    </row>
    <row r="1267" spans="1:13">
      <c r="A1267">
        <v>1266</v>
      </c>
      <c r="B1267" t="s">
        <v>8</v>
      </c>
      <c r="C1267">
        <v>63</v>
      </c>
      <c r="D1267" t="str" cm="1">
        <f t="array" ref="D1267">_xlfn.IFS(Table2[[#This Row],[Age]]&lt;=11,"Gen A",Table2[[#This Row],[Age]]&lt;=27,"Gen Z",Table2[[#This Row],[Age]]&lt;=43,"Millenials",Table2[[#This Row],[Age]]&lt;=59,"Gen X",Table2[[#This Row],[Age]]&lt;=78,"Baby Boomers",Table2[[#This Row],[Age]]&lt;=96,"Silent",Table2[[#This Row],[Age]]&gt;=97,"Greatest")</f>
        <v>Baby Boomers</v>
      </c>
      <c r="E1267" s="1">
        <v>77440</v>
      </c>
      <c r="F1267">
        <v>47</v>
      </c>
      <c r="G1267" t="str" cm="1">
        <f t="array" ref="G1267">_xlfn.IFS(Table2[[#This Row],[Spending Score (1-100)]]&lt;=25,"Low",Table2[[#This Row],[Spending Score (1-100)]]&lt;=50,"Medium",Table2[[#This Row],[Spending Score (1-100)]]&lt;=75,"High",Table2[[#This Row],[Spending Score (1-100)]]&lt;=100,"Very High")</f>
        <v>Medium</v>
      </c>
      <c r="H1267" t="s">
        <v>12</v>
      </c>
      <c r="I1267">
        <v>0</v>
      </c>
      <c r="J1267" t="str">
        <f>CONCATENATE(Table2[[#This Row],[Work Experience]],"years")</f>
        <v>0years</v>
      </c>
      <c r="K1267" t="str">
        <f>CONCATENATE(Table2[[#This Row],[Family Size2]],"members")</f>
        <v>5members</v>
      </c>
      <c r="L1267" t="str">
        <f>CONCATENATE(Table2[[#This Row],[Family Size2]],"members")</f>
        <v>5members</v>
      </c>
      <c r="M1267">
        <v>5</v>
      </c>
    </row>
    <row r="1268" spans="1:13">
      <c r="A1268">
        <v>1267</v>
      </c>
      <c r="B1268" t="s">
        <v>11</v>
      </c>
      <c r="C1268">
        <v>24</v>
      </c>
      <c r="D1268" t="str" cm="1">
        <f t="array" ref="D1268">_xlfn.IFS(Table2[[#This Row],[Age]]&lt;=11,"Gen A",Table2[[#This Row],[Age]]&lt;=27,"Gen Z",Table2[[#This Row],[Age]]&lt;=43,"Millenials",Table2[[#This Row],[Age]]&lt;=59,"Gen X",Table2[[#This Row],[Age]]&lt;=78,"Baby Boomers",Table2[[#This Row],[Age]]&lt;=96,"Silent",Table2[[#This Row],[Age]]&gt;=97,"Greatest")</f>
        <v>Gen Z</v>
      </c>
      <c r="E1268" s="1">
        <v>86119</v>
      </c>
      <c r="F1268">
        <v>44</v>
      </c>
      <c r="G1268" t="str" cm="1">
        <f t="array" ref="G1268">_xlfn.IFS(Table2[[#This Row],[Spending Score (1-100)]]&lt;=25,"Low",Table2[[#This Row],[Spending Score (1-100)]]&lt;=50,"Medium",Table2[[#This Row],[Spending Score (1-100)]]&lt;=75,"High",Table2[[#This Row],[Spending Score (1-100)]]&lt;=100,"Very High")</f>
        <v>Medium</v>
      </c>
      <c r="H1268" t="s">
        <v>14</v>
      </c>
      <c r="I1268">
        <v>1</v>
      </c>
      <c r="J1268" t="str">
        <f>CONCATENATE(Table2[[#This Row],[Work Experience]],"years")</f>
        <v>1years</v>
      </c>
      <c r="K1268" t="str">
        <f>CONCATENATE(Table2[[#This Row],[Family Size2]],"members")</f>
        <v>6members</v>
      </c>
      <c r="L1268" t="str">
        <f>CONCATENATE(Table2[[#This Row],[Family Size2]],"members")</f>
        <v>6members</v>
      </c>
      <c r="M1268">
        <v>6</v>
      </c>
    </row>
    <row r="1269" spans="1:13">
      <c r="A1269">
        <v>1268</v>
      </c>
      <c r="B1269" t="s">
        <v>11</v>
      </c>
      <c r="C1269">
        <v>5</v>
      </c>
      <c r="D1269" t="str" cm="1">
        <f t="array" ref="D1269">_xlfn.IFS(Table2[[#This Row],[Age]]&lt;=11,"Gen A",Table2[[#This Row],[Age]]&lt;=27,"Gen Z",Table2[[#This Row],[Age]]&lt;=43,"Millenials",Table2[[#This Row],[Age]]&lt;=59,"Gen X",Table2[[#This Row],[Age]]&lt;=78,"Baby Boomers",Table2[[#This Row],[Age]]&lt;=96,"Silent",Table2[[#This Row],[Age]]&gt;=97,"Greatest")</f>
        <v>Gen A</v>
      </c>
      <c r="E1269" s="1">
        <v>100056</v>
      </c>
      <c r="F1269">
        <v>49</v>
      </c>
      <c r="G1269" t="str" cm="1">
        <f t="array" ref="G1269">_xlfn.IFS(Table2[[#This Row],[Spending Score (1-100)]]&lt;=25,"Low",Table2[[#This Row],[Spending Score (1-100)]]&lt;=50,"Medium",Table2[[#This Row],[Spending Score (1-100)]]&lt;=75,"High",Table2[[#This Row],[Spending Score (1-100)]]&lt;=100,"Very High")</f>
        <v>Medium</v>
      </c>
      <c r="H1269" t="s">
        <v>13</v>
      </c>
      <c r="I1269">
        <v>1</v>
      </c>
      <c r="J1269" t="str">
        <f>CONCATENATE(Table2[[#This Row],[Work Experience]],"years")</f>
        <v>1years</v>
      </c>
      <c r="K1269" t="str">
        <f>CONCATENATE(Table2[[#This Row],[Family Size2]],"members")</f>
        <v>3members</v>
      </c>
      <c r="L1269" t="str">
        <f>CONCATENATE(Table2[[#This Row],[Family Size2]],"members")</f>
        <v>3members</v>
      </c>
      <c r="M1269">
        <v>3</v>
      </c>
    </row>
    <row r="1270" spans="1:13">
      <c r="A1270">
        <v>1269</v>
      </c>
      <c r="B1270" t="s">
        <v>8</v>
      </c>
      <c r="C1270">
        <v>7</v>
      </c>
      <c r="D1270" t="str" cm="1">
        <f t="array" ref="D1270">_xlfn.IFS(Table2[[#This Row],[Age]]&lt;=11,"Gen A",Table2[[#This Row],[Age]]&lt;=27,"Gen Z",Table2[[#This Row],[Age]]&lt;=43,"Millenials",Table2[[#This Row],[Age]]&lt;=59,"Gen X",Table2[[#This Row],[Age]]&lt;=78,"Baby Boomers",Table2[[#This Row],[Age]]&lt;=96,"Silent",Table2[[#This Row],[Age]]&gt;=97,"Greatest")</f>
        <v>Gen A</v>
      </c>
      <c r="E1270" s="1">
        <v>66686</v>
      </c>
      <c r="F1270">
        <v>50</v>
      </c>
      <c r="G1270" t="str" cm="1">
        <f t="array" ref="G1270">_xlfn.IFS(Table2[[#This Row],[Spending Score (1-100)]]&lt;=25,"Low",Table2[[#This Row],[Spending Score (1-100)]]&lt;=50,"Medium",Table2[[#This Row],[Spending Score (1-100)]]&lt;=75,"High",Table2[[#This Row],[Spending Score (1-100)]]&lt;=100,"Very High")</f>
        <v>Medium</v>
      </c>
      <c r="H1270" t="s">
        <v>14</v>
      </c>
      <c r="I1270">
        <v>8</v>
      </c>
      <c r="J1270" t="str">
        <f>CONCATENATE(Table2[[#This Row],[Work Experience]],"years")</f>
        <v>8years</v>
      </c>
      <c r="K1270" t="str">
        <f>CONCATENATE(Table2[[#This Row],[Family Size2]],"members")</f>
        <v>7members</v>
      </c>
      <c r="L1270" t="str">
        <f>CONCATENATE(Table2[[#This Row],[Family Size2]],"members")</f>
        <v>7members</v>
      </c>
      <c r="M1270">
        <v>7</v>
      </c>
    </row>
    <row r="1271" spans="1:13">
      <c r="A1271">
        <v>1270</v>
      </c>
      <c r="B1271" t="s">
        <v>11</v>
      </c>
      <c r="C1271">
        <v>71</v>
      </c>
      <c r="D1271" t="str" cm="1">
        <f t="array" ref="D1271">_xlfn.IFS(Table2[[#This Row],[Age]]&lt;=11,"Gen A",Table2[[#This Row],[Age]]&lt;=27,"Gen Z",Table2[[#This Row],[Age]]&lt;=43,"Millenials",Table2[[#This Row],[Age]]&lt;=59,"Gen X",Table2[[#This Row],[Age]]&lt;=78,"Baby Boomers",Table2[[#This Row],[Age]]&lt;=96,"Silent",Table2[[#This Row],[Age]]&gt;=97,"Greatest")</f>
        <v>Baby Boomers</v>
      </c>
      <c r="E1271" s="1">
        <v>74696</v>
      </c>
      <c r="F1271">
        <v>41</v>
      </c>
      <c r="G1271" t="str" cm="1">
        <f t="array" ref="G1271">_xlfn.IFS(Table2[[#This Row],[Spending Score (1-100)]]&lt;=25,"Low",Table2[[#This Row],[Spending Score (1-100)]]&lt;=50,"Medium",Table2[[#This Row],[Spending Score (1-100)]]&lt;=75,"High",Table2[[#This Row],[Spending Score (1-100)]]&lt;=100,"Very High")</f>
        <v>Medium</v>
      </c>
      <c r="H1271" t="s">
        <v>16</v>
      </c>
      <c r="I1271">
        <v>1</v>
      </c>
      <c r="J1271" t="str">
        <f>CONCATENATE(Table2[[#This Row],[Work Experience]],"years")</f>
        <v>1years</v>
      </c>
      <c r="K1271" t="str">
        <f>CONCATENATE(Table2[[#This Row],[Family Size2]],"members")</f>
        <v>6members</v>
      </c>
      <c r="L1271" t="str">
        <f>CONCATENATE(Table2[[#This Row],[Family Size2]],"members")</f>
        <v>6members</v>
      </c>
      <c r="M1271">
        <v>6</v>
      </c>
    </row>
    <row r="1272" spans="1:13">
      <c r="A1272">
        <v>1271</v>
      </c>
      <c r="B1272" t="s">
        <v>8</v>
      </c>
      <c r="C1272">
        <v>23</v>
      </c>
      <c r="D1272" t="str" cm="1">
        <f t="array" ref="D1272">_xlfn.IFS(Table2[[#This Row],[Age]]&lt;=11,"Gen A",Table2[[#This Row],[Age]]&lt;=27,"Gen Z",Table2[[#This Row],[Age]]&lt;=43,"Millenials",Table2[[#This Row],[Age]]&lt;=59,"Gen X",Table2[[#This Row],[Age]]&lt;=78,"Baby Boomers",Table2[[#This Row],[Age]]&lt;=96,"Silent",Table2[[#This Row],[Age]]&gt;=97,"Greatest")</f>
        <v>Gen Z</v>
      </c>
      <c r="E1272" s="1">
        <v>65641</v>
      </c>
      <c r="F1272">
        <v>50</v>
      </c>
      <c r="G1272" t="str" cm="1">
        <f t="array" ref="G1272">_xlfn.IFS(Table2[[#This Row],[Spending Score (1-100)]]&lt;=25,"Low",Table2[[#This Row],[Spending Score (1-100)]]&lt;=50,"Medium",Table2[[#This Row],[Spending Score (1-100)]]&lt;=75,"High",Table2[[#This Row],[Spending Score (1-100)]]&lt;=100,"Very High")</f>
        <v>Medium</v>
      </c>
      <c r="H1272" t="s">
        <v>13</v>
      </c>
      <c r="I1272">
        <v>4</v>
      </c>
      <c r="J1272" t="str">
        <f>CONCATENATE(Table2[[#This Row],[Work Experience]],"years")</f>
        <v>4years</v>
      </c>
      <c r="K1272" t="str">
        <f>CONCATENATE(Table2[[#This Row],[Family Size2]],"members")</f>
        <v>5members</v>
      </c>
      <c r="L1272" t="str">
        <f>CONCATENATE(Table2[[#This Row],[Family Size2]],"members")</f>
        <v>5members</v>
      </c>
      <c r="M1272">
        <v>5</v>
      </c>
    </row>
    <row r="1273" spans="1:13">
      <c r="A1273">
        <v>1272</v>
      </c>
      <c r="B1273" t="s">
        <v>11</v>
      </c>
      <c r="C1273">
        <v>0</v>
      </c>
      <c r="D1273" t="str" cm="1">
        <f t="array" ref="D1273">_xlfn.IFS(Table2[[#This Row],[Age]]&lt;=11,"Gen A",Table2[[#This Row],[Age]]&lt;=27,"Gen Z",Table2[[#This Row],[Age]]&lt;=43,"Millenials",Table2[[#This Row],[Age]]&lt;=59,"Gen X",Table2[[#This Row],[Age]]&lt;=78,"Baby Boomers",Table2[[#This Row],[Age]]&lt;=96,"Silent",Table2[[#This Row],[Age]]&gt;=97,"Greatest")</f>
        <v>Gen A</v>
      </c>
      <c r="E1273" s="1">
        <v>61228</v>
      </c>
      <c r="F1273">
        <v>81</v>
      </c>
      <c r="G1273" t="str" cm="1">
        <f t="array" ref="G1273">_xlfn.IFS(Table2[[#This Row],[Spending Score (1-100)]]&lt;=25,"Low",Table2[[#This Row],[Spending Score (1-100)]]&lt;=50,"Medium",Table2[[#This Row],[Spending Score (1-100)]]&lt;=75,"High",Table2[[#This Row],[Spending Score (1-100)]]&lt;=100,"Very High")</f>
        <v>Very High</v>
      </c>
      <c r="H1273" t="s">
        <v>13</v>
      </c>
      <c r="I1273">
        <v>1</v>
      </c>
      <c r="J1273" t="str">
        <f>CONCATENATE(Table2[[#This Row],[Work Experience]],"years")</f>
        <v>1years</v>
      </c>
      <c r="K1273" t="str">
        <f>CONCATENATE(Table2[[#This Row],[Family Size2]],"members")</f>
        <v>6members</v>
      </c>
      <c r="L1273" t="str">
        <f>CONCATENATE(Table2[[#This Row],[Family Size2]],"members")</f>
        <v>6members</v>
      </c>
      <c r="M1273">
        <v>6</v>
      </c>
    </row>
    <row r="1274" spans="1:13">
      <c r="A1274">
        <v>1273</v>
      </c>
      <c r="B1274" t="s">
        <v>11</v>
      </c>
      <c r="C1274">
        <v>2</v>
      </c>
      <c r="D1274" t="str" cm="1">
        <f t="array" ref="D1274">_xlfn.IFS(Table2[[#This Row],[Age]]&lt;=11,"Gen A",Table2[[#This Row],[Age]]&lt;=27,"Gen Z",Table2[[#This Row],[Age]]&lt;=43,"Millenials",Table2[[#This Row],[Age]]&lt;=59,"Gen X",Table2[[#This Row],[Age]]&lt;=78,"Baby Boomers",Table2[[#This Row],[Age]]&lt;=96,"Silent",Table2[[#This Row],[Age]]&gt;=97,"Greatest")</f>
        <v>Gen A</v>
      </c>
      <c r="E1274" s="1">
        <v>138529</v>
      </c>
      <c r="F1274">
        <v>87</v>
      </c>
      <c r="G1274" t="str" cm="1">
        <f t="array" ref="G1274">_xlfn.IFS(Table2[[#This Row],[Spending Score (1-100)]]&lt;=25,"Low",Table2[[#This Row],[Spending Score (1-100)]]&lt;=50,"Medium",Table2[[#This Row],[Spending Score (1-100)]]&lt;=75,"High",Table2[[#This Row],[Spending Score (1-100)]]&lt;=100,"Very High")</f>
        <v>Very High</v>
      </c>
      <c r="H1274" t="s">
        <v>9</v>
      </c>
      <c r="I1274">
        <v>0</v>
      </c>
      <c r="J1274" t="str">
        <f>CONCATENATE(Table2[[#This Row],[Work Experience]],"years")</f>
        <v>0years</v>
      </c>
      <c r="K1274" t="str">
        <f>CONCATENATE(Table2[[#This Row],[Family Size2]],"members")</f>
        <v>4members</v>
      </c>
      <c r="L1274" t="str">
        <f>CONCATENATE(Table2[[#This Row],[Family Size2]],"members")</f>
        <v>4members</v>
      </c>
      <c r="M1274">
        <v>4</v>
      </c>
    </row>
    <row r="1275" spans="1:13">
      <c r="A1275">
        <v>1274</v>
      </c>
      <c r="B1275" t="s">
        <v>11</v>
      </c>
      <c r="C1275">
        <v>72</v>
      </c>
      <c r="D1275" t="str" cm="1">
        <f t="array" ref="D1275">_xlfn.IFS(Table2[[#This Row],[Age]]&lt;=11,"Gen A",Table2[[#This Row],[Age]]&lt;=27,"Gen Z",Table2[[#This Row],[Age]]&lt;=43,"Millenials",Table2[[#This Row],[Age]]&lt;=59,"Gen X",Table2[[#This Row],[Age]]&lt;=78,"Baby Boomers",Table2[[#This Row],[Age]]&lt;=96,"Silent",Table2[[#This Row],[Age]]&gt;=97,"Greatest")</f>
        <v>Baby Boomers</v>
      </c>
      <c r="E1275" s="1">
        <v>152405</v>
      </c>
      <c r="F1275">
        <v>4</v>
      </c>
      <c r="G1275" t="str" cm="1">
        <f t="array" ref="G1275">_xlfn.IFS(Table2[[#This Row],[Spending Score (1-100)]]&lt;=25,"Low",Table2[[#This Row],[Spending Score (1-100)]]&lt;=50,"Medium",Table2[[#This Row],[Spending Score (1-100)]]&lt;=75,"High",Table2[[#This Row],[Spending Score (1-100)]]&lt;=100,"Very High")</f>
        <v>Low</v>
      </c>
      <c r="H1275" t="s">
        <v>14</v>
      </c>
      <c r="I1275">
        <v>1</v>
      </c>
      <c r="J1275" t="str">
        <f>CONCATENATE(Table2[[#This Row],[Work Experience]],"years")</f>
        <v>1years</v>
      </c>
      <c r="K1275" t="str">
        <f>CONCATENATE(Table2[[#This Row],[Family Size2]],"members")</f>
        <v>4members</v>
      </c>
      <c r="L1275" t="str">
        <f>CONCATENATE(Table2[[#This Row],[Family Size2]],"members")</f>
        <v>4members</v>
      </c>
      <c r="M1275">
        <v>4</v>
      </c>
    </row>
    <row r="1276" spans="1:13">
      <c r="A1276">
        <v>1275</v>
      </c>
      <c r="B1276" t="s">
        <v>8</v>
      </c>
      <c r="C1276">
        <v>18</v>
      </c>
      <c r="D1276" t="str" cm="1">
        <f t="array" ref="D1276">_xlfn.IFS(Table2[[#This Row],[Age]]&lt;=11,"Gen A",Table2[[#This Row],[Age]]&lt;=27,"Gen Z",Table2[[#This Row],[Age]]&lt;=43,"Millenials",Table2[[#This Row],[Age]]&lt;=59,"Gen X",Table2[[#This Row],[Age]]&lt;=78,"Baby Boomers",Table2[[#This Row],[Age]]&lt;=96,"Silent",Table2[[#This Row],[Age]]&gt;=97,"Greatest")</f>
        <v>Gen Z</v>
      </c>
      <c r="E1276" s="1">
        <v>157757</v>
      </c>
      <c r="F1276">
        <v>84</v>
      </c>
      <c r="G1276" t="str" cm="1">
        <f t="array" ref="G1276">_xlfn.IFS(Table2[[#This Row],[Spending Score (1-100)]]&lt;=25,"Low",Table2[[#This Row],[Spending Score (1-100)]]&lt;=50,"Medium",Table2[[#This Row],[Spending Score (1-100)]]&lt;=75,"High",Table2[[#This Row],[Spending Score (1-100)]]&lt;=100,"Very High")</f>
        <v>Very High</v>
      </c>
      <c r="H1276" t="s">
        <v>16</v>
      </c>
      <c r="I1276">
        <v>0</v>
      </c>
      <c r="J1276" t="str">
        <f>CONCATENATE(Table2[[#This Row],[Work Experience]],"years")</f>
        <v>0years</v>
      </c>
      <c r="K1276" t="str">
        <f>CONCATENATE(Table2[[#This Row],[Family Size2]],"members")</f>
        <v>4members</v>
      </c>
      <c r="L1276" t="str">
        <f>CONCATENATE(Table2[[#This Row],[Family Size2]],"members")</f>
        <v>4members</v>
      </c>
      <c r="M1276">
        <v>4</v>
      </c>
    </row>
    <row r="1277" spans="1:13">
      <c r="A1277">
        <v>1276</v>
      </c>
      <c r="B1277" t="s">
        <v>8</v>
      </c>
      <c r="C1277">
        <v>11</v>
      </c>
      <c r="D1277" t="str" cm="1">
        <f t="array" ref="D1277">_xlfn.IFS(Table2[[#This Row],[Age]]&lt;=11,"Gen A",Table2[[#This Row],[Age]]&lt;=27,"Gen Z",Table2[[#This Row],[Age]]&lt;=43,"Millenials",Table2[[#This Row],[Age]]&lt;=59,"Gen X",Table2[[#This Row],[Age]]&lt;=78,"Baby Boomers",Table2[[#This Row],[Age]]&lt;=96,"Silent",Table2[[#This Row],[Age]]&gt;=97,"Greatest")</f>
        <v>Gen A</v>
      </c>
      <c r="E1277" s="1">
        <v>166361</v>
      </c>
      <c r="F1277">
        <v>59</v>
      </c>
      <c r="G1277" t="str" cm="1">
        <f t="array" ref="G1277">_xlfn.IFS(Table2[[#This Row],[Spending Score (1-100)]]&lt;=25,"Low",Table2[[#This Row],[Spending Score (1-100)]]&lt;=50,"Medium",Table2[[#This Row],[Spending Score (1-100)]]&lt;=75,"High",Table2[[#This Row],[Spending Score (1-100)]]&lt;=100,"Very High")</f>
        <v>High</v>
      </c>
      <c r="H1277" t="s">
        <v>10</v>
      </c>
      <c r="I1277">
        <v>6</v>
      </c>
      <c r="J1277" t="str">
        <f>CONCATENATE(Table2[[#This Row],[Work Experience]],"years")</f>
        <v>6years</v>
      </c>
      <c r="K1277" t="str">
        <f>CONCATENATE(Table2[[#This Row],[Family Size2]],"members")</f>
        <v>4members</v>
      </c>
      <c r="L1277" t="str">
        <f>CONCATENATE(Table2[[#This Row],[Family Size2]],"members")</f>
        <v>4members</v>
      </c>
      <c r="M1277">
        <v>4</v>
      </c>
    </row>
    <row r="1278" spans="1:13">
      <c r="A1278">
        <v>1277</v>
      </c>
      <c r="B1278" t="s">
        <v>11</v>
      </c>
      <c r="C1278">
        <v>95</v>
      </c>
      <c r="D1278" t="str" cm="1">
        <f t="array" ref="D1278">_xlfn.IFS(Table2[[#This Row],[Age]]&lt;=11,"Gen A",Table2[[#This Row],[Age]]&lt;=27,"Gen Z",Table2[[#This Row],[Age]]&lt;=43,"Millenials",Table2[[#This Row],[Age]]&lt;=59,"Gen X",Table2[[#This Row],[Age]]&lt;=78,"Baby Boomers",Table2[[#This Row],[Age]]&lt;=96,"Silent",Table2[[#This Row],[Age]]&gt;=97,"Greatest")</f>
        <v>Silent</v>
      </c>
      <c r="E1278" s="1">
        <v>67227</v>
      </c>
      <c r="F1278">
        <v>30</v>
      </c>
      <c r="G1278" t="str" cm="1">
        <f t="array" ref="G1278">_xlfn.IFS(Table2[[#This Row],[Spending Score (1-100)]]&lt;=25,"Low",Table2[[#This Row],[Spending Score (1-100)]]&lt;=50,"Medium",Table2[[#This Row],[Spending Score (1-100)]]&lt;=75,"High",Table2[[#This Row],[Spending Score (1-100)]]&lt;=100,"Very High")</f>
        <v>Medium</v>
      </c>
      <c r="H1278" t="s">
        <v>14</v>
      </c>
      <c r="I1278">
        <v>1</v>
      </c>
      <c r="J1278" t="str">
        <f>CONCATENATE(Table2[[#This Row],[Work Experience]],"years")</f>
        <v>1years</v>
      </c>
      <c r="K1278" t="str">
        <f>CONCATENATE(Table2[[#This Row],[Family Size2]],"members")</f>
        <v>7members</v>
      </c>
      <c r="L1278" t="str">
        <f>CONCATENATE(Table2[[#This Row],[Family Size2]],"members")</f>
        <v>7members</v>
      </c>
      <c r="M1278">
        <v>7</v>
      </c>
    </row>
    <row r="1279" spans="1:13">
      <c r="A1279">
        <v>1278</v>
      </c>
      <c r="B1279" t="s">
        <v>8</v>
      </c>
      <c r="C1279">
        <v>20</v>
      </c>
      <c r="D1279" t="str" cm="1">
        <f t="array" ref="D1279">_xlfn.IFS(Table2[[#This Row],[Age]]&lt;=11,"Gen A",Table2[[#This Row],[Age]]&lt;=27,"Gen Z",Table2[[#This Row],[Age]]&lt;=43,"Millenials",Table2[[#This Row],[Age]]&lt;=59,"Gen X",Table2[[#This Row],[Age]]&lt;=78,"Baby Boomers",Table2[[#This Row],[Age]]&lt;=96,"Silent",Table2[[#This Row],[Age]]&gt;=97,"Greatest")</f>
        <v>Gen Z</v>
      </c>
      <c r="E1279" s="1">
        <v>161156</v>
      </c>
      <c r="F1279">
        <v>88</v>
      </c>
      <c r="G1279" t="str" cm="1">
        <f t="array" ref="G1279">_xlfn.IFS(Table2[[#This Row],[Spending Score (1-100)]]&lt;=25,"Low",Table2[[#This Row],[Spending Score (1-100)]]&lt;=50,"Medium",Table2[[#This Row],[Spending Score (1-100)]]&lt;=75,"High",Table2[[#This Row],[Spending Score (1-100)]]&lt;=100,"Very High")</f>
        <v>Very High</v>
      </c>
      <c r="H1279" t="s">
        <v>10</v>
      </c>
      <c r="I1279">
        <v>0</v>
      </c>
      <c r="J1279" t="str">
        <f>CONCATENATE(Table2[[#This Row],[Work Experience]],"years")</f>
        <v>0years</v>
      </c>
      <c r="K1279" t="str">
        <f>CONCATENATE(Table2[[#This Row],[Family Size2]],"members")</f>
        <v>4members</v>
      </c>
      <c r="L1279" t="str">
        <f>CONCATENATE(Table2[[#This Row],[Family Size2]],"members")</f>
        <v>4members</v>
      </c>
      <c r="M1279">
        <v>4</v>
      </c>
    </row>
    <row r="1280" spans="1:13">
      <c r="A1280">
        <v>1279</v>
      </c>
      <c r="B1280" t="s">
        <v>11</v>
      </c>
      <c r="C1280">
        <v>58</v>
      </c>
      <c r="D1280" t="str" cm="1">
        <f t="array" ref="D1280">_xlfn.IFS(Table2[[#This Row],[Age]]&lt;=11,"Gen A",Table2[[#This Row],[Age]]&lt;=27,"Gen Z",Table2[[#This Row],[Age]]&lt;=43,"Millenials",Table2[[#This Row],[Age]]&lt;=59,"Gen X",Table2[[#This Row],[Age]]&lt;=78,"Baby Boomers",Table2[[#This Row],[Age]]&lt;=96,"Silent",Table2[[#This Row],[Age]]&gt;=97,"Greatest")</f>
        <v>Gen X</v>
      </c>
      <c r="E1280" s="1">
        <v>170647</v>
      </c>
      <c r="F1280">
        <v>70</v>
      </c>
      <c r="G1280" t="str" cm="1">
        <f t="array" ref="G1280">_xlfn.IFS(Table2[[#This Row],[Spending Score (1-100)]]&lt;=25,"Low",Table2[[#This Row],[Spending Score (1-100)]]&lt;=50,"Medium",Table2[[#This Row],[Spending Score (1-100)]]&lt;=75,"High",Table2[[#This Row],[Spending Score (1-100)]]&lt;=100,"Very High")</f>
        <v>High</v>
      </c>
      <c r="H1280" t="s">
        <v>9</v>
      </c>
      <c r="I1280">
        <v>1</v>
      </c>
      <c r="J1280" t="str">
        <f>CONCATENATE(Table2[[#This Row],[Work Experience]],"years")</f>
        <v>1years</v>
      </c>
      <c r="K1280" t="str">
        <f>CONCATENATE(Table2[[#This Row],[Family Size2]],"members")</f>
        <v>7members</v>
      </c>
      <c r="L1280" t="str">
        <f>CONCATENATE(Table2[[#This Row],[Family Size2]],"members")</f>
        <v>7members</v>
      </c>
      <c r="M1280">
        <v>7</v>
      </c>
    </row>
    <row r="1281" spans="1:13">
      <c r="A1281">
        <v>1280</v>
      </c>
      <c r="B1281" t="s">
        <v>11</v>
      </c>
      <c r="C1281">
        <v>67</v>
      </c>
      <c r="D1281" t="str" cm="1">
        <f t="array" ref="D1281">_xlfn.IFS(Table2[[#This Row],[Age]]&lt;=11,"Gen A",Table2[[#This Row],[Age]]&lt;=27,"Gen Z",Table2[[#This Row],[Age]]&lt;=43,"Millenials",Table2[[#This Row],[Age]]&lt;=59,"Gen X",Table2[[#This Row],[Age]]&lt;=78,"Baby Boomers",Table2[[#This Row],[Age]]&lt;=96,"Silent",Table2[[#This Row],[Age]]&gt;=97,"Greatest")</f>
        <v>Baby Boomers</v>
      </c>
      <c r="E1281" s="1">
        <v>161646</v>
      </c>
      <c r="F1281">
        <v>36</v>
      </c>
      <c r="G1281" t="str" cm="1">
        <f t="array" ref="G1281">_xlfn.IFS(Table2[[#This Row],[Spending Score (1-100)]]&lt;=25,"Low",Table2[[#This Row],[Spending Score (1-100)]]&lt;=50,"Medium",Table2[[#This Row],[Spending Score (1-100)]]&lt;=75,"High",Table2[[#This Row],[Spending Score (1-100)]]&lt;=100,"Very High")</f>
        <v>Medium</v>
      </c>
      <c r="H1281" t="s">
        <v>9</v>
      </c>
      <c r="I1281">
        <v>0</v>
      </c>
      <c r="J1281" t="str">
        <f>CONCATENATE(Table2[[#This Row],[Work Experience]],"years")</f>
        <v>0years</v>
      </c>
      <c r="K1281" t="str">
        <f>CONCATENATE(Table2[[#This Row],[Family Size2]],"members")</f>
        <v>2members</v>
      </c>
      <c r="L1281" t="str">
        <f>CONCATENATE(Table2[[#This Row],[Family Size2]],"members")</f>
        <v>2members</v>
      </c>
      <c r="M1281">
        <v>2</v>
      </c>
    </row>
    <row r="1282" spans="1:13">
      <c r="A1282">
        <v>1281</v>
      </c>
      <c r="B1282" t="s">
        <v>8</v>
      </c>
      <c r="C1282">
        <v>43</v>
      </c>
      <c r="D1282" t="str" cm="1">
        <f t="array" ref="D1282">_xlfn.IFS(Table2[[#This Row],[Age]]&lt;=11,"Gen A",Table2[[#This Row],[Age]]&lt;=27,"Gen Z",Table2[[#This Row],[Age]]&lt;=43,"Millenials",Table2[[#This Row],[Age]]&lt;=59,"Gen X",Table2[[#This Row],[Age]]&lt;=78,"Baby Boomers",Table2[[#This Row],[Age]]&lt;=96,"Silent",Table2[[#This Row],[Age]]&gt;=97,"Greatest")</f>
        <v>Millenials</v>
      </c>
      <c r="E1282" s="1">
        <v>98016</v>
      </c>
      <c r="F1282">
        <v>18</v>
      </c>
      <c r="G1282" t="str" cm="1">
        <f t="array" ref="G1282">_xlfn.IFS(Table2[[#This Row],[Spending Score (1-100)]]&lt;=25,"Low",Table2[[#This Row],[Spending Score (1-100)]]&lt;=50,"Medium",Table2[[#This Row],[Spending Score (1-100)]]&lt;=75,"High",Table2[[#This Row],[Spending Score (1-100)]]&lt;=100,"Very High")</f>
        <v>Low</v>
      </c>
      <c r="H1282" t="s">
        <v>9</v>
      </c>
      <c r="I1282">
        <v>9</v>
      </c>
      <c r="J1282" t="str">
        <f>CONCATENATE(Table2[[#This Row],[Work Experience]],"years")</f>
        <v>9years</v>
      </c>
      <c r="K1282" t="str">
        <f>CONCATENATE(Table2[[#This Row],[Family Size2]],"members")</f>
        <v>6members</v>
      </c>
      <c r="L1282" t="str">
        <f>CONCATENATE(Table2[[#This Row],[Family Size2]],"members")</f>
        <v>6members</v>
      </c>
      <c r="M1282">
        <v>6</v>
      </c>
    </row>
    <row r="1283" spans="1:13">
      <c r="A1283">
        <v>1282</v>
      </c>
      <c r="B1283" t="s">
        <v>8</v>
      </c>
      <c r="C1283">
        <v>36</v>
      </c>
      <c r="D1283" t="str" cm="1">
        <f t="array" ref="D1283">_xlfn.IFS(Table2[[#This Row],[Age]]&lt;=11,"Gen A",Table2[[#This Row],[Age]]&lt;=27,"Gen Z",Table2[[#This Row],[Age]]&lt;=43,"Millenials",Table2[[#This Row],[Age]]&lt;=59,"Gen X",Table2[[#This Row],[Age]]&lt;=78,"Baby Boomers",Table2[[#This Row],[Age]]&lt;=96,"Silent",Table2[[#This Row],[Age]]&gt;=97,"Greatest")</f>
        <v>Millenials</v>
      </c>
      <c r="E1283" s="1">
        <v>50526</v>
      </c>
      <c r="F1283">
        <v>19</v>
      </c>
      <c r="G1283" t="str" cm="1">
        <f t="array" ref="G1283">_xlfn.IFS(Table2[[#This Row],[Spending Score (1-100)]]&lt;=25,"Low",Table2[[#This Row],[Spending Score (1-100)]]&lt;=50,"Medium",Table2[[#This Row],[Spending Score (1-100)]]&lt;=75,"High",Table2[[#This Row],[Spending Score (1-100)]]&lt;=100,"Very High")</f>
        <v>Low</v>
      </c>
      <c r="H1283" t="s">
        <v>14</v>
      </c>
      <c r="I1283">
        <v>0</v>
      </c>
      <c r="J1283" t="str">
        <f>CONCATENATE(Table2[[#This Row],[Work Experience]],"years")</f>
        <v>0years</v>
      </c>
      <c r="K1283" t="str">
        <f>CONCATENATE(Table2[[#This Row],[Family Size2]],"members")</f>
        <v>6members</v>
      </c>
      <c r="L1283" t="str">
        <f>CONCATENATE(Table2[[#This Row],[Family Size2]],"members")</f>
        <v>6members</v>
      </c>
      <c r="M1283">
        <v>6</v>
      </c>
    </row>
    <row r="1284" spans="1:13">
      <c r="A1284">
        <v>1283</v>
      </c>
      <c r="B1284" t="s">
        <v>8</v>
      </c>
      <c r="C1284">
        <v>2</v>
      </c>
      <c r="D1284" t="str" cm="1">
        <f t="array" ref="D1284">_xlfn.IFS(Table2[[#This Row],[Age]]&lt;=11,"Gen A",Table2[[#This Row],[Age]]&lt;=27,"Gen Z",Table2[[#This Row],[Age]]&lt;=43,"Millenials",Table2[[#This Row],[Age]]&lt;=59,"Gen X",Table2[[#This Row],[Age]]&lt;=78,"Baby Boomers",Table2[[#This Row],[Age]]&lt;=96,"Silent",Table2[[#This Row],[Age]]&gt;=97,"Greatest")</f>
        <v>Gen A</v>
      </c>
      <c r="E1284" s="1">
        <v>175208</v>
      </c>
      <c r="F1284">
        <v>43</v>
      </c>
      <c r="G1284" t="str" cm="1">
        <f t="array" ref="G1284">_xlfn.IFS(Table2[[#This Row],[Spending Score (1-100)]]&lt;=25,"Low",Table2[[#This Row],[Spending Score (1-100)]]&lt;=50,"Medium",Table2[[#This Row],[Spending Score (1-100)]]&lt;=75,"High",Table2[[#This Row],[Spending Score (1-100)]]&lt;=100,"Very High")</f>
        <v>Medium</v>
      </c>
      <c r="H1284" t="s">
        <v>15</v>
      </c>
      <c r="I1284">
        <v>8</v>
      </c>
      <c r="J1284" t="str">
        <f>CONCATENATE(Table2[[#This Row],[Work Experience]],"years")</f>
        <v>8years</v>
      </c>
      <c r="K1284" t="str">
        <f>CONCATENATE(Table2[[#This Row],[Family Size2]],"members")</f>
        <v>4members</v>
      </c>
      <c r="L1284" t="str">
        <f>CONCATENATE(Table2[[#This Row],[Family Size2]],"members")</f>
        <v>4members</v>
      </c>
      <c r="M1284">
        <v>4</v>
      </c>
    </row>
    <row r="1285" spans="1:13">
      <c r="A1285">
        <v>1284</v>
      </c>
      <c r="B1285" t="s">
        <v>11</v>
      </c>
      <c r="C1285">
        <v>35</v>
      </c>
      <c r="D1285" t="str" cm="1">
        <f t="array" ref="D1285">_xlfn.IFS(Table2[[#This Row],[Age]]&lt;=11,"Gen A",Table2[[#This Row],[Age]]&lt;=27,"Gen Z",Table2[[#This Row],[Age]]&lt;=43,"Millenials",Table2[[#This Row],[Age]]&lt;=59,"Gen X",Table2[[#This Row],[Age]]&lt;=78,"Baby Boomers",Table2[[#This Row],[Age]]&lt;=96,"Silent",Table2[[#This Row],[Age]]&gt;=97,"Greatest")</f>
        <v>Millenials</v>
      </c>
      <c r="E1285" s="1">
        <v>97721</v>
      </c>
      <c r="F1285">
        <v>48</v>
      </c>
      <c r="G1285" t="str" cm="1">
        <f t="array" ref="G1285">_xlfn.IFS(Table2[[#This Row],[Spending Score (1-100)]]&lt;=25,"Low",Table2[[#This Row],[Spending Score (1-100)]]&lt;=50,"Medium",Table2[[#This Row],[Spending Score (1-100)]]&lt;=75,"High",Table2[[#This Row],[Spending Score (1-100)]]&lt;=100,"Very High")</f>
        <v>Medium</v>
      </c>
      <c r="H1285" t="s">
        <v>10</v>
      </c>
      <c r="I1285">
        <v>0</v>
      </c>
      <c r="J1285" t="str">
        <f>CONCATENATE(Table2[[#This Row],[Work Experience]],"years")</f>
        <v>0years</v>
      </c>
      <c r="K1285" t="str">
        <f>CONCATENATE(Table2[[#This Row],[Family Size2]],"members")</f>
        <v>7members</v>
      </c>
      <c r="L1285" t="str">
        <f>CONCATENATE(Table2[[#This Row],[Family Size2]],"members")</f>
        <v>7members</v>
      </c>
      <c r="M1285">
        <v>7</v>
      </c>
    </row>
    <row r="1286" spans="1:13">
      <c r="A1286">
        <v>1285</v>
      </c>
      <c r="B1286" t="s">
        <v>11</v>
      </c>
      <c r="C1286">
        <v>81</v>
      </c>
      <c r="D1286" t="str" cm="1">
        <f t="array" ref="D1286">_xlfn.IFS(Table2[[#This Row],[Age]]&lt;=11,"Gen A",Table2[[#This Row],[Age]]&lt;=27,"Gen Z",Table2[[#This Row],[Age]]&lt;=43,"Millenials",Table2[[#This Row],[Age]]&lt;=59,"Gen X",Table2[[#This Row],[Age]]&lt;=78,"Baby Boomers",Table2[[#This Row],[Age]]&lt;=96,"Silent",Table2[[#This Row],[Age]]&gt;=97,"Greatest")</f>
        <v>Silent</v>
      </c>
      <c r="E1286" s="1">
        <v>142013</v>
      </c>
      <c r="F1286">
        <v>81</v>
      </c>
      <c r="G1286" t="str" cm="1">
        <f t="array" ref="G1286">_xlfn.IFS(Table2[[#This Row],[Spending Score (1-100)]]&lt;=25,"Low",Table2[[#This Row],[Spending Score (1-100)]]&lt;=50,"Medium",Table2[[#This Row],[Spending Score (1-100)]]&lt;=75,"High",Table2[[#This Row],[Spending Score (1-100)]]&lt;=100,"Very High")</f>
        <v>Very High</v>
      </c>
      <c r="H1286" t="s">
        <v>13</v>
      </c>
      <c r="I1286">
        <v>3</v>
      </c>
      <c r="J1286" t="str">
        <f>CONCATENATE(Table2[[#This Row],[Work Experience]],"years")</f>
        <v>3years</v>
      </c>
      <c r="K1286" t="str">
        <f>CONCATENATE(Table2[[#This Row],[Family Size2]],"members")</f>
        <v>4members</v>
      </c>
      <c r="L1286" t="str">
        <f>CONCATENATE(Table2[[#This Row],[Family Size2]],"members")</f>
        <v>4members</v>
      </c>
      <c r="M1286">
        <v>4</v>
      </c>
    </row>
    <row r="1287" spans="1:13">
      <c r="A1287">
        <v>1286</v>
      </c>
      <c r="B1287" t="s">
        <v>8</v>
      </c>
      <c r="C1287">
        <v>84</v>
      </c>
      <c r="D1287" t="str" cm="1">
        <f t="array" ref="D1287">_xlfn.IFS(Table2[[#This Row],[Age]]&lt;=11,"Gen A",Table2[[#This Row],[Age]]&lt;=27,"Gen Z",Table2[[#This Row],[Age]]&lt;=43,"Millenials",Table2[[#This Row],[Age]]&lt;=59,"Gen X",Table2[[#This Row],[Age]]&lt;=78,"Baby Boomers",Table2[[#This Row],[Age]]&lt;=96,"Silent",Table2[[#This Row],[Age]]&gt;=97,"Greatest")</f>
        <v>Silent</v>
      </c>
      <c r="E1287" s="1">
        <v>166737</v>
      </c>
      <c r="F1287">
        <v>76</v>
      </c>
      <c r="G1287" t="str" cm="1">
        <f t="array" ref="G1287">_xlfn.IFS(Table2[[#This Row],[Spending Score (1-100)]]&lt;=25,"Low",Table2[[#This Row],[Spending Score (1-100)]]&lt;=50,"Medium",Table2[[#This Row],[Spending Score (1-100)]]&lt;=75,"High",Table2[[#This Row],[Spending Score (1-100)]]&lt;=100,"Very High")</f>
        <v>Very High</v>
      </c>
      <c r="H1287" t="s">
        <v>14</v>
      </c>
      <c r="I1287">
        <v>0</v>
      </c>
      <c r="J1287" t="str">
        <f>CONCATENATE(Table2[[#This Row],[Work Experience]],"years")</f>
        <v>0years</v>
      </c>
      <c r="K1287" t="str">
        <f>CONCATENATE(Table2[[#This Row],[Family Size2]],"members")</f>
        <v>3members</v>
      </c>
      <c r="L1287" t="str">
        <f>CONCATENATE(Table2[[#This Row],[Family Size2]],"members")</f>
        <v>3members</v>
      </c>
      <c r="M1287">
        <v>3</v>
      </c>
    </row>
    <row r="1288" spans="1:13">
      <c r="A1288">
        <v>1287</v>
      </c>
      <c r="B1288" t="s">
        <v>11</v>
      </c>
      <c r="C1288">
        <v>18</v>
      </c>
      <c r="D1288" t="str" cm="1">
        <f t="array" ref="D1288">_xlfn.IFS(Table2[[#This Row],[Age]]&lt;=11,"Gen A",Table2[[#This Row],[Age]]&lt;=27,"Gen Z",Table2[[#This Row],[Age]]&lt;=43,"Millenials",Table2[[#This Row],[Age]]&lt;=59,"Gen X",Table2[[#This Row],[Age]]&lt;=78,"Baby Boomers",Table2[[#This Row],[Age]]&lt;=96,"Silent",Table2[[#This Row],[Age]]&gt;=97,"Greatest")</f>
        <v>Gen Z</v>
      </c>
      <c r="E1288" s="1">
        <v>62651</v>
      </c>
      <c r="F1288">
        <v>13</v>
      </c>
      <c r="G1288" t="str" cm="1">
        <f t="array" ref="G1288">_xlfn.IFS(Table2[[#This Row],[Spending Score (1-100)]]&lt;=25,"Low",Table2[[#This Row],[Spending Score (1-100)]]&lt;=50,"Medium",Table2[[#This Row],[Spending Score (1-100)]]&lt;=75,"High",Table2[[#This Row],[Spending Score (1-100)]]&lt;=100,"Very High")</f>
        <v>Low</v>
      </c>
      <c r="H1288" t="s">
        <v>13</v>
      </c>
      <c r="I1288">
        <v>0</v>
      </c>
      <c r="J1288" t="str">
        <f>CONCATENATE(Table2[[#This Row],[Work Experience]],"years")</f>
        <v>0years</v>
      </c>
      <c r="K1288" t="str">
        <f>CONCATENATE(Table2[[#This Row],[Family Size2]],"members")</f>
        <v>2members</v>
      </c>
      <c r="L1288" t="str">
        <f>CONCATENATE(Table2[[#This Row],[Family Size2]],"members")</f>
        <v>2members</v>
      </c>
      <c r="M1288">
        <v>2</v>
      </c>
    </row>
    <row r="1289" spans="1:13">
      <c r="A1289">
        <v>1288</v>
      </c>
      <c r="B1289" t="s">
        <v>11</v>
      </c>
      <c r="C1289">
        <v>54</v>
      </c>
      <c r="D1289" t="str" cm="1">
        <f t="array" ref="D1289">_xlfn.IFS(Table2[[#This Row],[Age]]&lt;=11,"Gen A",Table2[[#This Row],[Age]]&lt;=27,"Gen Z",Table2[[#This Row],[Age]]&lt;=43,"Millenials",Table2[[#This Row],[Age]]&lt;=59,"Gen X",Table2[[#This Row],[Age]]&lt;=78,"Baby Boomers",Table2[[#This Row],[Age]]&lt;=96,"Silent",Table2[[#This Row],[Age]]&gt;=97,"Greatest")</f>
        <v>Gen X</v>
      </c>
      <c r="E1289" s="1">
        <v>179546</v>
      </c>
      <c r="F1289">
        <v>4</v>
      </c>
      <c r="G1289" t="str" cm="1">
        <f t="array" ref="G1289">_xlfn.IFS(Table2[[#This Row],[Spending Score (1-100)]]&lt;=25,"Low",Table2[[#This Row],[Spending Score (1-100)]]&lt;=50,"Medium",Table2[[#This Row],[Spending Score (1-100)]]&lt;=75,"High",Table2[[#This Row],[Spending Score (1-100)]]&lt;=100,"Very High")</f>
        <v>Low</v>
      </c>
      <c r="H1289" t="s">
        <v>17</v>
      </c>
      <c r="I1289">
        <v>8</v>
      </c>
      <c r="J1289" t="str">
        <f>CONCATENATE(Table2[[#This Row],[Work Experience]],"years")</f>
        <v>8years</v>
      </c>
      <c r="K1289" t="str">
        <f>CONCATENATE(Table2[[#This Row],[Family Size2]],"members")</f>
        <v>4members</v>
      </c>
      <c r="L1289" t="str">
        <f>CONCATENATE(Table2[[#This Row],[Family Size2]],"members")</f>
        <v>4members</v>
      </c>
      <c r="M1289">
        <v>4</v>
      </c>
    </row>
    <row r="1290" spans="1:13">
      <c r="A1290">
        <v>1289</v>
      </c>
      <c r="B1290" t="s">
        <v>11</v>
      </c>
      <c r="C1290">
        <v>98</v>
      </c>
      <c r="D1290" t="str" cm="1">
        <f t="array" ref="D1290">_xlfn.IFS(Table2[[#This Row],[Age]]&lt;=11,"Gen A",Table2[[#This Row],[Age]]&lt;=27,"Gen Z",Table2[[#This Row],[Age]]&lt;=43,"Millenials",Table2[[#This Row],[Age]]&lt;=59,"Gen X",Table2[[#This Row],[Age]]&lt;=78,"Baby Boomers",Table2[[#This Row],[Age]]&lt;=96,"Silent",Table2[[#This Row],[Age]]&gt;=97,"Greatest")</f>
        <v>Greatest</v>
      </c>
      <c r="E1290" s="1">
        <v>51866</v>
      </c>
      <c r="F1290">
        <v>81</v>
      </c>
      <c r="G1290" t="str" cm="1">
        <f t="array" ref="G1290">_xlfn.IFS(Table2[[#This Row],[Spending Score (1-100)]]&lt;=25,"Low",Table2[[#This Row],[Spending Score (1-100)]]&lt;=50,"Medium",Table2[[#This Row],[Spending Score (1-100)]]&lt;=75,"High",Table2[[#This Row],[Spending Score (1-100)]]&lt;=100,"Very High")</f>
        <v>Very High</v>
      </c>
      <c r="H1290" t="s">
        <v>14</v>
      </c>
      <c r="I1290">
        <v>12</v>
      </c>
      <c r="J1290" t="str">
        <f>CONCATENATE(Table2[[#This Row],[Work Experience]],"years")</f>
        <v>12years</v>
      </c>
      <c r="K1290" t="str">
        <f>CONCATENATE(Table2[[#This Row],[Family Size2]],"members")</f>
        <v>7members</v>
      </c>
      <c r="L1290" t="str">
        <f>CONCATENATE(Table2[[#This Row],[Family Size2]],"members")</f>
        <v>7members</v>
      </c>
      <c r="M1290">
        <v>7</v>
      </c>
    </row>
    <row r="1291" spans="1:13">
      <c r="A1291">
        <v>1290</v>
      </c>
      <c r="B1291" t="s">
        <v>11</v>
      </c>
      <c r="C1291">
        <v>75</v>
      </c>
      <c r="D1291" t="str" cm="1">
        <f t="array" ref="D1291">_xlfn.IFS(Table2[[#This Row],[Age]]&lt;=11,"Gen A",Table2[[#This Row],[Age]]&lt;=27,"Gen Z",Table2[[#This Row],[Age]]&lt;=43,"Millenials",Table2[[#This Row],[Age]]&lt;=59,"Gen X",Table2[[#This Row],[Age]]&lt;=78,"Baby Boomers",Table2[[#This Row],[Age]]&lt;=96,"Silent",Table2[[#This Row],[Age]]&gt;=97,"Greatest")</f>
        <v>Baby Boomers</v>
      </c>
      <c r="E1291" s="1">
        <v>86297</v>
      </c>
      <c r="F1291">
        <v>42</v>
      </c>
      <c r="G1291" t="str" cm="1">
        <f t="array" ref="G1291">_xlfn.IFS(Table2[[#This Row],[Spending Score (1-100)]]&lt;=25,"Low",Table2[[#This Row],[Spending Score (1-100)]]&lt;=50,"Medium",Table2[[#This Row],[Spending Score (1-100)]]&lt;=75,"High",Table2[[#This Row],[Spending Score (1-100)]]&lt;=100,"Very High")</f>
        <v>Medium</v>
      </c>
      <c r="H1291" t="s">
        <v>15</v>
      </c>
      <c r="I1291">
        <v>9</v>
      </c>
      <c r="J1291" t="str">
        <f>CONCATENATE(Table2[[#This Row],[Work Experience]],"years")</f>
        <v>9years</v>
      </c>
      <c r="K1291" t="str">
        <f>CONCATENATE(Table2[[#This Row],[Family Size2]],"members")</f>
        <v>4members</v>
      </c>
      <c r="L1291" t="str">
        <f>CONCATENATE(Table2[[#This Row],[Family Size2]],"members")</f>
        <v>4members</v>
      </c>
      <c r="M1291">
        <v>4</v>
      </c>
    </row>
    <row r="1292" spans="1:13">
      <c r="A1292">
        <v>1291</v>
      </c>
      <c r="B1292" t="s">
        <v>11</v>
      </c>
      <c r="C1292">
        <v>98</v>
      </c>
      <c r="D1292" t="str" cm="1">
        <f t="array" ref="D1292">_xlfn.IFS(Table2[[#This Row],[Age]]&lt;=11,"Gen A",Table2[[#This Row],[Age]]&lt;=27,"Gen Z",Table2[[#This Row],[Age]]&lt;=43,"Millenials",Table2[[#This Row],[Age]]&lt;=59,"Gen X",Table2[[#This Row],[Age]]&lt;=78,"Baby Boomers",Table2[[#This Row],[Age]]&lt;=96,"Silent",Table2[[#This Row],[Age]]&gt;=97,"Greatest")</f>
        <v>Greatest</v>
      </c>
      <c r="E1292" s="1">
        <v>65031</v>
      </c>
      <c r="F1292">
        <v>23</v>
      </c>
      <c r="G1292" t="str" cm="1">
        <f t="array" ref="G1292">_xlfn.IFS(Table2[[#This Row],[Spending Score (1-100)]]&lt;=25,"Low",Table2[[#This Row],[Spending Score (1-100)]]&lt;=50,"Medium",Table2[[#This Row],[Spending Score (1-100)]]&lt;=75,"High",Table2[[#This Row],[Spending Score (1-100)]]&lt;=100,"Very High")</f>
        <v>Low</v>
      </c>
      <c r="H1292" t="s">
        <v>14</v>
      </c>
      <c r="I1292">
        <v>0</v>
      </c>
      <c r="J1292" t="str">
        <f>CONCATENATE(Table2[[#This Row],[Work Experience]],"years")</f>
        <v>0years</v>
      </c>
      <c r="K1292" t="str">
        <f>CONCATENATE(Table2[[#This Row],[Family Size2]],"members")</f>
        <v>4members</v>
      </c>
      <c r="L1292" t="str">
        <f>CONCATENATE(Table2[[#This Row],[Family Size2]],"members")</f>
        <v>4members</v>
      </c>
      <c r="M1292">
        <v>4</v>
      </c>
    </row>
    <row r="1293" spans="1:13">
      <c r="A1293">
        <v>1292</v>
      </c>
      <c r="B1293" t="s">
        <v>8</v>
      </c>
      <c r="C1293">
        <v>94</v>
      </c>
      <c r="D1293" t="str" cm="1">
        <f t="array" ref="D1293">_xlfn.IFS(Table2[[#This Row],[Age]]&lt;=11,"Gen A",Table2[[#This Row],[Age]]&lt;=27,"Gen Z",Table2[[#This Row],[Age]]&lt;=43,"Millenials",Table2[[#This Row],[Age]]&lt;=59,"Gen X",Table2[[#This Row],[Age]]&lt;=78,"Baby Boomers",Table2[[#This Row],[Age]]&lt;=96,"Silent",Table2[[#This Row],[Age]]&gt;=97,"Greatest")</f>
        <v>Silent</v>
      </c>
      <c r="E1293" s="1">
        <v>69383</v>
      </c>
      <c r="F1293">
        <v>25</v>
      </c>
      <c r="G1293" t="str" cm="1">
        <f t="array" ref="G1293">_xlfn.IFS(Table2[[#This Row],[Spending Score (1-100)]]&lt;=25,"Low",Table2[[#This Row],[Spending Score (1-100)]]&lt;=50,"Medium",Table2[[#This Row],[Spending Score (1-100)]]&lt;=75,"High",Table2[[#This Row],[Spending Score (1-100)]]&lt;=100,"Very High")</f>
        <v>Low</v>
      </c>
      <c r="H1293" t="s">
        <v>13</v>
      </c>
      <c r="I1293">
        <v>0</v>
      </c>
      <c r="J1293" t="str">
        <f>CONCATENATE(Table2[[#This Row],[Work Experience]],"years")</f>
        <v>0years</v>
      </c>
      <c r="K1293" t="str">
        <f>CONCATENATE(Table2[[#This Row],[Family Size2]],"members")</f>
        <v>2members</v>
      </c>
      <c r="L1293" t="str">
        <f>CONCATENATE(Table2[[#This Row],[Family Size2]],"members")</f>
        <v>2members</v>
      </c>
      <c r="M1293">
        <v>2</v>
      </c>
    </row>
    <row r="1294" spans="1:13">
      <c r="A1294">
        <v>1293</v>
      </c>
      <c r="B1294" t="s">
        <v>8</v>
      </c>
      <c r="C1294">
        <v>24</v>
      </c>
      <c r="D1294" t="str" cm="1">
        <f t="array" ref="D1294">_xlfn.IFS(Table2[[#This Row],[Age]]&lt;=11,"Gen A",Table2[[#This Row],[Age]]&lt;=27,"Gen Z",Table2[[#This Row],[Age]]&lt;=43,"Millenials",Table2[[#This Row],[Age]]&lt;=59,"Gen X",Table2[[#This Row],[Age]]&lt;=78,"Baby Boomers",Table2[[#This Row],[Age]]&lt;=96,"Silent",Table2[[#This Row],[Age]]&gt;=97,"Greatest")</f>
        <v>Gen Z</v>
      </c>
      <c r="E1294" s="1">
        <v>70733</v>
      </c>
      <c r="F1294">
        <v>63</v>
      </c>
      <c r="G1294" t="str" cm="1">
        <f t="array" ref="G1294">_xlfn.IFS(Table2[[#This Row],[Spending Score (1-100)]]&lt;=25,"Low",Table2[[#This Row],[Spending Score (1-100)]]&lt;=50,"Medium",Table2[[#This Row],[Spending Score (1-100)]]&lt;=75,"High",Table2[[#This Row],[Spending Score (1-100)]]&lt;=100,"Very High")</f>
        <v>High</v>
      </c>
      <c r="H1294" t="s">
        <v>14</v>
      </c>
      <c r="I1294">
        <v>5</v>
      </c>
      <c r="J1294" t="str">
        <f>CONCATENATE(Table2[[#This Row],[Work Experience]],"years")</f>
        <v>5years</v>
      </c>
      <c r="K1294" t="str">
        <f>CONCATENATE(Table2[[#This Row],[Family Size2]],"members")</f>
        <v>3members</v>
      </c>
      <c r="L1294" t="str">
        <f>CONCATENATE(Table2[[#This Row],[Family Size2]],"members")</f>
        <v>3members</v>
      </c>
      <c r="M1294">
        <v>3</v>
      </c>
    </row>
    <row r="1295" spans="1:13">
      <c r="A1295">
        <v>1294</v>
      </c>
      <c r="B1295" t="s">
        <v>11</v>
      </c>
      <c r="C1295">
        <v>47</v>
      </c>
      <c r="D1295" t="str" cm="1">
        <f t="array" ref="D1295">_xlfn.IFS(Table2[[#This Row],[Age]]&lt;=11,"Gen A",Table2[[#This Row],[Age]]&lt;=27,"Gen Z",Table2[[#This Row],[Age]]&lt;=43,"Millenials",Table2[[#This Row],[Age]]&lt;=59,"Gen X",Table2[[#This Row],[Age]]&lt;=78,"Baby Boomers",Table2[[#This Row],[Age]]&lt;=96,"Silent",Table2[[#This Row],[Age]]&gt;=97,"Greatest")</f>
        <v>Gen X</v>
      </c>
      <c r="E1295" s="1">
        <v>187898</v>
      </c>
      <c r="F1295">
        <v>89</v>
      </c>
      <c r="G1295" t="str" cm="1">
        <f t="array" ref="G1295">_xlfn.IFS(Table2[[#This Row],[Spending Score (1-100)]]&lt;=25,"Low",Table2[[#This Row],[Spending Score (1-100)]]&lt;=50,"Medium",Table2[[#This Row],[Spending Score (1-100)]]&lt;=75,"High",Table2[[#This Row],[Spending Score (1-100)]]&lt;=100,"Very High")</f>
        <v>Very High</v>
      </c>
      <c r="H1295" t="s">
        <v>14</v>
      </c>
      <c r="I1295">
        <v>6</v>
      </c>
      <c r="J1295" t="str">
        <f>CONCATENATE(Table2[[#This Row],[Work Experience]],"years")</f>
        <v>6years</v>
      </c>
      <c r="K1295" t="str">
        <f>CONCATENATE(Table2[[#This Row],[Family Size2]],"members")</f>
        <v>2members</v>
      </c>
      <c r="L1295" t="str">
        <f>CONCATENATE(Table2[[#This Row],[Family Size2]],"members")</f>
        <v>2members</v>
      </c>
      <c r="M1295">
        <v>2</v>
      </c>
    </row>
    <row r="1296" spans="1:13">
      <c r="A1296">
        <v>1295</v>
      </c>
      <c r="B1296" t="s">
        <v>11</v>
      </c>
      <c r="C1296">
        <v>40</v>
      </c>
      <c r="D1296" t="str" cm="1">
        <f t="array" ref="D1296">_xlfn.IFS(Table2[[#This Row],[Age]]&lt;=11,"Gen A",Table2[[#This Row],[Age]]&lt;=27,"Gen Z",Table2[[#This Row],[Age]]&lt;=43,"Millenials",Table2[[#This Row],[Age]]&lt;=59,"Gen X",Table2[[#This Row],[Age]]&lt;=78,"Baby Boomers",Table2[[#This Row],[Age]]&lt;=96,"Silent",Table2[[#This Row],[Age]]&gt;=97,"Greatest")</f>
        <v>Millenials</v>
      </c>
      <c r="E1296" s="1">
        <v>116001</v>
      </c>
      <c r="F1296">
        <v>55</v>
      </c>
      <c r="G1296" t="str" cm="1">
        <f t="array" ref="G1296">_xlfn.IFS(Table2[[#This Row],[Spending Score (1-100)]]&lt;=25,"Low",Table2[[#This Row],[Spending Score (1-100)]]&lt;=50,"Medium",Table2[[#This Row],[Spending Score (1-100)]]&lt;=75,"High",Table2[[#This Row],[Spending Score (1-100)]]&lt;=100,"Very High")</f>
        <v>High</v>
      </c>
      <c r="H1296" t="s">
        <v>10</v>
      </c>
      <c r="I1296">
        <v>1</v>
      </c>
      <c r="J1296" t="str">
        <f>CONCATENATE(Table2[[#This Row],[Work Experience]],"years")</f>
        <v>1years</v>
      </c>
      <c r="K1296" t="str">
        <f>CONCATENATE(Table2[[#This Row],[Family Size2]],"members")</f>
        <v>4members</v>
      </c>
      <c r="L1296" t="str">
        <f>CONCATENATE(Table2[[#This Row],[Family Size2]],"members")</f>
        <v>4members</v>
      </c>
      <c r="M1296">
        <v>4</v>
      </c>
    </row>
    <row r="1297" spans="1:13">
      <c r="A1297">
        <v>1296</v>
      </c>
      <c r="B1297" t="s">
        <v>8</v>
      </c>
      <c r="C1297">
        <v>68</v>
      </c>
      <c r="D1297" t="str" cm="1">
        <f t="array" ref="D1297">_xlfn.IFS(Table2[[#This Row],[Age]]&lt;=11,"Gen A",Table2[[#This Row],[Age]]&lt;=27,"Gen Z",Table2[[#This Row],[Age]]&lt;=43,"Millenials",Table2[[#This Row],[Age]]&lt;=59,"Gen X",Table2[[#This Row],[Age]]&lt;=78,"Baby Boomers",Table2[[#This Row],[Age]]&lt;=96,"Silent",Table2[[#This Row],[Age]]&gt;=97,"Greatest")</f>
        <v>Baby Boomers</v>
      </c>
      <c r="E1297" s="1">
        <v>87040</v>
      </c>
      <c r="F1297">
        <v>4</v>
      </c>
      <c r="G1297" t="str" cm="1">
        <f t="array" ref="G1297">_xlfn.IFS(Table2[[#This Row],[Spending Score (1-100)]]&lt;=25,"Low",Table2[[#This Row],[Spending Score (1-100)]]&lt;=50,"Medium",Table2[[#This Row],[Spending Score (1-100)]]&lt;=75,"High",Table2[[#This Row],[Spending Score (1-100)]]&lt;=100,"Very High")</f>
        <v>Low</v>
      </c>
      <c r="H1297" t="s">
        <v>14</v>
      </c>
      <c r="I1297">
        <v>9</v>
      </c>
      <c r="J1297" t="str">
        <f>CONCATENATE(Table2[[#This Row],[Work Experience]],"years")</f>
        <v>9years</v>
      </c>
      <c r="K1297" t="str">
        <f>CONCATENATE(Table2[[#This Row],[Family Size2]],"members")</f>
        <v>1members</v>
      </c>
      <c r="L1297" t="str">
        <f>CONCATENATE(Table2[[#This Row],[Family Size2]],"members")</f>
        <v>1members</v>
      </c>
      <c r="M1297">
        <v>1</v>
      </c>
    </row>
    <row r="1298" spans="1:13">
      <c r="A1298">
        <v>1297</v>
      </c>
      <c r="B1298" t="s">
        <v>11</v>
      </c>
      <c r="C1298">
        <v>18</v>
      </c>
      <c r="D1298" t="str" cm="1">
        <f t="array" ref="D1298">_xlfn.IFS(Table2[[#This Row],[Age]]&lt;=11,"Gen A",Table2[[#This Row],[Age]]&lt;=27,"Gen Z",Table2[[#This Row],[Age]]&lt;=43,"Millenials",Table2[[#This Row],[Age]]&lt;=59,"Gen X",Table2[[#This Row],[Age]]&lt;=78,"Baby Boomers",Table2[[#This Row],[Age]]&lt;=96,"Silent",Table2[[#This Row],[Age]]&gt;=97,"Greatest")</f>
        <v>Gen Z</v>
      </c>
      <c r="E1298" s="1">
        <v>180956</v>
      </c>
      <c r="F1298">
        <v>74</v>
      </c>
      <c r="G1298" t="str" cm="1">
        <f t="array" ref="G1298">_xlfn.IFS(Table2[[#This Row],[Spending Score (1-100)]]&lt;=25,"Low",Table2[[#This Row],[Spending Score (1-100)]]&lt;=50,"Medium",Table2[[#This Row],[Spending Score (1-100)]]&lt;=75,"High",Table2[[#This Row],[Spending Score (1-100)]]&lt;=100,"Very High")</f>
        <v>High</v>
      </c>
      <c r="H1298" t="s">
        <v>14</v>
      </c>
      <c r="I1298">
        <v>2</v>
      </c>
      <c r="J1298" t="str">
        <f>CONCATENATE(Table2[[#This Row],[Work Experience]],"years")</f>
        <v>2years</v>
      </c>
      <c r="K1298" t="str">
        <f>CONCATENATE(Table2[[#This Row],[Family Size2]],"members")</f>
        <v>2members</v>
      </c>
      <c r="L1298" t="str">
        <f>CONCATENATE(Table2[[#This Row],[Family Size2]],"members")</f>
        <v>2members</v>
      </c>
      <c r="M1298">
        <v>2</v>
      </c>
    </row>
    <row r="1299" spans="1:13">
      <c r="A1299">
        <v>1298</v>
      </c>
      <c r="B1299" t="s">
        <v>11</v>
      </c>
      <c r="C1299">
        <v>83</v>
      </c>
      <c r="D1299" t="str" cm="1">
        <f t="array" ref="D1299">_xlfn.IFS(Table2[[#This Row],[Age]]&lt;=11,"Gen A",Table2[[#This Row],[Age]]&lt;=27,"Gen Z",Table2[[#This Row],[Age]]&lt;=43,"Millenials",Table2[[#This Row],[Age]]&lt;=59,"Gen X",Table2[[#This Row],[Age]]&lt;=78,"Baby Boomers",Table2[[#This Row],[Age]]&lt;=96,"Silent",Table2[[#This Row],[Age]]&gt;=97,"Greatest")</f>
        <v>Silent</v>
      </c>
      <c r="E1299" s="1">
        <v>115517</v>
      </c>
      <c r="F1299">
        <v>82</v>
      </c>
      <c r="G1299" t="str" cm="1">
        <f t="array" ref="G1299">_xlfn.IFS(Table2[[#This Row],[Spending Score (1-100)]]&lt;=25,"Low",Table2[[#This Row],[Spending Score (1-100)]]&lt;=50,"Medium",Table2[[#This Row],[Spending Score (1-100)]]&lt;=75,"High",Table2[[#This Row],[Spending Score (1-100)]]&lt;=100,"Very High")</f>
        <v>Very High</v>
      </c>
      <c r="H1299" t="s">
        <v>9</v>
      </c>
      <c r="I1299">
        <v>0</v>
      </c>
      <c r="J1299" t="str">
        <f>CONCATENATE(Table2[[#This Row],[Work Experience]],"years")</f>
        <v>0years</v>
      </c>
      <c r="K1299" t="str">
        <f>CONCATENATE(Table2[[#This Row],[Family Size2]],"members")</f>
        <v>6members</v>
      </c>
      <c r="L1299" t="str">
        <f>CONCATENATE(Table2[[#This Row],[Family Size2]],"members")</f>
        <v>6members</v>
      </c>
      <c r="M1299">
        <v>6</v>
      </c>
    </row>
    <row r="1300" spans="1:13">
      <c r="A1300">
        <v>1299</v>
      </c>
      <c r="B1300" t="s">
        <v>8</v>
      </c>
      <c r="C1300">
        <v>34</v>
      </c>
      <c r="D1300" t="str" cm="1">
        <f t="array" ref="D1300">_xlfn.IFS(Table2[[#This Row],[Age]]&lt;=11,"Gen A",Table2[[#This Row],[Age]]&lt;=27,"Gen Z",Table2[[#This Row],[Age]]&lt;=43,"Millenials",Table2[[#This Row],[Age]]&lt;=59,"Gen X",Table2[[#This Row],[Age]]&lt;=78,"Baby Boomers",Table2[[#This Row],[Age]]&lt;=96,"Silent",Table2[[#This Row],[Age]]&gt;=97,"Greatest")</f>
        <v>Millenials</v>
      </c>
      <c r="E1300" s="1">
        <v>76979</v>
      </c>
      <c r="F1300">
        <v>46</v>
      </c>
      <c r="G1300" t="str" cm="1">
        <f t="array" ref="G1300">_xlfn.IFS(Table2[[#This Row],[Spending Score (1-100)]]&lt;=25,"Low",Table2[[#This Row],[Spending Score (1-100)]]&lt;=50,"Medium",Table2[[#This Row],[Spending Score (1-100)]]&lt;=75,"High",Table2[[#This Row],[Spending Score (1-100)]]&lt;=100,"Very High")</f>
        <v>Medium</v>
      </c>
      <c r="H1300" t="s">
        <v>12</v>
      </c>
      <c r="I1300">
        <v>1</v>
      </c>
      <c r="J1300" t="str">
        <f>CONCATENATE(Table2[[#This Row],[Work Experience]],"years")</f>
        <v>1years</v>
      </c>
      <c r="K1300" t="str">
        <f>CONCATENATE(Table2[[#This Row],[Family Size2]],"members")</f>
        <v>3members</v>
      </c>
      <c r="L1300" t="str">
        <f>CONCATENATE(Table2[[#This Row],[Family Size2]],"members")</f>
        <v>3members</v>
      </c>
      <c r="M1300">
        <v>3</v>
      </c>
    </row>
    <row r="1301" spans="1:13">
      <c r="A1301">
        <v>1300</v>
      </c>
      <c r="B1301" t="s">
        <v>8</v>
      </c>
      <c r="C1301">
        <v>81</v>
      </c>
      <c r="D1301" t="str" cm="1">
        <f t="array" ref="D1301">_xlfn.IFS(Table2[[#This Row],[Age]]&lt;=11,"Gen A",Table2[[#This Row],[Age]]&lt;=27,"Gen Z",Table2[[#This Row],[Age]]&lt;=43,"Millenials",Table2[[#This Row],[Age]]&lt;=59,"Gen X",Table2[[#This Row],[Age]]&lt;=78,"Baby Boomers",Table2[[#This Row],[Age]]&lt;=96,"Silent",Table2[[#This Row],[Age]]&gt;=97,"Greatest")</f>
        <v>Silent</v>
      </c>
      <c r="E1301" s="1">
        <v>50798</v>
      </c>
      <c r="F1301">
        <v>56</v>
      </c>
      <c r="G1301" t="str" cm="1">
        <f t="array" ref="G1301">_xlfn.IFS(Table2[[#This Row],[Spending Score (1-100)]]&lt;=25,"Low",Table2[[#This Row],[Spending Score (1-100)]]&lt;=50,"Medium",Table2[[#This Row],[Spending Score (1-100)]]&lt;=75,"High",Table2[[#This Row],[Spending Score (1-100)]]&lt;=100,"Very High")</f>
        <v>High</v>
      </c>
      <c r="H1301" t="s">
        <v>14</v>
      </c>
      <c r="I1301">
        <v>10</v>
      </c>
      <c r="J1301" t="str">
        <f>CONCATENATE(Table2[[#This Row],[Work Experience]],"years")</f>
        <v>10years</v>
      </c>
      <c r="K1301" t="str">
        <f>CONCATENATE(Table2[[#This Row],[Family Size2]],"members")</f>
        <v>5members</v>
      </c>
      <c r="L1301" t="str">
        <f>CONCATENATE(Table2[[#This Row],[Family Size2]],"members")</f>
        <v>5members</v>
      </c>
      <c r="M1301">
        <v>5</v>
      </c>
    </row>
    <row r="1302" spans="1:13">
      <c r="A1302">
        <v>1301</v>
      </c>
      <c r="B1302" t="s">
        <v>11</v>
      </c>
      <c r="C1302">
        <v>61</v>
      </c>
      <c r="D1302" t="str" cm="1">
        <f t="array" ref="D1302">_xlfn.IFS(Table2[[#This Row],[Age]]&lt;=11,"Gen A",Table2[[#This Row],[Age]]&lt;=27,"Gen Z",Table2[[#This Row],[Age]]&lt;=43,"Millenials",Table2[[#This Row],[Age]]&lt;=59,"Gen X",Table2[[#This Row],[Age]]&lt;=78,"Baby Boomers",Table2[[#This Row],[Age]]&lt;=96,"Silent",Table2[[#This Row],[Age]]&gt;=97,"Greatest")</f>
        <v>Baby Boomers</v>
      </c>
      <c r="E1302" s="1">
        <v>146350</v>
      </c>
      <c r="F1302">
        <v>43</v>
      </c>
      <c r="G1302" t="str" cm="1">
        <f t="array" ref="G1302">_xlfn.IFS(Table2[[#This Row],[Spending Score (1-100)]]&lt;=25,"Low",Table2[[#This Row],[Spending Score (1-100)]]&lt;=50,"Medium",Table2[[#This Row],[Spending Score (1-100)]]&lt;=75,"High",Table2[[#This Row],[Spending Score (1-100)]]&lt;=100,"Very High")</f>
        <v>Medium</v>
      </c>
      <c r="H1302" t="s">
        <v>14</v>
      </c>
      <c r="I1302">
        <v>1</v>
      </c>
      <c r="J1302" t="str">
        <f>CONCATENATE(Table2[[#This Row],[Work Experience]],"years")</f>
        <v>1years</v>
      </c>
      <c r="K1302" t="str">
        <f>CONCATENATE(Table2[[#This Row],[Family Size2]],"members")</f>
        <v>3members</v>
      </c>
      <c r="L1302" t="str">
        <f>CONCATENATE(Table2[[#This Row],[Family Size2]],"members")</f>
        <v>3members</v>
      </c>
      <c r="M1302">
        <v>3</v>
      </c>
    </row>
    <row r="1303" spans="1:13">
      <c r="A1303">
        <v>1302</v>
      </c>
      <c r="B1303" t="s">
        <v>11</v>
      </c>
      <c r="C1303">
        <v>77</v>
      </c>
      <c r="D1303" t="str" cm="1">
        <f t="array" ref="D1303">_xlfn.IFS(Table2[[#This Row],[Age]]&lt;=11,"Gen A",Table2[[#This Row],[Age]]&lt;=27,"Gen Z",Table2[[#This Row],[Age]]&lt;=43,"Millenials",Table2[[#This Row],[Age]]&lt;=59,"Gen X",Table2[[#This Row],[Age]]&lt;=78,"Baby Boomers",Table2[[#This Row],[Age]]&lt;=96,"Silent",Table2[[#This Row],[Age]]&gt;=97,"Greatest")</f>
        <v>Baby Boomers</v>
      </c>
      <c r="E1303" s="1">
        <v>81112</v>
      </c>
      <c r="F1303">
        <v>61</v>
      </c>
      <c r="G1303" t="str" cm="1">
        <f t="array" ref="G1303">_xlfn.IFS(Table2[[#This Row],[Spending Score (1-100)]]&lt;=25,"Low",Table2[[#This Row],[Spending Score (1-100)]]&lt;=50,"Medium",Table2[[#This Row],[Spending Score (1-100)]]&lt;=75,"High",Table2[[#This Row],[Spending Score (1-100)]]&lt;=100,"Very High")</f>
        <v>High</v>
      </c>
      <c r="H1303" t="s">
        <v>9</v>
      </c>
      <c r="I1303">
        <v>5</v>
      </c>
      <c r="J1303" t="str">
        <f>CONCATENATE(Table2[[#This Row],[Work Experience]],"years")</f>
        <v>5years</v>
      </c>
      <c r="K1303" t="str">
        <f>CONCATENATE(Table2[[#This Row],[Family Size2]],"members")</f>
        <v>3members</v>
      </c>
      <c r="L1303" t="str">
        <f>CONCATENATE(Table2[[#This Row],[Family Size2]],"members")</f>
        <v>3members</v>
      </c>
      <c r="M1303">
        <v>3</v>
      </c>
    </row>
    <row r="1304" spans="1:13">
      <c r="A1304">
        <v>1303</v>
      </c>
      <c r="B1304" t="s">
        <v>8</v>
      </c>
      <c r="C1304">
        <v>52</v>
      </c>
      <c r="D1304" t="str" cm="1">
        <f t="array" ref="D1304">_xlfn.IFS(Table2[[#This Row],[Age]]&lt;=11,"Gen A",Table2[[#This Row],[Age]]&lt;=27,"Gen Z",Table2[[#This Row],[Age]]&lt;=43,"Millenials",Table2[[#This Row],[Age]]&lt;=59,"Gen X",Table2[[#This Row],[Age]]&lt;=78,"Baby Boomers",Table2[[#This Row],[Age]]&lt;=96,"Silent",Table2[[#This Row],[Age]]&gt;=97,"Greatest")</f>
        <v>Gen X</v>
      </c>
      <c r="E1304" s="1">
        <v>80605</v>
      </c>
      <c r="F1304">
        <v>20</v>
      </c>
      <c r="G1304" t="str" cm="1">
        <f t="array" ref="G1304">_xlfn.IFS(Table2[[#This Row],[Spending Score (1-100)]]&lt;=25,"Low",Table2[[#This Row],[Spending Score (1-100)]]&lt;=50,"Medium",Table2[[#This Row],[Spending Score (1-100)]]&lt;=75,"High",Table2[[#This Row],[Spending Score (1-100)]]&lt;=100,"Very High")</f>
        <v>Low</v>
      </c>
      <c r="H1304" t="s">
        <v>16</v>
      </c>
      <c r="I1304">
        <v>1</v>
      </c>
      <c r="J1304" t="str">
        <f>CONCATENATE(Table2[[#This Row],[Work Experience]],"years")</f>
        <v>1years</v>
      </c>
      <c r="K1304" t="str">
        <f>CONCATENATE(Table2[[#This Row],[Family Size2]],"members")</f>
        <v>6members</v>
      </c>
      <c r="L1304" t="str">
        <f>CONCATENATE(Table2[[#This Row],[Family Size2]],"members")</f>
        <v>6members</v>
      </c>
      <c r="M1304">
        <v>6</v>
      </c>
    </row>
    <row r="1305" spans="1:13">
      <c r="A1305">
        <v>1304</v>
      </c>
      <c r="B1305" t="s">
        <v>8</v>
      </c>
      <c r="C1305">
        <v>40</v>
      </c>
      <c r="D1305" t="str" cm="1">
        <f t="array" ref="D1305">_xlfn.IFS(Table2[[#This Row],[Age]]&lt;=11,"Gen A",Table2[[#This Row],[Age]]&lt;=27,"Gen Z",Table2[[#This Row],[Age]]&lt;=43,"Millenials",Table2[[#This Row],[Age]]&lt;=59,"Gen X",Table2[[#This Row],[Age]]&lt;=78,"Baby Boomers",Table2[[#This Row],[Age]]&lt;=96,"Silent",Table2[[#This Row],[Age]]&gt;=97,"Greatest")</f>
        <v>Millenials</v>
      </c>
      <c r="E1305" s="1">
        <v>171949</v>
      </c>
      <c r="F1305">
        <v>11</v>
      </c>
      <c r="G1305" t="str" cm="1">
        <f t="array" ref="G1305">_xlfn.IFS(Table2[[#This Row],[Spending Score (1-100)]]&lt;=25,"Low",Table2[[#This Row],[Spending Score (1-100)]]&lt;=50,"Medium",Table2[[#This Row],[Spending Score (1-100)]]&lt;=75,"High",Table2[[#This Row],[Spending Score (1-100)]]&lt;=100,"Very High")</f>
        <v>Low</v>
      </c>
      <c r="H1305" t="s">
        <v>16</v>
      </c>
      <c r="I1305">
        <v>1</v>
      </c>
      <c r="J1305" t="str">
        <f>CONCATENATE(Table2[[#This Row],[Work Experience]],"years")</f>
        <v>1years</v>
      </c>
      <c r="K1305" t="str">
        <f>CONCATENATE(Table2[[#This Row],[Family Size2]],"members")</f>
        <v>6members</v>
      </c>
      <c r="L1305" t="str">
        <f>CONCATENATE(Table2[[#This Row],[Family Size2]],"members")</f>
        <v>6members</v>
      </c>
      <c r="M1305">
        <v>6</v>
      </c>
    </row>
    <row r="1306" spans="1:13">
      <c r="A1306">
        <v>1305</v>
      </c>
      <c r="B1306" t="s">
        <v>8</v>
      </c>
      <c r="C1306">
        <v>93</v>
      </c>
      <c r="D1306" t="str" cm="1">
        <f t="array" ref="D1306">_xlfn.IFS(Table2[[#This Row],[Age]]&lt;=11,"Gen A",Table2[[#This Row],[Age]]&lt;=27,"Gen Z",Table2[[#This Row],[Age]]&lt;=43,"Millenials",Table2[[#This Row],[Age]]&lt;=59,"Gen X",Table2[[#This Row],[Age]]&lt;=78,"Baby Boomers",Table2[[#This Row],[Age]]&lt;=96,"Silent",Table2[[#This Row],[Age]]&gt;=97,"Greatest")</f>
        <v>Silent</v>
      </c>
      <c r="E1306" s="1">
        <v>159006</v>
      </c>
      <c r="F1306">
        <v>26</v>
      </c>
      <c r="G1306" t="str" cm="1">
        <f t="array" ref="G1306">_xlfn.IFS(Table2[[#This Row],[Spending Score (1-100)]]&lt;=25,"Low",Table2[[#This Row],[Spending Score (1-100)]]&lt;=50,"Medium",Table2[[#This Row],[Spending Score (1-100)]]&lt;=75,"High",Table2[[#This Row],[Spending Score (1-100)]]&lt;=100,"Very High")</f>
        <v>Medium</v>
      </c>
      <c r="H1306" t="s">
        <v>14</v>
      </c>
      <c r="I1306">
        <v>8</v>
      </c>
      <c r="J1306" t="str">
        <f>CONCATENATE(Table2[[#This Row],[Work Experience]],"years")</f>
        <v>8years</v>
      </c>
      <c r="K1306" t="str">
        <f>CONCATENATE(Table2[[#This Row],[Family Size2]],"members")</f>
        <v>6members</v>
      </c>
      <c r="L1306" t="str">
        <f>CONCATENATE(Table2[[#This Row],[Family Size2]],"members")</f>
        <v>6members</v>
      </c>
      <c r="M1306">
        <v>6</v>
      </c>
    </row>
    <row r="1307" spans="1:13">
      <c r="A1307">
        <v>1306</v>
      </c>
      <c r="B1307" t="s">
        <v>11</v>
      </c>
      <c r="C1307">
        <v>45</v>
      </c>
      <c r="D1307" t="str" cm="1">
        <f t="array" ref="D1307">_xlfn.IFS(Table2[[#This Row],[Age]]&lt;=11,"Gen A",Table2[[#This Row],[Age]]&lt;=27,"Gen Z",Table2[[#This Row],[Age]]&lt;=43,"Millenials",Table2[[#This Row],[Age]]&lt;=59,"Gen X",Table2[[#This Row],[Age]]&lt;=78,"Baby Boomers",Table2[[#This Row],[Age]]&lt;=96,"Silent",Table2[[#This Row],[Age]]&gt;=97,"Greatest")</f>
        <v>Gen X</v>
      </c>
      <c r="E1307" s="1">
        <v>177368</v>
      </c>
      <c r="F1307">
        <v>96</v>
      </c>
      <c r="G1307" t="str" cm="1">
        <f t="array" ref="G1307">_xlfn.IFS(Table2[[#This Row],[Spending Score (1-100)]]&lt;=25,"Low",Table2[[#This Row],[Spending Score (1-100)]]&lt;=50,"Medium",Table2[[#This Row],[Spending Score (1-100)]]&lt;=75,"High",Table2[[#This Row],[Spending Score (1-100)]]&lt;=100,"Very High")</f>
        <v>Very High</v>
      </c>
      <c r="H1307" t="s">
        <v>9</v>
      </c>
      <c r="I1307">
        <v>1</v>
      </c>
      <c r="J1307" t="str">
        <f>CONCATENATE(Table2[[#This Row],[Work Experience]],"years")</f>
        <v>1years</v>
      </c>
      <c r="K1307" t="str">
        <f>CONCATENATE(Table2[[#This Row],[Family Size2]],"members")</f>
        <v>2members</v>
      </c>
      <c r="L1307" t="str">
        <f>CONCATENATE(Table2[[#This Row],[Family Size2]],"members")</f>
        <v>2members</v>
      </c>
      <c r="M1307">
        <v>2</v>
      </c>
    </row>
    <row r="1308" spans="1:13">
      <c r="A1308">
        <v>1307</v>
      </c>
      <c r="B1308" t="s">
        <v>11</v>
      </c>
      <c r="C1308">
        <v>83</v>
      </c>
      <c r="D1308" t="str" cm="1">
        <f t="array" ref="D1308">_xlfn.IFS(Table2[[#This Row],[Age]]&lt;=11,"Gen A",Table2[[#This Row],[Age]]&lt;=27,"Gen Z",Table2[[#This Row],[Age]]&lt;=43,"Millenials",Table2[[#This Row],[Age]]&lt;=59,"Gen X",Table2[[#This Row],[Age]]&lt;=78,"Baby Boomers",Table2[[#This Row],[Age]]&lt;=96,"Silent",Table2[[#This Row],[Age]]&gt;=97,"Greatest")</f>
        <v>Silent</v>
      </c>
      <c r="E1308" s="1">
        <v>187643</v>
      </c>
      <c r="F1308">
        <v>3</v>
      </c>
      <c r="G1308" t="str" cm="1">
        <f t="array" ref="G1308">_xlfn.IFS(Table2[[#This Row],[Spending Score (1-100)]]&lt;=25,"Low",Table2[[#This Row],[Spending Score (1-100)]]&lt;=50,"Medium",Table2[[#This Row],[Spending Score (1-100)]]&lt;=75,"High",Table2[[#This Row],[Spending Score (1-100)]]&lt;=100,"Very High")</f>
        <v>Low</v>
      </c>
      <c r="H1308" t="s">
        <v>14</v>
      </c>
      <c r="I1308">
        <v>1</v>
      </c>
      <c r="J1308" t="str">
        <f>CONCATENATE(Table2[[#This Row],[Work Experience]],"years")</f>
        <v>1years</v>
      </c>
      <c r="K1308" t="str">
        <f>CONCATENATE(Table2[[#This Row],[Family Size2]],"members")</f>
        <v>1members</v>
      </c>
      <c r="L1308" t="str">
        <f>CONCATENATE(Table2[[#This Row],[Family Size2]],"members")</f>
        <v>1members</v>
      </c>
      <c r="M1308">
        <v>1</v>
      </c>
    </row>
    <row r="1309" spans="1:13">
      <c r="A1309">
        <v>1308</v>
      </c>
      <c r="B1309" t="s">
        <v>8</v>
      </c>
      <c r="C1309">
        <v>23</v>
      </c>
      <c r="D1309" t="str" cm="1">
        <f t="array" ref="D1309">_xlfn.IFS(Table2[[#This Row],[Age]]&lt;=11,"Gen A",Table2[[#This Row],[Age]]&lt;=27,"Gen Z",Table2[[#This Row],[Age]]&lt;=43,"Millenials",Table2[[#This Row],[Age]]&lt;=59,"Gen X",Table2[[#This Row],[Age]]&lt;=78,"Baby Boomers",Table2[[#This Row],[Age]]&lt;=96,"Silent",Table2[[#This Row],[Age]]&gt;=97,"Greatest")</f>
        <v>Gen Z</v>
      </c>
      <c r="E1309" s="1">
        <v>93841</v>
      </c>
      <c r="F1309">
        <v>25</v>
      </c>
      <c r="G1309" t="str" cm="1">
        <f t="array" ref="G1309">_xlfn.IFS(Table2[[#This Row],[Spending Score (1-100)]]&lt;=25,"Low",Table2[[#This Row],[Spending Score (1-100)]]&lt;=50,"Medium",Table2[[#This Row],[Spending Score (1-100)]]&lt;=75,"High",Table2[[#This Row],[Spending Score (1-100)]]&lt;=100,"Very High")</f>
        <v>Low</v>
      </c>
      <c r="H1309" t="s">
        <v>12</v>
      </c>
      <c r="I1309">
        <v>0</v>
      </c>
      <c r="J1309" t="str">
        <f>CONCATENATE(Table2[[#This Row],[Work Experience]],"years")</f>
        <v>0years</v>
      </c>
      <c r="K1309" t="str">
        <f>CONCATENATE(Table2[[#This Row],[Family Size2]],"members")</f>
        <v>7members</v>
      </c>
      <c r="L1309" t="str">
        <f>CONCATENATE(Table2[[#This Row],[Family Size2]],"members")</f>
        <v>7members</v>
      </c>
      <c r="M1309">
        <v>7</v>
      </c>
    </row>
    <row r="1310" spans="1:13">
      <c r="A1310">
        <v>1309</v>
      </c>
      <c r="B1310" t="s">
        <v>8</v>
      </c>
      <c r="C1310">
        <v>15</v>
      </c>
      <c r="D1310" t="str" cm="1">
        <f t="array" ref="D1310">_xlfn.IFS(Table2[[#This Row],[Age]]&lt;=11,"Gen A",Table2[[#This Row],[Age]]&lt;=27,"Gen Z",Table2[[#This Row],[Age]]&lt;=43,"Millenials",Table2[[#This Row],[Age]]&lt;=59,"Gen X",Table2[[#This Row],[Age]]&lt;=78,"Baby Boomers",Table2[[#This Row],[Age]]&lt;=96,"Silent",Table2[[#This Row],[Age]]&gt;=97,"Greatest")</f>
        <v>Gen Z</v>
      </c>
      <c r="E1310" s="1">
        <v>131061</v>
      </c>
      <c r="F1310">
        <v>92</v>
      </c>
      <c r="G1310" t="str" cm="1">
        <f t="array" ref="G1310">_xlfn.IFS(Table2[[#This Row],[Spending Score (1-100)]]&lt;=25,"Low",Table2[[#This Row],[Spending Score (1-100)]]&lt;=50,"Medium",Table2[[#This Row],[Spending Score (1-100)]]&lt;=75,"High",Table2[[#This Row],[Spending Score (1-100)]]&lt;=100,"Very High")</f>
        <v>Very High</v>
      </c>
      <c r="H1310" t="s">
        <v>9</v>
      </c>
      <c r="I1310">
        <v>0</v>
      </c>
      <c r="J1310" t="str">
        <f>CONCATENATE(Table2[[#This Row],[Work Experience]],"years")</f>
        <v>0years</v>
      </c>
      <c r="K1310" t="str">
        <f>CONCATENATE(Table2[[#This Row],[Family Size2]],"members")</f>
        <v>7members</v>
      </c>
      <c r="L1310" t="str">
        <f>CONCATENATE(Table2[[#This Row],[Family Size2]],"members")</f>
        <v>7members</v>
      </c>
      <c r="M1310">
        <v>7</v>
      </c>
    </row>
    <row r="1311" spans="1:13">
      <c r="A1311">
        <v>1310</v>
      </c>
      <c r="B1311" t="s">
        <v>8</v>
      </c>
      <c r="C1311">
        <v>79</v>
      </c>
      <c r="D1311" t="str" cm="1">
        <f t="array" ref="D1311">_xlfn.IFS(Table2[[#This Row],[Age]]&lt;=11,"Gen A",Table2[[#This Row],[Age]]&lt;=27,"Gen Z",Table2[[#This Row],[Age]]&lt;=43,"Millenials",Table2[[#This Row],[Age]]&lt;=59,"Gen X",Table2[[#This Row],[Age]]&lt;=78,"Baby Boomers",Table2[[#This Row],[Age]]&lt;=96,"Silent",Table2[[#This Row],[Age]]&gt;=97,"Greatest")</f>
        <v>Silent</v>
      </c>
      <c r="E1311" s="1">
        <v>146130</v>
      </c>
      <c r="F1311">
        <v>20</v>
      </c>
      <c r="G1311" t="str" cm="1">
        <f t="array" ref="G1311">_xlfn.IFS(Table2[[#This Row],[Spending Score (1-100)]]&lt;=25,"Low",Table2[[#This Row],[Spending Score (1-100)]]&lt;=50,"Medium",Table2[[#This Row],[Spending Score (1-100)]]&lt;=75,"High",Table2[[#This Row],[Spending Score (1-100)]]&lt;=100,"Very High")</f>
        <v>Low</v>
      </c>
      <c r="H1311" t="s">
        <v>13</v>
      </c>
      <c r="I1311">
        <v>6</v>
      </c>
      <c r="J1311" t="str">
        <f>CONCATENATE(Table2[[#This Row],[Work Experience]],"years")</f>
        <v>6years</v>
      </c>
      <c r="K1311" t="str">
        <f>CONCATENATE(Table2[[#This Row],[Family Size2]],"members")</f>
        <v>6members</v>
      </c>
      <c r="L1311" t="str">
        <f>CONCATENATE(Table2[[#This Row],[Family Size2]],"members")</f>
        <v>6members</v>
      </c>
      <c r="M1311">
        <v>6</v>
      </c>
    </row>
    <row r="1312" spans="1:13">
      <c r="A1312">
        <v>1311</v>
      </c>
      <c r="B1312" t="s">
        <v>8</v>
      </c>
      <c r="C1312">
        <v>80</v>
      </c>
      <c r="D1312" t="str" cm="1">
        <f t="array" ref="D1312">_xlfn.IFS(Table2[[#This Row],[Age]]&lt;=11,"Gen A",Table2[[#This Row],[Age]]&lt;=27,"Gen Z",Table2[[#This Row],[Age]]&lt;=43,"Millenials",Table2[[#This Row],[Age]]&lt;=59,"Gen X",Table2[[#This Row],[Age]]&lt;=78,"Baby Boomers",Table2[[#This Row],[Age]]&lt;=96,"Silent",Table2[[#This Row],[Age]]&gt;=97,"Greatest")</f>
        <v>Silent</v>
      </c>
      <c r="E1312" s="1">
        <v>84471</v>
      </c>
      <c r="F1312">
        <v>79</v>
      </c>
      <c r="G1312" t="str" cm="1">
        <f t="array" ref="G1312">_xlfn.IFS(Table2[[#This Row],[Spending Score (1-100)]]&lt;=25,"Low",Table2[[#This Row],[Spending Score (1-100)]]&lt;=50,"Medium",Table2[[#This Row],[Spending Score (1-100)]]&lt;=75,"High",Table2[[#This Row],[Spending Score (1-100)]]&lt;=100,"Very High")</f>
        <v>Very High</v>
      </c>
      <c r="H1312" t="s">
        <v>16</v>
      </c>
      <c r="I1312">
        <v>1</v>
      </c>
      <c r="J1312" t="str">
        <f>CONCATENATE(Table2[[#This Row],[Work Experience]],"years")</f>
        <v>1years</v>
      </c>
      <c r="K1312" t="str">
        <f>CONCATENATE(Table2[[#This Row],[Family Size2]],"members")</f>
        <v>5members</v>
      </c>
      <c r="L1312" t="str">
        <f>CONCATENATE(Table2[[#This Row],[Family Size2]],"members")</f>
        <v>5members</v>
      </c>
      <c r="M1312">
        <v>5</v>
      </c>
    </row>
    <row r="1313" spans="1:13">
      <c r="A1313">
        <v>1312</v>
      </c>
      <c r="B1313" t="s">
        <v>11</v>
      </c>
      <c r="C1313">
        <v>35</v>
      </c>
      <c r="D1313" t="str" cm="1">
        <f t="array" ref="D1313">_xlfn.IFS(Table2[[#This Row],[Age]]&lt;=11,"Gen A",Table2[[#This Row],[Age]]&lt;=27,"Gen Z",Table2[[#This Row],[Age]]&lt;=43,"Millenials",Table2[[#This Row],[Age]]&lt;=59,"Gen X",Table2[[#This Row],[Age]]&lt;=78,"Baby Boomers",Table2[[#This Row],[Age]]&lt;=96,"Silent",Table2[[#This Row],[Age]]&gt;=97,"Greatest")</f>
        <v>Millenials</v>
      </c>
      <c r="E1313" s="1">
        <v>144485</v>
      </c>
      <c r="F1313">
        <v>15</v>
      </c>
      <c r="G1313" t="str" cm="1">
        <f t="array" ref="G1313">_xlfn.IFS(Table2[[#This Row],[Spending Score (1-100)]]&lt;=25,"Low",Table2[[#This Row],[Spending Score (1-100)]]&lt;=50,"Medium",Table2[[#This Row],[Spending Score (1-100)]]&lt;=75,"High",Table2[[#This Row],[Spending Score (1-100)]]&lt;=100,"Very High")</f>
        <v>Low</v>
      </c>
      <c r="H1313" t="s">
        <v>13</v>
      </c>
      <c r="I1313">
        <v>0</v>
      </c>
      <c r="J1313" t="str">
        <f>CONCATENATE(Table2[[#This Row],[Work Experience]],"years")</f>
        <v>0years</v>
      </c>
      <c r="K1313" t="str">
        <f>CONCATENATE(Table2[[#This Row],[Family Size2]],"members")</f>
        <v>4members</v>
      </c>
      <c r="L1313" t="str">
        <f>CONCATENATE(Table2[[#This Row],[Family Size2]],"members")</f>
        <v>4members</v>
      </c>
      <c r="M1313">
        <v>4</v>
      </c>
    </row>
    <row r="1314" spans="1:13">
      <c r="A1314">
        <v>1313</v>
      </c>
      <c r="B1314" t="s">
        <v>11</v>
      </c>
      <c r="C1314">
        <v>39</v>
      </c>
      <c r="D1314" t="str" cm="1">
        <f t="array" ref="D1314">_xlfn.IFS(Table2[[#This Row],[Age]]&lt;=11,"Gen A",Table2[[#This Row],[Age]]&lt;=27,"Gen Z",Table2[[#This Row],[Age]]&lt;=43,"Millenials",Table2[[#This Row],[Age]]&lt;=59,"Gen X",Table2[[#This Row],[Age]]&lt;=78,"Baby Boomers",Table2[[#This Row],[Age]]&lt;=96,"Silent",Table2[[#This Row],[Age]]&gt;=97,"Greatest")</f>
        <v>Millenials</v>
      </c>
      <c r="E1314" s="1">
        <v>158638</v>
      </c>
      <c r="F1314">
        <v>78</v>
      </c>
      <c r="G1314" t="str" cm="1">
        <f t="array" ref="G1314">_xlfn.IFS(Table2[[#This Row],[Spending Score (1-100)]]&lt;=25,"Low",Table2[[#This Row],[Spending Score (1-100)]]&lt;=50,"Medium",Table2[[#This Row],[Spending Score (1-100)]]&lt;=75,"High",Table2[[#This Row],[Spending Score (1-100)]]&lt;=100,"Very High")</f>
        <v>Very High</v>
      </c>
      <c r="H1314" t="s">
        <v>9</v>
      </c>
      <c r="I1314">
        <v>2</v>
      </c>
      <c r="J1314" t="str">
        <f>CONCATENATE(Table2[[#This Row],[Work Experience]],"years")</f>
        <v>2years</v>
      </c>
      <c r="K1314" t="str">
        <f>CONCATENATE(Table2[[#This Row],[Family Size2]],"members")</f>
        <v>5members</v>
      </c>
      <c r="L1314" t="str">
        <f>CONCATENATE(Table2[[#This Row],[Family Size2]],"members")</f>
        <v>5members</v>
      </c>
      <c r="M1314">
        <v>5</v>
      </c>
    </row>
    <row r="1315" spans="1:13">
      <c r="A1315">
        <v>1314</v>
      </c>
      <c r="B1315" t="s">
        <v>8</v>
      </c>
      <c r="C1315">
        <v>4</v>
      </c>
      <c r="D1315" t="str" cm="1">
        <f t="array" ref="D1315">_xlfn.IFS(Table2[[#This Row],[Age]]&lt;=11,"Gen A",Table2[[#This Row],[Age]]&lt;=27,"Gen Z",Table2[[#This Row],[Age]]&lt;=43,"Millenials",Table2[[#This Row],[Age]]&lt;=59,"Gen X",Table2[[#This Row],[Age]]&lt;=78,"Baby Boomers",Table2[[#This Row],[Age]]&lt;=96,"Silent",Table2[[#This Row],[Age]]&gt;=97,"Greatest")</f>
        <v>Gen A</v>
      </c>
      <c r="E1315" s="1">
        <v>96693</v>
      </c>
      <c r="F1315">
        <v>28</v>
      </c>
      <c r="G1315" t="str" cm="1">
        <f t="array" ref="G1315">_xlfn.IFS(Table2[[#This Row],[Spending Score (1-100)]]&lt;=25,"Low",Table2[[#This Row],[Spending Score (1-100)]]&lt;=50,"Medium",Table2[[#This Row],[Spending Score (1-100)]]&lt;=75,"High",Table2[[#This Row],[Spending Score (1-100)]]&lt;=100,"Very High")</f>
        <v>Medium</v>
      </c>
      <c r="H1315" t="s">
        <v>13</v>
      </c>
      <c r="I1315">
        <v>0</v>
      </c>
      <c r="J1315" t="str">
        <f>CONCATENATE(Table2[[#This Row],[Work Experience]],"years")</f>
        <v>0years</v>
      </c>
      <c r="K1315" t="str">
        <f>CONCATENATE(Table2[[#This Row],[Family Size2]],"members")</f>
        <v>4members</v>
      </c>
      <c r="L1315" t="str">
        <f>CONCATENATE(Table2[[#This Row],[Family Size2]],"members")</f>
        <v>4members</v>
      </c>
      <c r="M1315">
        <v>4</v>
      </c>
    </row>
    <row r="1316" spans="1:13">
      <c r="A1316">
        <v>1315</v>
      </c>
      <c r="B1316" t="s">
        <v>11</v>
      </c>
      <c r="C1316">
        <v>83</v>
      </c>
      <c r="D1316" t="str" cm="1">
        <f t="array" ref="D1316">_xlfn.IFS(Table2[[#This Row],[Age]]&lt;=11,"Gen A",Table2[[#This Row],[Age]]&lt;=27,"Gen Z",Table2[[#This Row],[Age]]&lt;=43,"Millenials",Table2[[#This Row],[Age]]&lt;=59,"Gen X",Table2[[#This Row],[Age]]&lt;=78,"Baby Boomers",Table2[[#This Row],[Age]]&lt;=96,"Silent",Table2[[#This Row],[Age]]&gt;=97,"Greatest")</f>
        <v>Silent</v>
      </c>
      <c r="E1316" s="1">
        <v>129507</v>
      </c>
      <c r="F1316">
        <v>93</v>
      </c>
      <c r="G1316" t="str" cm="1">
        <f t="array" ref="G1316">_xlfn.IFS(Table2[[#This Row],[Spending Score (1-100)]]&lt;=25,"Low",Table2[[#This Row],[Spending Score (1-100)]]&lt;=50,"Medium",Table2[[#This Row],[Spending Score (1-100)]]&lt;=75,"High",Table2[[#This Row],[Spending Score (1-100)]]&lt;=100,"Very High")</f>
        <v>Very High</v>
      </c>
      <c r="H1316" t="s">
        <v>9</v>
      </c>
      <c r="I1316">
        <v>4</v>
      </c>
      <c r="J1316" t="str">
        <f>CONCATENATE(Table2[[#This Row],[Work Experience]],"years")</f>
        <v>4years</v>
      </c>
      <c r="K1316" t="str">
        <f>CONCATENATE(Table2[[#This Row],[Family Size2]],"members")</f>
        <v>7members</v>
      </c>
      <c r="L1316" t="str">
        <f>CONCATENATE(Table2[[#This Row],[Family Size2]],"members")</f>
        <v>7members</v>
      </c>
      <c r="M1316">
        <v>7</v>
      </c>
    </row>
    <row r="1317" spans="1:13">
      <c r="A1317">
        <v>1316</v>
      </c>
      <c r="B1317" t="s">
        <v>11</v>
      </c>
      <c r="C1317">
        <v>94</v>
      </c>
      <c r="D1317" t="str" cm="1">
        <f t="array" ref="D1317">_xlfn.IFS(Table2[[#This Row],[Age]]&lt;=11,"Gen A",Table2[[#This Row],[Age]]&lt;=27,"Gen Z",Table2[[#This Row],[Age]]&lt;=43,"Millenials",Table2[[#This Row],[Age]]&lt;=59,"Gen X",Table2[[#This Row],[Age]]&lt;=78,"Baby Boomers",Table2[[#This Row],[Age]]&lt;=96,"Silent",Table2[[#This Row],[Age]]&gt;=97,"Greatest")</f>
        <v>Silent</v>
      </c>
      <c r="E1317" s="1">
        <v>114510</v>
      </c>
      <c r="F1317">
        <v>39</v>
      </c>
      <c r="G1317" t="str" cm="1">
        <f t="array" ref="G1317">_xlfn.IFS(Table2[[#This Row],[Spending Score (1-100)]]&lt;=25,"Low",Table2[[#This Row],[Spending Score (1-100)]]&lt;=50,"Medium",Table2[[#This Row],[Spending Score (1-100)]]&lt;=75,"High",Table2[[#This Row],[Spending Score (1-100)]]&lt;=100,"Very High")</f>
        <v>Medium</v>
      </c>
      <c r="H1317" t="s">
        <v>9</v>
      </c>
      <c r="I1317">
        <v>0</v>
      </c>
      <c r="J1317" t="str">
        <f>CONCATENATE(Table2[[#This Row],[Work Experience]],"years")</f>
        <v>0years</v>
      </c>
      <c r="K1317" t="str">
        <f>CONCATENATE(Table2[[#This Row],[Family Size2]],"members")</f>
        <v>4members</v>
      </c>
      <c r="L1317" t="str">
        <f>CONCATENATE(Table2[[#This Row],[Family Size2]],"members")</f>
        <v>4members</v>
      </c>
      <c r="M1317">
        <v>4</v>
      </c>
    </row>
    <row r="1318" spans="1:13">
      <c r="A1318">
        <v>1317</v>
      </c>
      <c r="B1318" t="s">
        <v>11</v>
      </c>
      <c r="C1318">
        <v>33</v>
      </c>
      <c r="D1318" t="str" cm="1">
        <f t="array" ref="D1318">_xlfn.IFS(Table2[[#This Row],[Age]]&lt;=11,"Gen A",Table2[[#This Row],[Age]]&lt;=27,"Gen Z",Table2[[#This Row],[Age]]&lt;=43,"Millenials",Table2[[#This Row],[Age]]&lt;=59,"Gen X",Table2[[#This Row],[Age]]&lt;=78,"Baby Boomers",Table2[[#This Row],[Age]]&lt;=96,"Silent",Table2[[#This Row],[Age]]&gt;=97,"Greatest")</f>
        <v>Millenials</v>
      </c>
      <c r="E1318" s="1">
        <v>109396</v>
      </c>
      <c r="F1318">
        <v>17</v>
      </c>
      <c r="G1318" t="str" cm="1">
        <f t="array" ref="G1318">_xlfn.IFS(Table2[[#This Row],[Spending Score (1-100)]]&lt;=25,"Low",Table2[[#This Row],[Spending Score (1-100)]]&lt;=50,"Medium",Table2[[#This Row],[Spending Score (1-100)]]&lt;=75,"High",Table2[[#This Row],[Spending Score (1-100)]]&lt;=100,"Very High")</f>
        <v>Low</v>
      </c>
      <c r="H1318" t="s">
        <v>19</v>
      </c>
      <c r="I1318">
        <v>1</v>
      </c>
      <c r="J1318" t="str">
        <f>CONCATENATE(Table2[[#This Row],[Work Experience]],"years")</f>
        <v>1years</v>
      </c>
      <c r="K1318" t="str">
        <f>CONCATENATE(Table2[[#This Row],[Family Size2]],"members")</f>
        <v>2members</v>
      </c>
      <c r="L1318" t="str">
        <f>CONCATENATE(Table2[[#This Row],[Family Size2]],"members")</f>
        <v>2members</v>
      </c>
      <c r="M1318">
        <v>2</v>
      </c>
    </row>
    <row r="1319" spans="1:13">
      <c r="A1319">
        <v>1318</v>
      </c>
      <c r="B1319" t="s">
        <v>11</v>
      </c>
      <c r="C1319">
        <v>12</v>
      </c>
      <c r="D1319" t="str" cm="1">
        <f t="array" ref="D1319">_xlfn.IFS(Table2[[#This Row],[Age]]&lt;=11,"Gen A",Table2[[#This Row],[Age]]&lt;=27,"Gen Z",Table2[[#This Row],[Age]]&lt;=43,"Millenials",Table2[[#This Row],[Age]]&lt;=59,"Gen X",Table2[[#This Row],[Age]]&lt;=78,"Baby Boomers",Table2[[#This Row],[Age]]&lt;=96,"Silent",Table2[[#This Row],[Age]]&gt;=97,"Greatest")</f>
        <v>Gen Z</v>
      </c>
      <c r="E1319" s="1">
        <v>149031</v>
      </c>
      <c r="F1319">
        <v>96</v>
      </c>
      <c r="G1319" t="str" cm="1">
        <f t="array" ref="G1319">_xlfn.IFS(Table2[[#This Row],[Spending Score (1-100)]]&lt;=25,"Low",Table2[[#This Row],[Spending Score (1-100)]]&lt;=50,"Medium",Table2[[#This Row],[Spending Score (1-100)]]&lt;=75,"High",Table2[[#This Row],[Spending Score (1-100)]]&lt;=100,"Very High")</f>
        <v>Very High</v>
      </c>
      <c r="H1319" t="s">
        <v>14</v>
      </c>
      <c r="I1319">
        <v>10</v>
      </c>
      <c r="J1319" t="str">
        <f>CONCATENATE(Table2[[#This Row],[Work Experience]],"years")</f>
        <v>10years</v>
      </c>
      <c r="K1319" t="str">
        <f>CONCATENATE(Table2[[#This Row],[Family Size2]],"members")</f>
        <v>5members</v>
      </c>
      <c r="L1319" t="str">
        <f>CONCATENATE(Table2[[#This Row],[Family Size2]],"members")</f>
        <v>5members</v>
      </c>
      <c r="M1319">
        <v>5</v>
      </c>
    </row>
    <row r="1320" spans="1:13">
      <c r="A1320">
        <v>1319</v>
      </c>
      <c r="B1320" t="s">
        <v>11</v>
      </c>
      <c r="C1320">
        <v>77</v>
      </c>
      <c r="D1320" t="str" cm="1">
        <f t="array" ref="D1320">_xlfn.IFS(Table2[[#This Row],[Age]]&lt;=11,"Gen A",Table2[[#This Row],[Age]]&lt;=27,"Gen Z",Table2[[#This Row],[Age]]&lt;=43,"Millenials",Table2[[#This Row],[Age]]&lt;=59,"Gen X",Table2[[#This Row],[Age]]&lt;=78,"Baby Boomers",Table2[[#This Row],[Age]]&lt;=96,"Silent",Table2[[#This Row],[Age]]&gt;=97,"Greatest")</f>
        <v>Baby Boomers</v>
      </c>
      <c r="E1320" s="1">
        <v>66256</v>
      </c>
      <c r="F1320">
        <v>13</v>
      </c>
      <c r="G1320" t="str" cm="1">
        <f t="array" ref="G1320">_xlfn.IFS(Table2[[#This Row],[Spending Score (1-100)]]&lt;=25,"Low",Table2[[#This Row],[Spending Score (1-100)]]&lt;=50,"Medium",Table2[[#This Row],[Spending Score (1-100)]]&lt;=75,"High",Table2[[#This Row],[Spending Score (1-100)]]&lt;=100,"Very High")</f>
        <v>Low</v>
      </c>
      <c r="H1320" t="s">
        <v>12</v>
      </c>
      <c r="I1320">
        <v>1</v>
      </c>
      <c r="J1320" t="str">
        <f>CONCATENATE(Table2[[#This Row],[Work Experience]],"years")</f>
        <v>1years</v>
      </c>
      <c r="K1320" t="str">
        <f>CONCATENATE(Table2[[#This Row],[Family Size2]],"members")</f>
        <v>2members</v>
      </c>
      <c r="L1320" t="str">
        <f>CONCATENATE(Table2[[#This Row],[Family Size2]],"members")</f>
        <v>2members</v>
      </c>
      <c r="M1320">
        <v>2</v>
      </c>
    </row>
    <row r="1321" spans="1:13">
      <c r="A1321">
        <v>1320</v>
      </c>
      <c r="B1321" t="s">
        <v>11</v>
      </c>
      <c r="C1321">
        <v>48</v>
      </c>
      <c r="D1321" t="str" cm="1">
        <f t="array" ref="D1321">_xlfn.IFS(Table2[[#This Row],[Age]]&lt;=11,"Gen A",Table2[[#This Row],[Age]]&lt;=27,"Gen Z",Table2[[#This Row],[Age]]&lt;=43,"Millenials",Table2[[#This Row],[Age]]&lt;=59,"Gen X",Table2[[#This Row],[Age]]&lt;=78,"Baby Boomers",Table2[[#This Row],[Age]]&lt;=96,"Silent",Table2[[#This Row],[Age]]&gt;=97,"Greatest")</f>
        <v>Gen X</v>
      </c>
      <c r="E1321" s="1">
        <v>118285</v>
      </c>
      <c r="F1321">
        <v>69</v>
      </c>
      <c r="G1321" t="str" cm="1">
        <f t="array" ref="G1321">_xlfn.IFS(Table2[[#This Row],[Spending Score (1-100)]]&lt;=25,"Low",Table2[[#This Row],[Spending Score (1-100)]]&lt;=50,"Medium",Table2[[#This Row],[Spending Score (1-100)]]&lt;=75,"High",Table2[[#This Row],[Spending Score (1-100)]]&lt;=100,"Very High")</f>
        <v>High</v>
      </c>
      <c r="H1321" t="s">
        <v>16</v>
      </c>
      <c r="I1321">
        <v>8</v>
      </c>
      <c r="J1321" t="str">
        <f>CONCATENATE(Table2[[#This Row],[Work Experience]],"years")</f>
        <v>8years</v>
      </c>
      <c r="K1321" t="str">
        <f>CONCATENATE(Table2[[#This Row],[Family Size2]],"members")</f>
        <v>4members</v>
      </c>
      <c r="L1321" t="str">
        <f>CONCATENATE(Table2[[#This Row],[Family Size2]],"members")</f>
        <v>4members</v>
      </c>
      <c r="M1321">
        <v>4</v>
      </c>
    </row>
    <row r="1322" spans="1:13">
      <c r="A1322">
        <v>1321</v>
      </c>
      <c r="B1322" t="s">
        <v>8</v>
      </c>
      <c r="C1322">
        <v>97</v>
      </c>
      <c r="D1322" t="str" cm="1">
        <f t="array" ref="D1322">_xlfn.IFS(Table2[[#This Row],[Age]]&lt;=11,"Gen A",Table2[[#This Row],[Age]]&lt;=27,"Gen Z",Table2[[#This Row],[Age]]&lt;=43,"Millenials",Table2[[#This Row],[Age]]&lt;=59,"Gen X",Table2[[#This Row],[Age]]&lt;=78,"Baby Boomers",Table2[[#This Row],[Age]]&lt;=96,"Silent",Table2[[#This Row],[Age]]&gt;=97,"Greatest")</f>
        <v>Greatest</v>
      </c>
      <c r="E1322" s="1">
        <v>128723</v>
      </c>
      <c r="F1322">
        <v>58</v>
      </c>
      <c r="G1322" t="str" cm="1">
        <f t="array" ref="G1322">_xlfn.IFS(Table2[[#This Row],[Spending Score (1-100)]]&lt;=25,"Low",Table2[[#This Row],[Spending Score (1-100)]]&lt;=50,"Medium",Table2[[#This Row],[Spending Score (1-100)]]&lt;=75,"High",Table2[[#This Row],[Spending Score (1-100)]]&lt;=100,"Very High")</f>
        <v>High</v>
      </c>
      <c r="H1322" t="s">
        <v>14</v>
      </c>
      <c r="I1322">
        <v>4</v>
      </c>
      <c r="J1322" t="str">
        <f>CONCATENATE(Table2[[#This Row],[Work Experience]],"years")</f>
        <v>4years</v>
      </c>
      <c r="K1322" t="str">
        <f>CONCATENATE(Table2[[#This Row],[Family Size2]],"members")</f>
        <v>5members</v>
      </c>
      <c r="L1322" t="str">
        <f>CONCATENATE(Table2[[#This Row],[Family Size2]],"members")</f>
        <v>5members</v>
      </c>
      <c r="M1322">
        <v>5</v>
      </c>
    </row>
    <row r="1323" spans="1:13">
      <c r="A1323">
        <v>1322</v>
      </c>
      <c r="B1323" t="s">
        <v>11</v>
      </c>
      <c r="C1323">
        <v>28</v>
      </c>
      <c r="D1323" t="str" cm="1">
        <f t="array" ref="D1323">_xlfn.IFS(Table2[[#This Row],[Age]]&lt;=11,"Gen A",Table2[[#This Row],[Age]]&lt;=27,"Gen Z",Table2[[#This Row],[Age]]&lt;=43,"Millenials",Table2[[#This Row],[Age]]&lt;=59,"Gen X",Table2[[#This Row],[Age]]&lt;=78,"Baby Boomers",Table2[[#This Row],[Age]]&lt;=96,"Silent",Table2[[#This Row],[Age]]&gt;=97,"Greatest")</f>
        <v>Millenials</v>
      </c>
      <c r="E1323" s="1">
        <v>178285</v>
      </c>
      <c r="F1323">
        <v>91</v>
      </c>
      <c r="G1323" t="str" cm="1">
        <f t="array" ref="G1323">_xlfn.IFS(Table2[[#This Row],[Spending Score (1-100)]]&lt;=25,"Low",Table2[[#This Row],[Spending Score (1-100)]]&lt;=50,"Medium",Table2[[#This Row],[Spending Score (1-100)]]&lt;=75,"High",Table2[[#This Row],[Spending Score (1-100)]]&lt;=100,"Very High")</f>
        <v>Very High</v>
      </c>
      <c r="H1323" t="s">
        <v>14</v>
      </c>
      <c r="I1323">
        <v>4</v>
      </c>
      <c r="J1323" t="str">
        <f>CONCATENATE(Table2[[#This Row],[Work Experience]],"years")</f>
        <v>4years</v>
      </c>
      <c r="K1323" t="str">
        <f>CONCATENATE(Table2[[#This Row],[Family Size2]],"members")</f>
        <v>7members</v>
      </c>
      <c r="L1323" t="str">
        <f>CONCATENATE(Table2[[#This Row],[Family Size2]],"members")</f>
        <v>7members</v>
      </c>
      <c r="M1323">
        <v>7</v>
      </c>
    </row>
    <row r="1324" spans="1:13">
      <c r="A1324">
        <v>1323</v>
      </c>
      <c r="B1324" t="s">
        <v>11</v>
      </c>
      <c r="C1324">
        <v>99</v>
      </c>
      <c r="D1324" t="str" cm="1">
        <f t="array" ref="D1324">_xlfn.IFS(Table2[[#This Row],[Age]]&lt;=11,"Gen A",Table2[[#This Row],[Age]]&lt;=27,"Gen Z",Table2[[#This Row],[Age]]&lt;=43,"Millenials",Table2[[#This Row],[Age]]&lt;=59,"Gen X",Table2[[#This Row],[Age]]&lt;=78,"Baby Boomers",Table2[[#This Row],[Age]]&lt;=96,"Silent",Table2[[#This Row],[Age]]&gt;=97,"Greatest")</f>
        <v>Greatest</v>
      </c>
      <c r="E1324" s="1">
        <v>144176</v>
      </c>
      <c r="F1324">
        <v>74</v>
      </c>
      <c r="G1324" t="str" cm="1">
        <f t="array" ref="G1324">_xlfn.IFS(Table2[[#This Row],[Spending Score (1-100)]]&lt;=25,"Low",Table2[[#This Row],[Spending Score (1-100)]]&lt;=50,"Medium",Table2[[#This Row],[Spending Score (1-100)]]&lt;=75,"High",Table2[[#This Row],[Spending Score (1-100)]]&lt;=100,"Very High")</f>
        <v>High</v>
      </c>
      <c r="H1324" t="s">
        <v>18</v>
      </c>
      <c r="I1324">
        <v>7</v>
      </c>
      <c r="J1324" t="str">
        <f>CONCATENATE(Table2[[#This Row],[Work Experience]],"years")</f>
        <v>7years</v>
      </c>
      <c r="K1324" t="str">
        <f>CONCATENATE(Table2[[#This Row],[Family Size2]],"members")</f>
        <v>2members</v>
      </c>
      <c r="L1324" t="str">
        <f>CONCATENATE(Table2[[#This Row],[Family Size2]],"members")</f>
        <v>2members</v>
      </c>
      <c r="M1324">
        <v>2</v>
      </c>
    </row>
    <row r="1325" spans="1:13">
      <c r="A1325">
        <v>1324</v>
      </c>
      <c r="B1325" t="s">
        <v>8</v>
      </c>
      <c r="C1325">
        <v>27</v>
      </c>
      <c r="D1325" t="str" cm="1">
        <f t="array" ref="D1325">_xlfn.IFS(Table2[[#This Row],[Age]]&lt;=11,"Gen A",Table2[[#This Row],[Age]]&lt;=27,"Gen Z",Table2[[#This Row],[Age]]&lt;=43,"Millenials",Table2[[#This Row],[Age]]&lt;=59,"Gen X",Table2[[#This Row],[Age]]&lt;=78,"Baby Boomers",Table2[[#This Row],[Age]]&lt;=96,"Silent",Table2[[#This Row],[Age]]&gt;=97,"Greatest")</f>
        <v>Gen Z</v>
      </c>
      <c r="E1325" s="1">
        <v>82474</v>
      </c>
      <c r="F1325">
        <v>31</v>
      </c>
      <c r="G1325" t="str" cm="1">
        <f t="array" ref="G1325">_xlfn.IFS(Table2[[#This Row],[Spending Score (1-100)]]&lt;=25,"Low",Table2[[#This Row],[Spending Score (1-100)]]&lt;=50,"Medium",Table2[[#This Row],[Spending Score (1-100)]]&lt;=75,"High",Table2[[#This Row],[Spending Score (1-100)]]&lt;=100,"Very High")</f>
        <v>Medium</v>
      </c>
      <c r="H1325" t="s">
        <v>14</v>
      </c>
      <c r="I1325">
        <v>9</v>
      </c>
      <c r="J1325" t="str">
        <f>CONCATENATE(Table2[[#This Row],[Work Experience]],"years")</f>
        <v>9years</v>
      </c>
      <c r="K1325" t="str">
        <f>CONCATENATE(Table2[[#This Row],[Family Size2]],"members")</f>
        <v>3members</v>
      </c>
      <c r="L1325" t="str">
        <f>CONCATENATE(Table2[[#This Row],[Family Size2]],"members")</f>
        <v>3members</v>
      </c>
      <c r="M1325">
        <v>3</v>
      </c>
    </row>
    <row r="1326" spans="1:13">
      <c r="A1326">
        <v>1325</v>
      </c>
      <c r="B1326" t="s">
        <v>11</v>
      </c>
      <c r="C1326">
        <v>95</v>
      </c>
      <c r="D1326" t="str" cm="1">
        <f t="array" ref="D1326">_xlfn.IFS(Table2[[#This Row],[Age]]&lt;=11,"Gen A",Table2[[#This Row],[Age]]&lt;=27,"Gen Z",Table2[[#This Row],[Age]]&lt;=43,"Millenials",Table2[[#This Row],[Age]]&lt;=59,"Gen X",Table2[[#This Row],[Age]]&lt;=78,"Baby Boomers",Table2[[#This Row],[Age]]&lt;=96,"Silent",Table2[[#This Row],[Age]]&gt;=97,"Greatest")</f>
        <v>Silent</v>
      </c>
      <c r="E1326" s="1">
        <v>159010</v>
      </c>
      <c r="F1326">
        <v>84</v>
      </c>
      <c r="G1326" t="str" cm="1">
        <f t="array" ref="G1326">_xlfn.IFS(Table2[[#This Row],[Spending Score (1-100)]]&lt;=25,"Low",Table2[[#This Row],[Spending Score (1-100)]]&lt;=50,"Medium",Table2[[#This Row],[Spending Score (1-100)]]&lt;=75,"High",Table2[[#This Row],[Spending Score (1-100)]]&lt;=100,"Very High")</f>
        <v>Very High</v>
      </c>
      <c r="H1326" t="s">
        <v>12</v>
      </c>
      <c r="I1326">
        <v>6</v>
      </c>
      <c r="J1326" t="str">
        <f>CONCATENATE(Table2[[#This Row],[Work Experience]],"years")</f>
        <v>6years</v>
      </c>
      <c r="K1326" t="str">
        <f>CONCATENATE(Table2[[#This Row],[Family Size2]],"members")</f>
        <v>2members</v>
      </c>
      <c r="L1326" t="str">
        <f>CONCATENATE(Table2[[#This Row],[Family Size2]],"members")</f>
        <v>2members</v>
      </c>
      <c r="M1326">
        <v>2</v>
      </c>
    </row>
    <row r="1327" spans="1:13">
      <c r="A1327">
        <v>1326</v>
      </c>
      <c r="B1327" t="s">
        <v>11</v>
      </c>
      <c r="C1327">
        <v>6</v>
      </c>
      <c r="D1327" t="str" cm="1">
        <f t="array" ref="D1327">_xlfn.IFS(Table2[[#This Row],[Age]]&lt;=11,"Gen A",Table2[[#This Row],[Age]]&lt;=27,"Gen Z",Table2[[#This Row],[Age]]&lt;=43,"Millenials",Table2[[#This Row],[Age]]&lt;=59,"Gen X",Table2[[#This Row],[Age]]&lt;=78,"Baby Boomers",Table2[[#This Row],[Age]]&lt;=96,"Silent",Table2[[#This Row],[Age]]&gt;=97,"Greatest")</f>
        <v>Gen A</v>
      </c>
      <c r="E1327" s="1">
        <v>76164</v>
      </c>
      <c r="F1327">
        <v>83</v>
      </c>
      <c r="G1327" t="str" cm="1">
        <f t="array" ref="G1327">_xlfn.IFS(Table2[[#This Row],[Spending Score (1-100)]]&lt;=25,"Low",Table2[[#This Row],[Spending Score (1-100)]]&lt;=50,"Medium",Table2[[#This Row],[Spending Score (1-100)]]&lt;=75,"High",Table2[[#This Row],[Spending Score (1-100)]]&lt;=100,"Very High")</f>
        <v>Very High</v>
      </c>
      <c r="H1327" t="s">
        <v>14</v>
      </c>
      <c r="I1327">
        <v>6</v>
      </c>
      <c r="J1327" t="str">
        <f>CONCATENATE(Table2[[#This Row],[Work Experience]],"years")</f>
        <v>6years</v>
      </c>
      <c r="K1327" t="str">
        <f>CONCATENATE(Table2[[#This Row],[Family Size2]],"members")</f>
        <v>2members</v>
      </c>
      <c r="L1327" t="str">
        <f>CONCATENATE(Table2[[#This Row],[Family Size2]],"members")</f>
        <v>2members</v>
      </c>
      <c r="M1327">
        <v>2</v>
      </c>
    </row>
    <row r="1328" spans="1:13">
      <c r="A1328">
        <v>1327</v>
      </c>
      <c r="B1328" t="s">
        <v>8</v>
      </c>
      <c r="C1328">
        <v>18</v>
      </c>
      <c r="D1328" t="str" cm="1">
        <f t="array" ref="D1328">_xlfn.IFS(Table2[[#This Row],[Age]]&lt;=11,"Gen A",Table2[[#This Row],[Age]]&lt;=27,"Gen Z",Table2[[#This Row],[Age]]&lt;=43,"Millenials",Table2[[#This Row],[Age]]&lt;=59,"Gen X",Table2[[#This Row],[Age]]&lt;=78,"Baby Boomers",Table2[[#This Row],[Age]]&lt;=96,"Silent",Table2[[#This Row],[Age]]&gt;=97,"Greatest")</f>
        <v>Gen Z</v>
      </c>
      <c r="E1328" s="1">
        <v>77873</v>
      </c>
      <c r="F1328">
        <v>49</v>
      </c>
      <c r="G1328" t="str" cm="1">
        <f t="array" ref="G1328">_xlfn.IFS(Table2[[#This Row],[Spending Score (1-100)]]&lt;=25,"Low",Table2[[#This Row],[Spending Score (1-100)]]&lt;=50,"Medium",Table2[[#This Row],[Spending Score (1-100)]]&lt;=75,"High",Table2[[#This Row],[Spending Score (1-100)]]&lt;=100,"Very High")</f>
        <v>Medium</v>
      </c>
      <c r="H1328" t="s">
        <v>15</v>
      </c>
      <c r="I1328">
        <v>6</v>
      </c>
      <c r="J1328" t="str">
        <f>CONCATENATE(Table2[[#This Row],[Work Experience]],"years")</f>
        <v>6years</v>
      </c>
      <c r="K1328" t="str">
        <f>CONCATENATE(Table2[[#This Row],[Family Size2]],"members")</f>
        <v>5members</v>
      </c>
      <c r="L1328" t="str">
        <f>CONCATENATE(Table2[[#This Row],[Family Size2]],"members")</f>
        <v>5members</v>
      </c>
      <c r="M1328">
        <v>5</v>
      </c>
    </row>
    <row r="1329" spans="1:13">
      <c r="A1329">
        <v>1328</v>
      </c>
      <c r="B1329" t="s">
        <v>8</v>
      </c>
      <c r="C1329">
        <v>42</v>
      </c>
      <c r="D1329" t="str" cm="1">
        <f t="array" ref="D1329">_xlfn.IFS(Table2[[#This Row],[Age]]&lt;=11,"Gen A",Table2[[#This Row],[Age]]&lt;=27,"Gen Z",Table2[[#This Row],[Age]]&lt;=43,"Millenials",Table2[[#This Row],[Age]]&lt;=59,"Gen X",Table2[[#This Row],[Age]]&lt;=78,"Baby Boomers",Table2[[#This Row],[Age]]&lt;=96,"Silent",Table2[[#This Row],[Age]]&gt;=97,"Greatest")</f>
        <v>Millenials</v>
      </c>
      <c r="E1329" s="1">
        <v>53392</v>
      </c>
      <c r="F1329">
        <v>89</v>
      </c>
      <c r="G1329" t="str" cm="1">
        <f t="array" ref="G1329">_xlfn.IFS(Table2[[#This Row],[Spending Score (1-100)]]&lt;=25,"Low",Table2[[#This Row],[Spending Score (1-100)]]&lt;=50,"Medium",Table2[[#This Row],[Spending Score (1-100)]]&lt;=75,"High",Table2[[#This Row],[Spending Score (1-100)]]&lt;=100,"Very High")</f>
        <v>Very High</v>
      </c>
      <c r="H1329" t="s">
        <v>14</v>
      </c>
      <c r="I1329">
        <v>6</v>
      </c>
      <c r="J1329" t="str">
        <f>CONCATENATE(Table2[[#This Row],[Work Experience]],"years")</f>
        <v>6years</v>
      </c>
      <c r="K1329" t="str">
        <f>CONCATENATE(Table2[[#This Row],[Family Size2]],"members")</f>
        <v>4members</v>
      </c>
      <c r="L1329" t="str">
        <f>CONCATENATE(Table2[[#This Row],[Family Size2]],"members")</f>
        <v>4members</v>
      </c>
      <c r="M1329">
        <v>4</v>
      </c>
    </row>
    <row r="1330" spans="1:13">
      <c r="A1330">
        <v>1329</v>
      </c>
      <c r="B1330" t="s">
        <v>8</v>
      </c>
      <c r="C1330">
        <v>50</v>
      </c>
      <c r="D1330" t="str" cm="1">
        <f t="array" ref="D1330">_xlfn.IFS(Table2[[#This Row],[Age]]&lt;=11,"Gen A",Table2[[#This Row],[Age]]&lt;=27,"Gen Z",Table2[[#This Row],[Age]]&lt;=43,"Millenials",Table2[[#This Row],[Age]]&lt;=59,"Gen X",Table2[[#This Row],[Age]]&lt;=78,"Baby Boomers",Table2[[#This Row],[Age]]&lt;=96,"Silent",Table2[[#This Row],[Age]]&gt;=97,"Greatest")</f>
        <v>Gen X</v>
      </c>
      <c r="E1330" s="1">
        <v>168898</v>
      </c>
      <c r="F1330">
        <v>41</v>
      </c>
      <c r="G1330" t="str" cm="1">
        <f t="array" ref="G1330">_xlfn.IFS(Table2[[#This Row],[Spending Score (1-100)]]&lt;=25,"Low",Table2[[#This Row],[Spending Score (1-100)]]&lt;=50,"Medium",Table2[[#This Row],[Spending Score (1-100)]]&lt;=75,"High",Table2[[#This Row],[Spending Score (1-100)]]&lt;=100,"Very High")</f>
        <v>Medium</v>
      </c>
      <c r="H1330" t="s">
        <v>14</v>
      </c>
      <c r="I1330">
        <v>9</v>
      </c>
      <c r="J1330" t="str">
        <f>CONCATENATE(Table2[[#This Row],[Work Experience]],"years")</f>
        <v>9years</v>
      </c>
      <c r="K1330" t="str">
        <f>CONCATENATE(Table2[[#This Row],[Family Size2]],"members")</f>
        <v>7members</v>
      </c>
      <c r="L1330" t="str">
        <f>CONCATENATE(Table2[[#This Row],[Family Size2]],"members")</f>
        <v>7members</v>
      </c>
      <c r="M1330">
        <v>7</v>
      </c>
    </row>
    <row r="1331" spans="1:13">
      <c r="A1331">
        <v>1330</v>
      </c>
      <c r="B1331" t="s">
        <v>8</v>
      </c>
      <c r="C1331">
        <v>86</v>
      </c>
      <c r="D1331" t="str" cm="1">
        <f t="array" ref="D1331">_xlfn.IFS(Table2[[#This Row],[Age]]&lt;=11,"Gen A",Table2[[#This Row],[Age]]&lt;=27,"Gen Z",Table2[[#This Row],[Age]]&lt;=43,"Millenials",Table2[[#This Row],[Age]]&lt;=59,"Gen X",Table2[[#This Row],[Age]]&lt;=78,"Baby Boomers",Table2[[#This Row],[Age]]&lt;=96,"Silent",Table2[[#This Row],[Age]]&gt;=97,"Greatest")</f>
        <v>Silent</v>
      </c>
      <c r="E1331" s="1">
        <v>128917</v>
      </c>
      <c r="F1331">
        <v>7</v>
      </c>
      <c r="G1331" t="str" cm="1">
        <f t="array" ref="G1331">_xlfn.IFS(Table2[[#This Row],[Spending Score (1-100)]]&lt;=25,"Low",Table2[[#This Row],[Spending Score (1-100)]]&lt;=50,"Medium",Table2[[#This Row],[Spending Score (1-100)]]&lt;=75,"High",Table2[[#This Row],[Spending Score (1-100)]]&lt;=100,"Very High")</f>
        <v>Low</v>
      </c>
      <c r="H1331" t="s">
        <v>17</v>
      </c>
      <c r="I1331">
        <v>5</v>
      </c>
      <c r="J1331" t="str">
        <f>CONCATENATE(Table2[[#This Row],[Work Experience]],"years")</f>
        <v>5years</v>
      </c>
      <c r="K1331" t="str">
        <f>CONCATENATE(Table2[[#This Row],[Family Size2]],"members")</f>
        <v>5members</v>
      </c>
      <c r="L1331" t="str">
        <f>CONCATENATE(Table2[[#This Row],[Family Size2]],"members")</f>
        <v>5members</v>
      </c>
      <c r="M1331">
        <v>5</v>
      </c>
    </row>
    <row r="1332" spans="1:13">
      <c r="A1332">
        <v>1331</v>
      </c>
      <c r="B1332" t="s">
        <v>8</v>
      </c>
      <c r="C1332">
        <v>69</v>
      </c>
      <c r="D1332" t="str" cm="1">
        <f t="array" ref="D1332">_xlfn.IFS(Table2[[#This Row],[Age]]&lt;=11,"Gen A",Table2[[#This Row],[Age]]&lt;=27,"Gen Z",Table2[[#This Row],[Age]]&lt;=43,"Millenials",Table2[[#This Row],[Age]]&lt;=59,"Gen X",Table2[[#This Row],[Age]]&lt;=78,"Baby Boomers",Table2[[#This Row],[Age]]&lt;=96,"Silent",Table2[[#This Row],[Age]]&gt;=97,"Greatest")</f>
        <v>Baby Boomers</v>
      </c>
      <c r="E1332" s="1">
        <v>185067</v>
      </c>
      <c r="F1332">
        <v>49</v>
      </c>
      <c r="G1332" t="str" cm="1">
        <f t="array" ref="G1332">_xlfn.IFS(Table2[[#This Row],[Spending Score (1-100)]]&lt;=25,"Low",Table2[[#This Row],[Spending Score (1-100)]]&lt;=50,"Medium",Table2[[#This Row],[Spending Score (1-100)]]&lt;=75,"High",Table2[[#This Row],[Spending Score (1-100)]]&lt;=100,"Very High")</f>
        <v>Medium</v>
      </c>
      <c r="H1332" t="s">
        <v>12</v>
      </c>
      <c r="I1332">
        <v>5</v>
      </c>
      <c r="J1332" t="str">
        <f>CONCATENATE(Table2[[#This Row],[Work Experience]],"years")</f>
        <v>5years</v>
      </c>
      <c r="K1332" t="str">
        <f>CONCATENATE(Table2[[#This Row],[Family Size2]],"members")</f>
        <v>4members</v>
      </c>
      <c r="L1332" t="str">
        <f>CONCATENATE(Table2[[#This Row],[Family Size2]],"members")</f>
        <v>4members</v>
      </c>
      <c r="M1332">
        <v>4</v>
      </c>
    </row>
    <row r="1333" spans="1:13">
      <c r="A1333">
        <v>1332</v>
      </c>
      <c r="B1333" t="s">
        <v>8</v>
      </c>
      <c r="C1333">
        <v>23</v>
      </c>
      <c r="D1333" t="str" cm="1">
        <f t="array" ref="D1333">_xlfn.IFS(Table2[[#This Row],[Age]]&lt;=11,"Gen A",Table2[[#This Row],[Age]]&lt;=27,"Gen Z",Table2[[#This Row],[Age]]&lt;=43,"Millenials",Table2[[#This Row],[Age]]&lt;=59,"Gen X",Table2[[#This Row],[Age]]&lt;=78,"Baby Boomers",Table2[[#This Row],[Age]]&lt;=96,"Silent",Table2[[#This Row],[Age]]&gt;=97,"Greatest")</f>
        <v>Gen Z</v>
      </c>
      <c r="E1333" s="1">
        <v>132183</v>
      </c>
      <c r="F1333">
        <v>76</v>
      </c>
      <c r="G1333" t="str" cm="1">
        <f t="array" ref="G1333">_xlfn.IFS(Table2[[#This Row],[Spending Score (1-100)]]&lt;=25,"Low",Table2[[#This Row],[Spending Score (1-100)]]&lt;=50,"Medium",Table2[[#This Row],[Spending Score (1-100)]]&lt;=75,"High",Table2[[#This Row],[Spending Score (1-100)]]&lt;=100,"Very High")</f>
        <v>Very High</v>
      </c>
      <c r="H1333" t="s">
        <v>14</v>
      </c>
      <c r="I1333">
        <v>10</v>
      </c>
      <c r="J1333" t="str">
        <f>CONCATENATE(Table2[[#This Row],[Work Experience]],"years")</f>
        <v>10years</v>
      </c>
      <c r="K1333" t="str">
        <f>CONCATENATE(Table2[[#This Row],[Family Size2]],"members")</f>
        <v>3members</v>
      </c>
      <c r="L1333" t="str">
        <f>CONCATENATE(Table2[[#This Row],[Family Size2]],"members")</f>
        <v>3members</v>
      </c>
      <c r="M1333">
        <v>3</v>
      </c>
    </row>
    <row r="1334" spans="1:13">
      <c r="A1334">
        <v>1333</v>
      </c>
      <c r="B1334" t="s">
        <v>11</v>
      </c>
      <c r="C1334">
        <v>82</v>
      </c>
      <c r="D1334" t="str" cm="1">
        <f t="array" ref="D1334">_xlfn.IFS(Table2[[#This Row],[Age]]&lt;=11,"Gen A",Table2[[#This Row],[Age]]&lt;=27,"Gen Z",Table2[[#This Row],[Age]]&lt;=43,"Millenials",Table2[[#This Row],[Age]]&lt;=59,"Gen X",Table2[[#This Row],[Age]]&lt;=78,"Baby Boomers",Table2[[#This Row],[Age]]&lt;=96,"Silent",Table2[[#This Row],[Age]]&gt;=97,"Greatest")</f>
        <v>Silent</v>
      </c>
      <c r="E1334" s="1">
        <v>82060</v>
      </c>
      <c r="F1334">
        <v>46</v>
      </c>
      <c r="G1334" t="str" cm="1">
        <f t="array" ref="G1334">_xlfn.IFS(Table2[[#This Row],[Spending Score (1-100)]]&lt;=25,"Low",Table2[[#This Row],[Spending Score (1-100)]]&lt;=50,"Medium",Table2[[#This Row],[Spending Score (1-100)]]&lt;=75,"High",Table2[[#This Row],[Spending Score (1-100)]]&lt;=100,"Very High")</f>
        <v>Medium</v>
      </c>
      <c r="H1334" t="s">
        <v>9</v>
      </c>
      <c r="I1334">
        <v>7</v>
      </c>
      <c r="J1334" t="str">
        <f>CONCATENATE(Table2[[#This Row],[Work Experience]],"years")</f>
        <v>7years</v>
      </c>
      <c r="K1334" t="str">
        <f>CONCATENATE(Table2[[#This Row],[Family Size2]],"members")</f>
        <v>1members</v>
      </c>
      <c r="L1334" t="str">
        <f>CONCATENATE(Table2[[#This Row],[Family Size2]],"members")</f>
        <v>1members</v>
      </c>
      <c r="M1334">
        <v>1</v>
      </c>
    </row>
    <row r="1335" spans="1:13">
      <c r="A1335">
        <v>1334</v>
      </c>
      <c r="B1335" t="s">
        <v>11</v>
      </c>
      <c r="C1335">
        <v>97</v>
      </c>
      <c r="D1335" t="str" cm="1">
        <f t="array" ref="D1335">_xlfn.IFS(Table2[[#This Row],[Age]]&lt;=11,"Gen A",Table2[[#This Row],[Age]]&lt;=27,"Gen Z",Table2[[#This Row],[Age]]&lt;=43,"Millenials",Table2[[#This Row],[Age]]&lt;=59,"Gen X",Table2[[#This Row],[Age]]&lt;=78,"Baby Boomers",Table2[[#This Row],[Age]]&lt;=96,"Silent",Table2[[#This Row],[Age]]&gt;=97,"Greatest")</f>
        <v>Greatest</v>
      </c>
      <c r="E1335" s="1">
        <v>133614</v>
      </c>
      <c r="F1335">
        <v>58</v>
      </c>
      <c r="G1335" t="str" cm="1">
        <f t="array" ref="G1335">_xlfn.IFS(Table2[[#This Row],[Spending Score (1-100)]]&lt;=25,"Low",Table2[[#This Row],[Spending Score (1-100)]]&lt;=50,"Medium",Table2[[#This Row],[Spending Score (1-100)]]&lt;=75,"High",Table2[[#This Row],[Spending Score (1-100)]]&lt;=100,"Very High")</f>
        <v>High</v>
      </c>
      <c r="H1335" t="s">
        <v>14</v>
      </c>
      <c r="I1335">
        <v>7</v>
      </c>
      <c r="J1335" t="str">
        <f>CONCATENATE(Table2[[#This Row],[Work Experience]],"years")</f>
        <v>7years</v>
      </c>
      <c r="K1335" t="str">
        <f>CONCATENATE(Table2[[#This Row],[Family Size2]],"members")</f>
        <v>4members</v>
      </c>
      <c r="L1335" t="str">
        <f>CONCATENATE(Table2[[#This Row],[Family Size2]],"members")</f>
        <v>4members</v>
      </c>
      <c r="M1335">
        <v>4</v>
      </c>
    </row>
    <row r="1336" spans="1:13">
      <c r="A1336">
        <v>1335</v>
      </c>
      <c r="B1336" t="s">
        <v>8</v>
      </c>
      <c r="C1336">
        <v>42</v>
      </c>
      <c r="D1336" t="str" cm="1">
        <f t="array" ref="D1336">_xlfn.IFS(Table2[[#This Row],[Age]]&lt;=11,"Gen A",Table2[[#This Row],[Age]]&lt;=27,"Gen Z",Table2[[#This Row],[Age]]&lt;=43,"Millenials",Table2[[#This Row],[Age]]&lt;=59,"Gen X",Table2[[#This Row],[Age]]&lt;=78,"Baby Boomers",Table2[[#This Row],[Age]]&lt;=96,"Silent",Table2[[#This Row],[Age]]&gt;=97,"Greatest")</f>
        <v>Millenials</v>
      </c>
      <c r="E1336" s="1">
        <v>94844</v>
      </c>
      <c r="F1336">
        <v>64</v>
      </c>
      <c r="G1336" t="str" cm="1">
        <f t="array" ref="G1336">_xlfn.IFS(Table2[[#This Row],[Spending Score (1-100)]]&lt;=25,"Low",Table2[[#This Row],[Spending Score (1-100)]]&lt;=50,"Medium",Table2[[#This Row],[Spending Score (1-100)]]&lt;=75,"High",Table2[[#This Row],[Spending Score (1-100)]]&lt;=100,"Very High")</f>
        <v>High</v>
      </c>
      <c r="H1336" t="s">
        <v>19</v>
      </c>
      <c r="I1336">
        <v>7</v>
      </c>
      <c r="J1336" t="str">
        <f>CONCATENATE(Table2[[#This Row],[Work Experience]],"years")</f>
        <v>7years</v>
      </c>
      <c r="K1336" t="str">
        <f>CONCATENATE(Table2[[#This Row],[Family Size2]],"members")</f>
        <v>6members</v>
      </c>
      <c r="L1336" t="str">
        <f>CONCATENATE(Table2[[#This Row],[Family Size2]],"members")</f>
        <v>6members</v>
      </c>
      <c r="M1336">
        <v>6</v>
      </c>
    </row>
    <row r="1337" spans="1:13">
      <c r="A1337">
        <v>1336</v>
      </c>
      <c r="B1337" t="s">
        <v>11</v>
      </c>
      <c r="C1337">
        <v>75</v>
      </c>
      <c r="D1337" t="str" cm="1">
        <f t="array" ref="D1337">_xlfn.IFS(Table2[[#This Row],[Age]]&lt;=11,"Gen A",Table2[[#This Row],[Age]]&lt;=27,"Gen Z",Table2[[#This Row],[Age]]&lt;=43,"Millenials",Table2[[#This Row],[Age]]&lt;=59,"Gen X",Table2[[#This Row],[Age]]&lt;=78,"Baby Boomers",Table2[[#This Row],[Age]]&lt;=96,"Silent",Table2[[#This Row],[Age]]&gt;=97,"Greatest")</f>
        <v>Baby Boomers</v>
      </c>
      <c r="E1337" s="1">
        <v>76474</v>
      </c>
      <c r="F1337">
        <v>5</v>
      </c>
      <c r="G1337" t="str" cm="1">
        <f t="array" ref="G1337">_xlfn.IFS(Table2[[#This Row],[Spending Score (1-100)]]&lt;=25,"Low",Table2[[#This Row],[Spending Score (1-100)]]&lt;=50,"Medium",Table2[[#This Row],[Spending Score (1-100)]]&lt;=75,"High",Table2[[#This Row],[Spending Score (1-100)]]&lt;=100,"Very High")</f>
        <v>Low</v>
      </c>
      <c r="H1337" t="s">
        <v>16</v>
      </c>
      <c r="I1337">
        <v>5</v>
      </c>
      <c r="J1337" t="str">
        <f>CONCATENATE(Table2[[#This Row],[Work Experience]],"years")</f>
        <v>5years</v>
      </c>
      <c r="K1337" t="str">
        <f>CONCATENATE(Table2[[#This Row],[Family Size2]],"members")</f>
        <v>5members</v>
      </c>
      <c r="L1337" t="str">
        <f>CONCATENATE(Table2[[#This Row],[Family Size2]],"members")</f>
        <v>5members</v>
      </c>
      <c r="M1337">
        <v>5</v>
      </c>
    </row>
    <row r="1338" spans="1:13">
      <c r="A1338">
        <v>1337</v>
      </c>
      <c r="B1338" t="s">
        <v>11</v>
      </c>
      <c r="C1338">
        <v>14</v>
      </c>
      <c r="D1338" t="str" cm="1">
        <f t="array" ref="D1338">_xlfn.IFS(Table2[[#This Row],[Age]]&lt;=11,"Gen A",Table2[[#This Row],[Age]]&lt;=27,"Gen Z",Table2[[#This Row],[Age]]&lt;=43,"Millenials",Table2[[#This Row],[Age]]&lt;=59,"Gen X",Table2[[#This Row],[Age]]&lt;=78,"Baby Boomers",Table2[[#This Row],[Age]]&lt;=96,"Silent",Table2[[#This Row],[Age]]&gt;=97,"Greatest")</f>
        <v>Gen Z</v>
      </c>
      <c r="E1338" s="1">
        <v>94655</v>
      </c>
      <c r="F1338">
        <v>9</v>
      </c>
      <c r="G1338" t="str" cm="1">
        <f t="array" ref="G1338">_xlfn.IFS(Table2[[#This Row],[Spending Score (1-100)]]&lt;=25,"Low",Table2[[#This Row],[Spending Score (1-100)]]&lt;=50,"Medium",Table2[[#This Row],[Spending Score (1-100)]]&lt;=75,"High",Table2[[#This Row],[Spending Score (1-100)]]&lt;=100,"Very High")</f>
        <v>Low</v>
      </c>
      <c r="H1338" t="s">
        <v>9</v>
      </c>
      <c r="I1338">
        <v>8</v>
      </c>
      <c r="J1338" t="str">
        <f>CONCATENATE(Table2[[#This Row],[Work Experience]],"years")</f>
        <v>8years</v>
      </c>
      <c r="K1338" t="str">
        <f>CONCATENATE(Table2[[#This Row],[Family Size2]],"members")</f>
        <v>1members</v>
      </c>
      <c r="L1338" t="str">
        <f>CONCATENATE(Table2[[#This Row],[Family Size2]],"members")</f>
        <v>1members</v>
      </c>
      <c r="M1338">
        <v>1</v>
      </c>
    </row>
    <row r="1339" spans="1:13">
      <c r="A1339">
        <v>1338</v>
      </c>
      <c r="B1339" t="s">
        <v>8</v>
      </c>
      <c r="C1339">
        <v>3</v>
      </c>
      <c r="D1339" t="str" cm="1">
        <f t="array" ref="D1339">_xlfn.IFS(Table2[[#This Row],[Age]]&lt;=11,"Gen A",Table2[[#This Row],[Age]]&lt;=27,"Gen Z",Table2[[#This Row],[Age]]&lt;=43,"Millenials",Table2[[#This Row],[Age]]&lt;=59,"Gen X",Table2[[#This Row],[Age]]&lt;=78,"Baby Boomers",Table2[[#This Row],[Age]]&lt;=96,"Silent",Table2[[#This Row],[Age]]&gt;=97,"Greatest")</f>
        <v>Gen A</v>
      </c>
      <c r="E1339" s="1">
        <v>60933</v>
      </c>
      <c r="F1339">
        <v>30</v>
      </c>
      <c r="G1339" t="str" cm="1">
        <f t="array" ref="G1339">_xlfn.IFS(Table2[[#This Row],[Spending Score (1-100)]]&lt;=25,"Low",Table2[[#This Row],[Spending Score (1-100)]]&lt;=50,"Medium",Table2[[#This Row],[Spending Score (1-100)]]&lt;=75,"High",Table2[[#This Row],[Spending Score (1-100)]]&lt;=100,"Very High")</f>
        <v>Medium</v>
      </c>
      <c r="H1339" t="s">
        <v>16</v>
      </c>
      <c r="I1339">
        <v>8</v>
      </c>
      <c r="J1339" t="str">
        <f>CONCATENATE(Table2[[#This Row],[Work Experience]],"years")</f>
        <v>8years</v>
      </c>
      <c r="K1339" t="str">
        <f>CONCATENATE(Table2[[#This Row],[Family Size2]],"members")</f>
        <v>1members</v>
      </c>
      <c r="L1339" t="str">
        <f>CONCATENATE(Table2[[#This Row],[Family Size2]],"members")</f>
        <v>1members</v>
      </c>
      <c r="M1339">
        <v>1</v>
      </c>
    </row>
    <row r="1340" spans="1:13">
      <c r="A1340">
        <v>1339</v>
      </c>
      <c r="B1340" t="s">
        <v>8</v>
      </c>
      <c r="C1340">
        <v>16</v>
      </c>
      <c r="D1340" t="str" cm="1">
        <f t="array" ref="D1340">_xlfn.IFS(Table2[[#This Row],[Age]]&lt;=11,"Gen A",Table2[[#This Row],[Age]]&lt;=27,"Gen Z",Table2[[#This Row],[Age]]&lt;=43,"Millenials",Table2[[#This Row],[Age]]&lt;=59,"Gen X",Table2[[#This Row],[Age]]&lt;=78,"Baby Boomers",Table2[[#This Row],[Age]]&lt;=96,"Silent",Table2[[#This Row],[Age]]&gt;=97,"Greatest")</f>
        <v>Gen Z</v>
      </c>
      <c r="E1340" s="1">
        <v>79257</v>
      </c>
      <c r="F1340">
        <v>82</v>
      </c>
      <c r="G1340" t="str" cm="1">
        <f t="array" ref="G1340">_xlfn.IFS(Table2[[#This Row],[Spending Score (1-100)]]&lt;=25,"Low",Table2[[#This Row],[Spending Score (1-100)]]&lt;=50,"Medium",Table2[[#This Row],[Spending Score (1-100)]]&lt;=75,"High",Table2[[#This Row],[Spending Score (1-100)]]&lt;=100,"Very High")</f>
        <v>Very High</v>
      </c>
      <c r="H1340" t="s">
        <v>9</v>
      </c>
      <c r="I1340">
        <v>6</v>
      </c>
      <c r="J1340" t="str">
        <f>CONCATENATE(Table2[[#This Row],[Work Experience]],"years")</f>
        <v>6years</v>
      </c>
      <c r="K1340" t="str">
        <f>CONCATENATE(Table2[[#This Row],[Family Size2]],"members")</f>
        <v>2members</v>
      </c>
      <c r="L1340" t="str">
        <f>CONCATENATE(Table2[[#This Row],[Family Size2]],"members")</f>
        <v>2members</v>
      </c>
      <c r="M1340">
        <v>2</v>
      </c>
    </row>
    <row r="1341" spans="1:13">
      <c r="A1341">
        <v>1340</v>
      </c>
      <c r="B1341" t="s">
        <v>11</v>
      </c>
      <c r="C1341">
        <v>45</v>
      </c>
      <c r="D1341" t="str" cm="1">
        <f t="array" ref="D1341">_xlfn.IFS(Table2[[#This Row],[Age]]&lt;=11,"Gen A",Table2[[#This Row],[Age]]&lt;=27,"Gen Z",Table2[[#This Row],[Age]]&lt;=43,"Millenials",Table2[[#This Row],[Age]]&lt;=59,"Gen X",Table2[[#This Row],[Age]]&lt;=78,"Baby Boomers",Table2[[#This Row],[Age]]&lt;=96,"Silent",Table2[[#This Row],[Age]]&gt;=97,"Greatest")</f>
        <v>Gen X</v>
      </c>
      <c r="E1341" s="1">
        <v>125677</v>
      </c>
      <c r="F1341">
        <v>36</v>
      </c>
      <c r="G1341" t="str" cm="1">
        <f t="array" ref="G1341">_xlfn.IFS(Table2[[#This Row],[Spending Score (1-100)]]&lt;=25,"Low",Table2[[#This Row],[Spending Score (1-100)]]&lt;=50,"Medium",Table2[[#This Row],[Spending Score (1-100)]]&lt;=75,"High",Table2[[#This Row],[Spending Score (1-100)]]&lt;=100,"Very High")</f>
        <v>Medium</v>
      </c>
      <c r="H1341" t="s">
        <v>13</v>
      </c>
      <c r="I1341">
        <v>5</v>
      </c>
      <c r="J1341" t="str">
        <f>CONCATENATE(Table2[[#This Row],[Work Experience]],"years")</f>
        <v>5years</v>
      </c>
      <c r="K1341" t="str">
        <f>CONCATENATE(Table2[[#This Row],[Family Size2]],"members")</f>
        <v>2members</v>
      </c>
      <c r="L1341" t="str">
        <f>CONCATENATE(Table2[[#This Row],[Family Size2]],"members")</f>
        <v>2members</v>
      </c>
      <c r="M1341">
        <v>2</v>
      </c>
    </row>
    <row r="1342" spans="1:13">
      <c r="A1342">
        <v>1341</v>
      </c>
      <c r="B1342" t="s">
        <v>11</v>
      </c>
      <c r="C1342">
        <v>23</v>
      </c>
      <c r="D1342" t="str" cm="1">
        <f t="array" ref="D1342">_xlfn.IFS(Table2[[#This Row],[Age]]&lt;=11,"Gen A",Table2[[#This Row],[Age]]&lt;=27,"Gen Z",Table2[[#This Row],[Age]]&lt;=43,"Millenials",Table2[[#This Row],[Age]]&lt;=59,"Gen X",Table2[[#This Row],[Age]]&lt;=78,"Baby Boomers",Table2[[#This Row],[Age]]&lt;=96,"Silent",Table2[[#This Row],[Age]]&gt;=97,"Greatest")</f>
        <v>Gen Z</v>
      </c>
      <c r="E1342" s="1">
        <v>127971</v>
      </c>
      <c r="F1342">
        <v>56</v>
      </c>
      <c r="G1342" t="str" cm="1">
        <f t="array" ref="G1342">_xlfn.IFS(Table2[[#This Row],[Spending Score (1-100)]]&lt;=25,"Low",Table2[[#This Row],[Spending Score (1-100)]]&lt;=50,"Medium",Table2[[#This Row],[Spending Score (1-100)]]&lt;=75,"High",Table2[[#This Row],[Spending Score (1-100)]]&lt;=100,"Very High")</f>
        <v>High</v>
      </c>
      <c r="H1342" t="s">
        <v>14</v>
      </c>
      <c r="I1342">
        <v>1</v>
      </c>
      <c r="J1342" t="str">
        <f>CONCATENATE(Table2[[#This Row],[Work Experience]],"years")</f>
        <v>1years</v>
      </c>
      <c r="K1342" t="str">
        <f>CONCATENATE(Table2[[#This Row],[Family Size2]],"members")</f>
        <v>5members</v>
      </c>
      <c r="L1342" t="str">
        <f>CONCATENATE(Table2[[#This Row],[Family Size2]],"members")</f>
        <v>5members</v>
      </c>
      <c r="M1342">
        <v>5</v>
      </c>
    </row>
    <row r="1343" spans="1:13">
      <c r="A1343">
        <v>1342</v>
      </c>
      <c r="B1343" t="s">
        <v>8</v>
      </c>
      <c r="C1343">
        <v>38</v>
      </c>
      <c r="D1343" t="str" cm="1">
        <f t="array" ref="D1343">_xlfn.IFS(Table2[[#This Row],[Age]]&lt;=11,"Gen A",Table2[[#This Row],[Age]]&lt;=27,"Gen Z",Table2[[#This Row],[Age]]&lt;=43,"Millenials",Table2[[#This Row],[Age]]&lt;=59,"Gen X",Table2[[#This Row],[Age]]&lt;=78,"Baby Boomers",Table2[[#This Row],[Age]]&lt;=96,"Silent",Table2[[#This Row],[Age]]&gt;=97,"Greatest")</f>
        <v>Millenials</v>
      </c>
      <c r="E1343" s="1">
        <v>76103</v>
      </c>
      <c r="F1343">
        <v>62</v>
      </c>
      <c r="G1343" t="str" cm="1">
        <f t="array" ref="G1343">_xlfn.IFS(Table2[[#This Row],[Spending Score (1-100)]]&lt;=25,"Low",Table2[[#This Row],[Spending Score (1-100)]]&lt;=50,"Medium",Table2[[#This Row],[Spending Score (1-100)]]&lt;=75,"High",Table2[[#This Row],[Spending Score (1-100)]]&lt;=100,"Very High")</f>
        <v>High</v>
      </c>
      <c r="H1343" t="s">
        <v>15</v>
      </c>
      <c r="I1343">
        <v>9</v>
      </c>
      <c r="J1343" t="str">
        <f>CONCATENATE(Table2[[#This Row],[Work Experience]],"years")</f>
        <v>9years</v>
      </c>
      <c r="K1343" t="str">
        <f>CONCATENATE(Table2[[#This Row],[Family Size2]],"members")</f>
        <v>3members</v>
      </c>
      <c r="L1343" t="str">
        <f>CONCATENATE(Table2[[#This Row],[Family Size2]],"members")</f>
        <v>3members</v>
      </c>
      <c r="M1343">
        <v>3</v>
      </c>
    </row>
    <row r="1344" spans="1:13">
      <c r="A1344">
        <v>1343</v>
      </c>
      <c r="B1344" t="s">
        <v>11</v>
      </c>
      <c r="C1344">
        <v>45</v>
      </c>
      <c r="D1344" t="str" cm="1">
        <f t="array" ref="D1344">_xlfn.IFS(Table2[[#This Row],[Age]]&lt;=11,"Gen A",Table2[[#This Row],[Age]]&lt;=27,"Gen Z",Table2[[#This Row],[Age]]&lt;=43,"Millenials",Table2[[#This Row],[Age]]&lt;=59,"Gen X",Table2[[#This Row],[Age]]&lt;=78,"Baby Boomers",Table2[[#This Row],[Age]]&lt;=96,"Silent",Table2[[#This Row],[Age]]&gt;=97,"Greatest")</f>
        <v>Gen X</v>
      </c>
      <c r="E1344" s="1">
        <v>114741</v>
      </c>
      <c r="F1344">
        <v>96</v>
      </c>
      <c r="G1344" t="str" cm="1">
        <f t="array" ref="G1344">_xlfn.IFS(Table2[[#This Row],[Spending Score (1-100)]]&lt;=25,"Low",Table2[[#This Row],[Spending Score (1-100)]]&lt;=50,"Medium",Table2[[#This Row],[Spending Score (1-100)]]&lt;=75,"High",Table2[[#This Row],[Spending Score (1-100)]]&lt;=100,"Very High")</f>
        <v>Very High</v>
      </c>
      <c r="H1344" t="s">
        <v>14</v>
      </c>
      <c r="I1344">
        <v>0</v>
      </c>
      <c r="J1344" t="str">
        <f>CONCATENATE(Table2[[#This Row],[Work Experience]],"years")</f>
        <v>0years</v>
      </c>
      <c r="K1344" t="str">
        <f>CONCATENATE(Table2[[#This Row],[Family Size2]],"members")</f>
        <v>5members</v>
      </c>
      <c r="L1344" t="str">
        <f>CONCATENATE(Table2[[#This Row],[Family Size2]],"members")</f>
        <v>5members</v>
      </c>
      <c r="M1344">
        <v>5</v>
      </c>
    </row>
    <row r="1345" spans="1:13">
      <c r="A1345">
        <v>1344</v>
      </c>
      <c r="B1345" t="s">
        <v>11</v>
      </c>
      <c r="C1345">
        <v>82</v>
      </c>
      <c r="D1345" t="str" cm="1">
        <f t="array" ref="D1345">_xlfn.IFS(Table2[[#This Row],[Age]]&lt;=11,"Gen A",Table2[[#This Row],[Age]]&lt;=27,"Gen Z",Table2[[#This Row],[Age]]&lt;=43,"Millenials",Table2[[#This Row],[Age]]&lt;=59,"Gen X",Table2[[#This Row],[Age]]&lt;=78,"Baby Boomers",Table2[[#This Row],[Age]]&lt;=96,"Silent",Table2[[#This Row],[Age]]&gt;=97,"Greatest")</f>
        <v>Silent</v>
      </c>
      <c r="E1345" s="1">
        <v>157994</v>
      </c>
      <c r="F1345">
        <v>92</v>
      </c>
      <c r="G1345" t="str" cm="1">
        <f t="array" ref="G1345">_xlfn.IFS(Table2[[#This Row],[Spending Score (1-100)]]&lt;=25,"Low",Table2[[#This Row],[Spending Score (1-100)]]&lt;=50,"Medium",Table2[[#This Row],[Spending Score (1-100)]]&lt;=75,"High",Table2[[#This Row],[Spending Score (1-100)]]&lt;=100,"Very High")</f>
        <v>Very High</v>
      </c>
      <c r="H1345" t="s">
        <v>14</v>
      </c>
      <c r="I1345">
        <v>1</v>
      </c>
      <c r="J1345" t="str">
        <f>CONCATENATE(Table2[[#This Row],[Work Experience]],"years")</f>
        <v>1years</v>
      </c>
      <c r="K1345" t="str">
        <f>CONCATENATE(Table2[[#This Row],[Family Size2]],"members")</f>
        <v>1members</v>
      </c>
      <c r="L1345" t="str">
        <f>CONCATENATE(Table2[[#This Row],[Family Size2]],"members")</f>
        <v>1members</v>
      </c>
      <c r="M1345">
        <v>1</v>
      </c>
    </row>
    <row r="1346" spans="1:13">
      <c r="A1346">
        <v>1345</v>
      </c>
      <c r="B1346" t="s">
        <v>8</v>
      </c>
      <c r="C1346">
        <v>73</v>
      </c>
      <c r="D1346" t="str" cm="1">
        <f t="array" ref="D1346">_xlfn.IFS(Table2[[#This Row],[Age]]&lt;=11,"Gen A",Table2[[#This Row],[Age]]&lt;=27,"Gen Z",Table2[[#This Row],[Age]]&lt;=43,"Millenials",Table2[[#This Row],[Age]]&lt;=59,"Gen X",Table2[[#This Row],[Age]]&lt;=78,"Baby Boomers",Table2[[#This Row],[Age]]&lt;=96,"Silent",Table2[[#This Row],[Age]]&gt;=97,"Greatest")</f>
        <v>Baby Boomers</v>
      </c>
      <c r="E1346" s="1">
        <v>93786</v>
      </c>
      <c r="F1346">
        <v>44</v>
      </c>
      <c r="G1346" t="str" cm="1">
        <f t="array" ref="G1346">_xlfn.IFS(Table2[[#This Row],[Spending Score (1-100)]]&lt;=25,"Low",Table2[[#This Row],[Spending Score (1-100)]]&lt;=50,"Medium",Table2[[#This Row],[Spending Score (1-100)]]&lt;=75,"High",Table2[[#This Row],[Spending Score (1-100)]]&lt;=100,"Very High")</f>
        <v>Medium</v>
      </c>
      <c r="H1346" t="s">
        <v>13</v>
      </c>
      <c r="I1346">
        <v>3</v>
      </c>
      <c r="J1346" t="str">
        <f>CONCATENATE(Table2[[#This Row],[Work Experience]],"years")</f>
        <v>3years</v>
      </c>
      <c r="K1346" t="str">
        <f>CONCATENATE(Table2[[#This Row],[Family Size2]],"members")</f>
        <v>1members</v>
      </c>
      <c r="L1346" t="str">
        <f>CONCATENATE(Table2[[#This Row],[Family Size2]],"members")</f>
        <v>1members</v>
      </c>
      <c r="M1346">
        <v>1</v>
      </c>
    </row>
    <row r="1347" spans="1:13">
      <c r="A1347">
        <v>1346</v>
      </c>
      <c r="B1347" t="s">
        <v>8</v>
      </c>
      <c r="C1347">
        <v>36</v>
      </c>
      <c r="D1347" t="str" cm="1">
        <f t="array" ref="D1347">_xlfn.IFS(Table2[[#This Row],[Age]]&lt;=11,"Gen A",Table2[[#This Row],[Age]]&lt;=27,"Gen Z",Table2[[#This Row],[Age]]&lt;=43,"Millenials",Table2[[#This Row],[Age]]&lt;=59,"Gen X",Table2[[#This Row],[Age]]&lt;=78,"Baby Boomers",Table2[[#This Row],[Age]]&lt;=96,"Silent",Table2[[#This Row],[Age]]&gt;=97,"Greatest")</f>
        <v>Millenials</v>
      </c>
      <c r="E1347" s="1">
        <v>75178</v>
      </c>
      <c r="F1347">
        <v>41</v>
      </c>
      <c r="G1347" t="str" cm="1">
        <f t="array" ref="G1347">_xlfn.IFS(Table2[[#This Row],[Spending Score (1-100)]]&lt;=25,"Low",Table2[[#This Row],[Spending Score (1-100)]]&lt;=50,"Medium",Table2[[#This Row],[Spending Score (1-100)]]&lt;=75,"High",Table2[[#This Row],[Spending Score (1-100)]]&lt;=100,"Very High")</f>
        <v>Medium</v>
      </c>
      <c r="H1347" t="s">
        <v>13</v>
      </c>
      <c r="I1347">
        <v>1</v>
      </c>
      <c r="J1347" t="str">
        <f>CONCATENATE(Table2[[#This Row],[Work Experience]],"years")</f>
        <v>1years</v>
      </c>
      <c r="K1347" t="str">
        <f>CONCATENATE(Table2[[#This Row],[Family Size2]],"members")</f>
        <v>7members</v>
      </c>
      <c r="L1347" t="str">
        <f>CONCATENATE(Table2[[#This Row],[Family Size2]],"members")</f>
        <v>7members</v>
      </c>
      <c r="M1347">
        <v>7</v>
      </c>
    </row>
    <row r="1348" spans="1:13">
      <c r="A1348">
        <v>1347</v>
      </c>
      <c r="B1348" t="s">
        <v>8</v>
      </c>
      <c r="C1348">
        <v>13</v>
      </c>
      <c r="D1348" t="str" cm="1">
        <f t="array" ref="D1348">_xlfn.IFS(Table2[[#This Row],[Age]]&lt;=11,"Gen A",Table2[[#This Row],[Age]]&lt;=27,"Gen Z",Table2[[#This Row],[Age]]&lt;=43,"Millenials",Table2[[#This Row],[Age]]&lt;=59,"Gen X",Table2[[#This Row],[Age]]&lt;=78,"Baby Boomers",Table2[[#This Row],[Age]]&lt;=96,"Silent",Table2[[#This Row],[Age]]&gt;=97,"Greatest")</f>
        <v>Gen Z</v>
      </c>
      <c r="E1348" s="1">
        <v>175267</v>
      </c>
      <c r="F1348">
        <v>81</v>
      </c>
      <c r="G1348" t="str" cm="1">
        <f t="array" ref="G1348">_xlfn.IFS(Table2[[#This Row],[Spending Score (1-100)]]&lt;=25,"Low",Table2[[#This Row],[Spending Score (1-100)]]&lt;=50,"Medium",Table2[[#This Row],[Spending Score (1-100)]]&lt;=75,"High",Table2[[#This Row],[Spending Score (1-100)]]&lt;=100,"Very High")</f>
        <v>Very High</v>
      </c>
      <c r="H1348" t="s">
        <v>9</v>
      </c>
      <c r="I1348">
        <v>1</v>
      </c>
      <c r="J1348" t="str">
        <f>CONCATENATE(Table2[[#This Row],[Work Experience]],"years")</f>
        <v>1years</v>
      </c>
      <c r="K1348" t="str">
        <f>CONCATENATE(Table2[[#This Row],[Family Size2]],"members")</f>
        <v>4members</v>
      </c>
      <c r="L1348" t="str">
        <f>CONCATENATE(Table2[[#This Row],[Family Size2]],"members")</f>
        <v>4members</v>
      </c>
      <c r="M1348">
        <v>4</v>
      </c>
    </row>
    <row r="1349" spans="1:13">
      <c r="A1349">
        <v>1348</v>
      </c>
      <c r="B1349" t="s">
        <v>11</v>
      </c>
      <c r="C1349">
        <v>96</v>
      </c>
      <c r="D1349" t="str" cm="1">
        <f t="array" ref="D1349">_xlfn.IFS(Table2[[#This Row],[Age]]&lt;=11,"Gen A",Table2[[#This Row],[Age]]&lt;=27,"Gen Z",Table2[[#This Row],[Age]]&lt;=43,"Millenials",Table2[[#This Row],[Age]]&lt;=59,"Gen X",Table2[[#This Row],[Age]]&lt;=78,"Baby Boomers",Table2[[#This Row],[Age]]&lt;=96,"Silent",Table2[[#This Row],[Age]]&gt;=97,"Greatest")</f>
        <v>Silent</v>
      </c>
      <c r="E1349" s="1">
        <v>99263</v>
      </c>
      <c r="F1349">
        <v>100</v>
      </c>
      <c r="G1349" t="str" cm="1">
        <f t="array" ref="G1349">_xlfn.IFS(Table2[[#This Row],[Spending Score (1-100)]]&lt;=25,"Low",Table2[[#This Row],[Spending Score (1-100)]]&lt;=50,"Medium",Table2[[#This Row],[Spending Score (1-100)]]&lt;=75,"High",Table2[[#This Row],[Spending Score (1-100)]]&lt;=100,"Very High")</f>
        <v>Very High</v>
      </c>
      <c r="H1349" t="s">
        <v>9</v>
      </c>
      <c r="I1349">
        <v>8</v>
      </c>
      <c r="J1349" t="str">
        <f>CONCATENATE(Table2[[#This Row],[Work Experience]],"years")</f>
        <v>8years</v>
      </c>
      <c r="K1349" t="str">
        <f>CONCATENATE(Table2[[#This Row],[Family Size2]],"members")</f>
        <v>1members</v>
      </c>
      <c r="L1349" t="str">
        <f>CONCATENATE(Table2[[#This Row],[Family Size2]],"members")</f>
        <v>1members</v>
      </c>
      <c r="M1349">
        <v>1</v>
      </c>
    </row>
    <row r="1350" spans="1:13">
      <c r="A1350">
        <v>1349</v>
      </c>
      <c r="B1350" t="s">
        <v>11</v>
      </c>
      <c r="C1350">
        <v>83</v>
      </c>
      <c r="D1350" t="str" cm="1">
        <f t="array" ref="D1350">_xlfn.IFS(Table2[[#This Row],[Age]]&lt;=11,"Gen A",Table2[[#This Row],[Age]]&lt;=27,"Gen Z",Table2[[#This Row],[Age]]&lt;=43,"Millenials",Table2[[#This Row],[Age]]&lt;=59,"Gen X",Table2[[#This Row],[Age]]&lt;=78,"Baby Boomers",Table2[[#This Row],[Age]]&lt;=96,"Silent",Table2[[#This Row],[Age]]&gt;=97,"Greatest")</f>
        <v>Silent</v>
      </c>
      <c r="E1350" s="1">
        <v>52590</v>
      </c>
      <c r="F1350">
        <v>3</v>
      </c>
      <c r="G1350" t="str" cm="1">
        <f t="array" ref="G1350">_xlfn.IFS(Table2[[#This Row],[Spending Score (1-100)]]&lt;=25,"Low",Table2[[#This Row],[Spending Score (1-100)]]&lt;=50,"Medium",Table2[[#This Row],[Spending Score (1-100)]]&lt;=75,"High",Table2[[#This Row],[Spending Score (1-100)]]&lt;=100,"Very High")</f>
        <v>Low</v>
      </c>
      <c r="H1350" t="s">
        <v>9</v>
      </c>
      <c r="I1350">
        <v>0</v>
      </c>
      <c r="J1350" t="str">
        <f>CONCATENATE(Table2[[#This Row],[Work Experience]],"years")</f>
        <v>0years</v>
      </c>
      <c r="K1350" t="str">
        <f>CONCATENATE(Table2[[#This Row],[Family Size2]],"members")</f>
        <v>4members</v>
      </c>
      <c r="L1350" t="str">
        <f>CONCATENATE(Table2[[#This Row],[Family Size2]],"members")</f>
        <v>4members</v>
      </c>
      <c r="M1350">
        <v>4</v>
      </c>
    </row>
    <row r="1351" spans="1:13">
      <c r="A1351">
        <v>1350</v>
      </c>
      <c r="B1351" t="s">
        <v>8</v>
      </c>
      <c r="C1351">
        <v>33</v>
      </c>
      <c r="D1351" t="str" cm="1">
        <f t="array" ref="D1351">_xlfn.IFS(Table2[[#This Row],[Age]]&lt;=11,"Gen A",Table2[[#This Row],[Age]]&lt;=27,"Gen Z",Table2[[#This Row],[Age]]&lt;=43,"Millenials",Table2[[#This Row],[Age]]&lt;=59,"Gen X",Table2[[#This Row],[Age]]&lt;=78,"Baby Boomers",Table2[[#This Row],[Age]]&lt;=96,"Silent",Table2[[#This Row],[Age]]&gt;=97,"Greatest")</f>
        <v>Millenials</v>
      </c>
      <c r="E1351" s="1">
        <v>170959</v>
      </c>
      <c r="F1351">
        <v>75</v>
      </c>
      <c r="G1351" t="str" cm="1">
        <f t="array" ref="G1351">_xlfn.IFS(Table2[[#This Row],[Spending Score (1-100)]]&lt;=25,"Low",Table2[[#This Row],[Spending Score (1-100)]]&lt;=50,"Medium",Table2[[#This Row],[Spending Score (1-100)]]&lt;=75,"High",Table2[[#This Row],[Spending Score (1-100)]]&lt;=100,"Very High")</f>
        <v>High</v>
      </c>
      <c r="H1351" t="s">
        <v>14</v>
      </c>
      <c r="I1351">
        <v>0</v>
      </c>
      <c r="J1351" t="str">
        <f>CONCATENATE(Table2[[#This Row],[Work Experience]],"years")</f>
        <v>0years</v>
      </c>
      <c r="K1351" t="str">
        <f>CONCATENATE(Table2[[#This Row],[Family Size2]],"members")</f>
        <v>4members</v>
      </c>
      <c r="L1351" t="str">
        <f>CONCATENATE(Table2[[#This Row],[Family Size2]],"members")</f>
        <v>4members</v>
      </c>
      <c r="M1351">
        <v>4</v>
      </c>
    </row>
    <row r="1352" spans="1:13">
      <c r="A1352">
        <v>1351</v>
      </c>
      <c r="B1352" t="s">
        <v>8</v>
      </c>
      <c r="C1352">
        <v>68</v>
      </c>
      <c r="D1352" t="str" cm="1">
        <f t="array" ref="D1352">_xlfn.IFS(Table2[[#This Row],[Age]]&lt;=11,"Gen A",Table2[[#This Row],[Age]]&lt;=27,"Gen Z",Table2[[#This Row],[Age]]&lt;=43,"Millenials",Table2[[#This Row],[Age]]&lt;=59,"Gen X",Table2[[#This Row],[Age]]&lt;=78,"Baby Boomers",Table2[[#This Row],[Age]]&lt;=96,"Silent",Table2[[#This Row],[Age]]&gt;=97,"Greatest")</f>
        <v>Baby Boomers</v>
      </c>
      <c r="E1352" s="1">
        <v>135076</v>
      </c>
      <c r="F1352">
        <v>60</v>
      </c>
      <c r="G1352" t="str" cm="1">
        <f t="array" ref="G1352">_xlfn.IFS(Table2[[#This Row],[Spending Score (1-100)]]&lt;=25,"Low",Table2[[#This Row],[Spending Score (1-100)]]&lt;=50,"Medium",Table2[[#This Row],[Spending Score (1-100)]]&lt;=75,"High",Table2[[#This Row],[Spending Score (1-100)]]&lt;=100,"Very High")</f>
        <v>High</v>
      </c>
      <c r="H1352" t="s">
        <v>10</v>
      </c>
      <c r="I1352">
        <v>1</v>
      </c>
      <c r="J1352" t="str">
        <f>CONCATENATE(Table2[[#This Row],[Work Experience]],"years")</f>
        <v>1years</v>
      </c>
      <c r="K1352" t="str">
        <f>CONCATENATE(Table2[[#This Row],[Family Size2]],"members")</f>
        <v>5members</v>
      </c>
      <c r="L1352" t="str">
        <f>CONCATENATE(Table2[[#This Row],[Family Size2]],"members")</f>
        <v>5members</v>
      </c>
      <c r="M1352">
        <v>5</v>
      </c>
    </row>
    <row r="1353" spans="1:13">
      <c r="A1353">
        <v>1352</v>
      </c>
      <c r="B1353" t="s">
        <v>8</v>
      </c>
      <c r="C1353">
        <v>88</v>
      </c>
      <c r="D1353" t="str" cm="1">
        <f t="array" ref="D1353">_xlfn.IFS(Table2[[#This Row],[Age]]&lt;=11,"Gen A",Table2[[#This Row],[Age]]&lt;=27,"Gen Z",Table2[[#This Row],[Age]]&lt;=43,"Millenials",Table2[[#This Row],[Age]]&lt;=59,"Gen X",Table2[[#This Row],[Age]]&lt;=78,"Baby Boomers",Table2[[#This Row],[Age]]&lt;=96,"Silent",Table2[[#This Row],[Age]]&gt;=97,"Greatest")</f>
        <v>Silent</v>
      </c>
      <c r="E1353" s="1">
        <v>167112</v>
      </c>
      <c r="F1353">
        <v>34</v>
      </c>
      <c r="G1353" t="str" cm="1">
        <f t="array" ref="G1353">_xlfn.IFS(Table2[[#This Row],[Spending Score (1-100)]]&lt;=25,"Low",Table2[[#This Row],[Spending Score (1-100)]]&lt;=50,"Medium",Table2[[#This Row],[Spending Score (1-100)]]&lt;=75,"High",Table2[[#This Row],[Spending Score (1-100)]]&lt;=100,"Very High")</f>
        <v>Medium</v>
      </c>
      <c r="H1353" t="s">
        <v>12</v>
      </c>
      <c r="I1353">
        <v>0</v>
      </c>
      <c r="J1353" t="str">
        <f>CONCATENATE(Table2[[#This Row],[Work Experience]],"years")</f>
        <v>0years</v>
      </c>
      <c r="K1353" t="str">
        <f>CONCATENATE(Table2[[#This Row],[Family Size2]],"members")</f>
        <v>1members</v>
      </c>
      <c r="L1353" t="str">
        <f>CONCATENATE(Table2[[#This Row],[Family Size2]],"members")</f>
        <v>1members</v>
      </c>
      <c r="M1353">
        <v>1</v>
      </c>
    </row>
    <row r="1354" spans="1:13">
      <c r="A1354">
        <v>1353</v>
      </c>
      <c r="B1354" t="s">
        <v>11</v>
      </c>
      <c r="C1354">
        <v>87</v>
      </c>
      <c r="D1354" t="str" cm="1">
        <f t="array" ref="D1354">_xlfn.IFS(Table2[[#This Row],[Age]]&lt;=11,"Gen A",Table2[[#This Row],[Age]]&lt;=27,"Gen Z",Table2[[#This Row],[Age]]&lt;=43,"Millenials",Table2[[#This Row],[Age]]&lt;=59,"Gen X",Table2[[#This Row],[Age]]&lt;=78,"Baby Boomers",Table2[[#This Row],[Age]]&lt;=96,"Silent",Table2[[#This Row],[Age]]&gt;=97,"Greatest")</f>
        <v>Silent</v>
      </c>
      <c r="E1354" s="1">
        <v>184639</v>
      </c>
      <c r="F1354">
        <v>12</v>
      </c>
      <c r="G1354" t="str" cm="1">
        <f t="array" ref="G1354">_xlfn.IFS(Table2[[#This Row],[Spending Score (1-100)]]&lt;=25,"Low",Table2[[#This Row],[Spending Score (1-100)]]&lt;=50,"Medium",Table2[[#This Row],[Spending Score (1-100)]]&lt;=75,"High",Table2[[#This Row],[Spending Score (1-100)]]&lt;=100,"Very High")</f>
        <v>Low</v>
      </c>
      <c r="H1354" t="s">
        <v>16</v>
      </c>
      <c r="I1354">
        <v>1</v>
      </c>
      <c r="J1354" t="str">
        <f>CONCATENATE(Table2[[#This Row],[Work Experience]],"years")</f>
        <v>1years</v>
      </c>
      <c r="K1354" t="str">
        <f>CONCATENATE(Table2[[#This Row],[Family Size2]],"members")</f>
        <v>6members</v>
      </c>
      <c r="L1354" t="str">
        <f>CONCATENATE(Table2[[#This Row],[Family Size2]],"members")</f>
        <v>6members</v>
      </c>
      <c r="M1354">
        <v>6</v>
      </c>
    </row>
    <row r="1355" spans="1:13">
      <c r="A1355">
        <v>1354</v>
      </c>
      <c r="B1355" t="s">
        <v>11</v>
      </c>
      <c r="C1355">
        <v>88</v>
      </c>
      <c r="D1355" t="str" cm="1">
        <f t="array" ref="D1355">_xlfn.IFS(Table2[[#This Row],[Age]]&lt;=11,"Gen A",Table2[[#This Row],[Age]]&lt;=27,"Gen Z",Table2[[#This Row],[Age]]&lt;=43,"Millenials",Table2[[#This Row],[Age]]&lt;=59,"Gen X",Table2[[#This Row],[Age]]&lt;=78,"Baby Boomers",Table2[[#This Row],[Age]]&lt;=96,"Silent",Table2[[#This Row],[Age]]&gt;=97,"Greatest")</f>
        <v>Silent</v>
      </c>
      <c r="E1355" s="1">
        <v>172369</v>
      </c>
      <c r="F1355">
        <v>80</v>
      </c>
      <c r="G1355" t="str" cm="1">
        <f t="array" ref="G1355">_xlfn.IFS(Table2[[#This Row],[Spending Score (1-100)]]&lt;=25,"Low",Table2[[#This Row],[Spending Score (1-100)]]&lt;=50,"Medium",Table2[[#This Row],[Spending Score (1-100)]]&lt;=75,"High",Table2[[#This Row],[Spending Score (1-100)]]&lt;=100,"Very High")</f>
        <v>Very High</v>
      </c>
      <c r="H1355" t="s">
        <v>14</v>
      </c>
      <c r="I1355">
        <v>6</v>
      </c>
      <c r="J1355" t="str">
        <f>CONCATENATE(Table2[[#This Row],[Work Experience]],"years")</f>
        <v>6years</v>
      </c>
      <c r="K1355" t="str">
        <f>CONCATENATE(Table2[[#This Row],[Family Size2]],"members")</f>
        <v>6members</v>
      </c>
      <c r="L1355" t="str">
        <f>CONCATENATE(Table2[[#This Row],[Family Size2]],"members")</f>
        <v>6members</v>
      </c>
      <c r="M1355">
        <v>6</v>
      </c>
    </row>
    <row r="1356" spans="1:13">
      <c r="A1356">
        <v>1355</v>
      </c>
      <c r="B1356" t="s">
        <v>11</v>
      </c>
      <c r="C1356">
        <v>43</v>
      </c>
      <c r="D1356" t="str" cm="1">
        <f t="array" ref="D1356">_xlfn.IFS(Table2[[#This Row],[Age]]&lt;=11,"Gen A",Table2[[#This Row],[Age]]&lt;=27,"Gen Z",Table2[[#This Row],[Age]]&lt;=43,"Millenials",Table2[[#This Row],[Age]]&lt;=59,"Gen X",Table2[[#This Row],[Age]]&lt;=78,"Baby Boomers",Table2[[#This Row],[Age]]&lt;=96,"Silent",Table2[[#This Row],[Age]]&gt;=97,"Greatest")</f>
        <v>Millenials</v>
      </c>
      <c r="E1356" s="1">
        <v>124256</v>
      </c>
      <c r="F1356">
        <v>67</v>
      </c>
      <c r="G1356" t="str" cm="1">
        <f t="array" ref="G1356">_xlfn.IFS(Table2[[#This Row],[Spending Score (1-100)]]&lt;=25,"Low",Table2[[#This Row],[Spending Score (1-100)]]&lt;=50,"Medium",Table2[[#This Row],[Spending Score (1-100)]]&lt;=75,"High",Table2[[#This Row],[Spending Score (1-100)]]&lt;=100,"Very High")</f>
        <v>High</v>
      </c>
      <c r="H1356" t="s">
        <v>18</v>
      </c>
      <c r="I1356">
        <v>1</v>
      </c>
      <c r="J1356" t="str">
        <f>CONCATENATE(Table2[[#This Row],[Work Experience]],"years")</f>
        <v>1years</v>
      </c>
      <c r="K1356" t="str">
        <f>CONCATENATE(Table2[[#This Row],[Family Size2]],"members")</f>
        <v>7members</v>
      </c>
      <c r="L1356" t="str">
        <f>CONCATENATE(Table2[[#This Row],[Family Size2]],"members")</f>
        <v>7members</v>
      </c>
      <c r="M1356">
        <v>7</v>
      </c>
    </row>
    <row r="1357" spans="1:13">
      <c r="A1357">
        <v>1356</v>
      </c>
      <c r="B1357" t="s">
        <v>11</v>
      </c>
      <c r="C1357">
        <v>64</v>
      </c>
      <c r="D1357" t="str" cm="1">
        <f t="array" ref="D1357">_xlfn.IFS(Table2[[#This Row],[Age]]&lt;=11,"Gen A",Table2[[#This Row],[Age]]&lt;=27,"Gen Z",Table2[[#This Row],[Age]]&lt;=43,"Millenials",Table2[[#This Row],[Age]]&lt;=59,"Gen X",Table2[[#This Row],[Age]]&lt;=78,"Baby Boomers",Table2[[#This Row],[Age]]&lt;=96,"Silent",Table2[[#This Row],[Age]]&gt;=97,"Greatest")</f>
        <v>Baby Boomers</v>
      </c>
      <c r="E1357" s="1">
        <v>89972</v>
      </c>
      <c r="F1357">
        <v>92</v>
      </c>
      <c r="G1357" t="str" cm="1">
        <f t="array" ref="G1357">_xlfn.IFS(Table2[[#This Row],[Spending Score (1-100)]]&lt;=25,"Low",Table2[[#This Row],[Spending Score (1-100)]]&lt;=50,"Medium",Table2[[#This Row],[Spending Score (1-100)]]&lt;=75,"High",Table2[[#This Row],[Spending Score (1-100)]]&lt;=100,"Very High")</f>
        <v>Very High</v>
      </c>
      <c r="H1357" t="s">
        <v>14</v>
      </c>
      <c r="I1357">
        <v>10</v>
      </c>
      <c r="J1357" t="str">
        <f>CONCATENATE(Table2[[#This Row],[Work Experience]],"years")</f>
        <v>10years</v>
      </c>
      <c r="K1357" t="str">
        <f>CONCATENATE(Table2[[#This Row],[Family Size2]],"members")</f>
        <v>6members</v>
      </c>
      <c r="L1357" t="str">
        <f>CONCATENATE(Table2[[#This Row],[Family Size2]],"members")</f>
        <v>6members</v>
      </c>
      <c r="M1357">
        <v>6</v>
      </c>
    </row>
    <row r="1358" spans="1:13">
      <c r="A1358">
        <v>1357</v>
      </c>
      <c r="B1358" t="s">
        <v>8</v>
      </c>
      <c r="C1358">
        <v>96</v>
      </c>
      <c r="D1358" t="str" cm="1">
        <f t="array" ref="D1358">_xlfn.IFS(Table2[[#This Row],[Age]]&lt;=11,"Gen A",Table2[[#This Row],[Age]]&lt;=27,"Gen Z",Table2[[#This Row],[Age]]&lt;=43,"Millenials",Table2[[#This Row],[Age]]&lt;=59,"Gen X",Table2[[#This Row],[Age]]&lt;=78,"Baby Boomers",Table2[[#This Row],[Age]]&lt;=96,"Silent",Table2[[#This Row],[Age]]&gt;=97,"Greatest")</f>
        <v>Silent</v>
      </c>
      <c r="E1358" s="1">
        <v>67799</v>
      </c>
      <c r="F1358">
        <v>42</v>
      </c>
      <c r="G1358" t="str" cm="1">
        <f t="array" ref="G1358">_xlfn.IFS(Table2[[#This Row],[Spending Score (1-100)]]&lt;=25,"Low",Table2[[#This Row],[Spending Score (1-100)]]&lt;=50,"Medium",Table2[[#This Row],[Spending Score (1-100)]]&lt;=75,"High",Table2[[#This Row],[Spending Score (1-100)]]&lt;=100,"Very High")</f>
        <v>Medium</v>
      </c>
      <c r="H1358" t="s">
        <v>13</v>
      </c>
      <c r="I1358">
        <v>1</v>
      </c>
      <c r="J1358" t="str">
        <f>CONCATENATE(Table2[[#This Row],[Work Experience]],"years")</f>
        <v>1years</v>
      </c>
      <c r="K1358" t="str">
        <f>CONCATENATE(Table2[[#This Row],[Family Size2]],"members")</f>
        <v>6members</v>
      </c>
      <c r="L1358" t="str">
        <f>CONCATENATE(Table2[[#This Row],[Family Size2]],"members")</f>
        <v>6members</v>
      </c>
      <c r="M1358">
        <v>6</v>
      </c>
    </row>
    <row r="1359" spans="1:13">
      <c r="A1359">
        <v>1358</v>
      </c>
      <c r="B1359" t="s">
        <v>11</v>
      </c>
      <c r="C1359">
        <v>72</v>
      </c>
      <c r="D1359" t="str" cm="1">
        <f t="array" ref="D1359">_xlfn.IFS(Table2[[#This Row],[Age]]&lt;=11,"Gen A",Table2[[#This Row],[Age]]&lt;=27,"Gen Z",Table2[[#This Row],[Age]]&lt;=43,"Millenials",Table2[[#This Row],[Age]]&lt;=59,"Gen X",Table2[[#This Row],[Age]]&lt;=78,"Baby Boomers",Table2[[#This Row],[Age]]&lt;=96,"Silent",Table2[[#This Row],[Age]]&gt;=97,"Greatest")</f>
        <v>Baby Boomers</v>
      </c>
      <c r="E1359" s="1">
        <v>176074</v>
      </c>
      <c r="F1359">
        <v>70</v>
      </c>
      <c r="G1359" t="str" cm="1">
        <f t="array" ref="G1359">_xlfn.IFS(Table2[[#This Row],[Spending Score (1-100)]]&lt;=25,"Low",Table2[[#This Row],[Spending Score (1-100)]]&lt;=50,"Medium",Table2[[#This Row],[Spending Score (1-100)]]&lt;=75,"High",Table2[[#This Row],[Spending Score (1-100)]]&lt;=100,"Very High")</f>
        <v>High</v>
      </c>
      <c r="H1359" t="s">
        <v>16</v>
      </c>
      <c r="I1359">
        <v>1</v>
      </c>
      <c r="J1359" t="str">
        <f>CONCATENATE(Table2[[#This Row],[Work Experience]],"years")</f>
        <v>1years</v>
      </c>
      <c r="K1359" t="str">
        <f>CONCATENATE(Table2[[#This Row],[Family Size2]],"members")</f>
        <v>7members</v>
      </c>
      <c r="L1359" t="str">
        <f>CONCATENATE(Table2[[#This Row],[Family Size2]],"members")</f>
        <v>7members</v>
      </c>
      <c r="M1359">
        <v>7</v>
      </c>
    </row>
    <row r="1360" spans="1:13">
      <c r="A1360">
        <v>1359</v>
      </c>
      <c r="B1360" t="s">
        <v>8</v>
      </c>
      <c r="C1360">
        <v>48</v>
      </c>
      <c r="D1360" t="str" cm="1">
        <f t="array" ref="D1360">_xlfn.IFS(Table2[[#This Row],[Age]]&lt;=11,"Gen A",Table2[[#This Row],[Age]]&lt;=27,"Gen Z",Table2[[#This Row],[Age]]&lt;=43,"Millenials",Table2[[#This Row],[Age]]&lt;=59,"Gen X",Table2[[#This Row],[Age]]&lt;=78,"Baby Boomers",Table2[[#This Row],[Age]]&lt;=96,"Silent",Table2[[#This Row],[Age]]&gt;=97,"Greatest")</f>
        <v>Gen X</v>
      </c>
      <c r="E1360" s="1">
        <v>167517</v>
      </c>
      <c r="F1360">
        <v>27</v>
      </c>
      <c r="G1360" t="str" cm="1">
        <f t="array" ref="G1360">_xlfn.IFS(Table2[[#This Row],[Spending Score (1-100)]]&lt;=25,"Low",Table2[[#This Row],[Spending Score (1-100)]]&lt;=50,"Medium",Table2[[#This Row],[Spending Score (1-100)]]&lt;=75,"High",Table2[[#This Row],[Spending Score (1-100)]]&lt;=100,"Very High")</f>
        <v>Medium</v>
      </c>
      <c r="H1360" t="s">
        <v>14</v>
      </c>
      <c r="I1360">
        <v>2</v>
      </c>
      <c r="J1360" t="str">
        <f>CONCATENATE(Table2[[#This Row],[Work Experience]],"years")</f>
        <v>2years</v>
      </c>
      <c r="K1360" t="str">
        <f>CONCATENATE(Table2[[#This Row],[Family Size2]],"members")</f>
        <v>7members</v>
      </c>
      <c r="L1360" t="str">
        <f>CONCATENATE(Table2[[#This Row],[Family Size2]],"members")</f>
        <v>7members</v>
      </c>
      <c r="M1360">
        <v>7</v>
      </c>
    </row>
    <row r="1361" spans="1:13">
      <c r="A1361">
        <v>1360</v>
      </c>
      <c r="B1361" t="s">
        <v>11</v>
      </c>
      <c r="C1361">
        <v>64</v>
      </c>
      <c r="D1361" t="str" cm="1">
        <f t="array" ref="D1361">_xlfn.IFS(Table2[[#This Row],[Age]]&lt;=11,"Gen A",Table2[[#This Row],[Age]]&lt;=27,"Gen Z",Table2[[#This Row],[Age]]&lt;=43,"Millenials",Table2[[#This Row],[Age]]&lt;=59,"Gen X",Table2[[#This Row],[Age]]&lt;=78,"Baby Boomers",Table2[[#This Row],[Age]]&lt;=96,"Silent",Table2[[#This Row],[Age]]&gt;=97,"Greatest")</f>
        <v>Baby Boomers</v>
      </c>
      <c r="E1361" s="1">
        <v>77914</v>
      </c>
      <c r="F1361">
        <v>11</v>
      </c>
      <c r="G1361" t="str" cm="1">
        <f t="array" ref="G1361">_xlfn.IFS(Table2[[#This Row],[Spending Score (1-100)]]&lt;=25,"Low",Table2[[#This Row],[Spending Score (1-100)]]&lt;=50,"Medium",Table2[[#This Row],[Spending Score (1-100)]]&lt;=75,"High",Table2[[#This Row],[Spending Score (1-100)]]&lt;=100,"Very High")</f>
        <v>Low</v>
      </c>
      <c r="H1361" t="s">
        <v>14</v>
      </c>
      <c r="I1361">
        <v>1</v>
      </c>
      <c r="J1361" t="str">
        <f>CONCATENATE(Table2[[#This Row],[Work Experience]],"years")</f>
        <v>1years</v>
      </c>
      <c r="K1361" t="str">
        <f>CONCATENATE(Table2[[#This Row],[Family Size2]],"members")</f>
        <v>6members</v>
      </c>
      <c r="L1361" t="str">
        <f>CONCATENATE(Table2[[#This Row],[Family Size2]],"members")</f>
        <v>6members</v>
      </c>
      <c r="M1361">
        <v>6</v>
      </c>
    </row>
    <row r="1362" spans="1:13">
      <c r="A1362">
        <v>1361</v>
      </c>
      <c r="B1362" t="s">
        <v>11</v>
      </c>
      <c r="C1362">
        <v>8</v>
      </c>
      <c r="D1362" t="str" cm="1">
        <f t="array" ref="D1362">_xlfn.IFS(Table2[[#This Row],[Age]]&lt;=11,"Gen A",Table2[[#This Row],[Age]]&lt;=27,"Gen Z",Table2[[#This Row],[Age]]&lt;=43,"Millenials",Table2[[#This Row],[Age]]&lt;=59,"Gen X",Table2[[#This Row],[Age]]&lt;=78,"Baby Boomers",Table2[[#This Row],[Age]]&lt;=96,"Silent",Table2[[#This Row],[Age]]&gt;=97,"Greatest")</f>
        <v>Gen A</v>
      </c>
      <c r="E1362" s="1">
        <v>57605</v>
      </c>
      <c r="F1362">
        <v>81</v>
      </c>
      <c r="G1362" t="str" cm="1">
        <f t="array" ref="G1362">_xlfn.IFS(Table2[[#This Row],[Spending Score (1-100)]]&lt;=25,"Low",Table2[[#This Row],[Spending Score (1-100)]]&lt;=50,"Medium",Table2[[#This Row],[Spending Score (1-100)]]&lt;=75,"High",Table2[[#This Row],[Spending Score (1-100)]]&lt;=100,"Very High")</f>
        <v>Very High</v>
      </c>
      <c r="H1362" t="s">
        <v>16</v>
      </c>
      <c r="I1362">
        <v>0</v>
      </c>
      <c r="J1362" t="str">
        <f>CONCATENATE(Table2[[#This Row],[Work Experience]],"years")</f>
        <v>0years</v>
      </c>
      <c r="K1362" t="str">
        <f>CONCATENATE(Table2[[#This Row],[Family Size2]],"members")</f>
        <v>2members</v>
      </c>
      <c r="L1362" t="str">
        <f>CONCATENATE(Table2[[#This Row],[Family Size2]],"members")</f>
        <v>2members</v>
      </c>
      <c r="M1362">
        <v>2</v>
      </c>
    </row>
    <row r="1363" spans="1:13">
      <c r="A1363">
        <v>1362</v>
      </c>
      <c r="B1363" t="s">
        <v>11</v>
      </c>
      <c r="C1363">
        <v>52</v>
      </c>
      <c r="D1363" t="str" cm="1">
        <f t="array" ref="D1363">_xlfn.IFS(Table2[[#This Row],[Age]]&lt;=11,"Gen A",Table2[[#This Row],[Age]]&lt;=27,"Gen Z",Table2[[#This Row],[Age]]&lt;=43,"Millenials",Table2[[#This Row],[Age]]&lt;=59,"Gen X",Table2[[#This Row],[Age]]&lt;=78,"Baby Boomers",Table2[[#This Row],[Age]]&lt;=96,"Silent",Table2[[#This Row],[Age]]&gt;=97,"Greatest")</f>
        <v>Gen X</v>
      </c>
      <c r="E1363" s="1">
        <v>86365</v>
      </c>
      <c r="F1363">
        <v>70</v>
      </c>
      <c r="G1363" t="str" cm="1">
        <f t="array" ref="G1363">_xlfn.IFS(Table2[[#This Row],[Spending Score (1-100)]]&lt;=25,"Low",Table2[[#This Row],[Spending Score (1-100)]]&lt;=50,"Medium",Table2[[#This Row],[Spending Score (1-100)]]&lt;=75,"High",Table2[[#This Row],[Spending Score (1-100)]]&lt;=100,"Very High")</f>
        <v>High</v>
      </c>
      <c r="H1363" t="s">
        <v>10</v>
      </c>
      <c r="I1363">
        <v>1</v>
      </c>
      <c r="J1363" t="str">
        <f>CONCATENATE(Table2[[#This Row],[Work Experience]],"years")</f>
        <v>1years</v>
      </c>
      <c r="K1363" t="str">
        <f>CONCATENATE(Table2[[#This Row],[Family Size2]],"members")</f>
        <v>7members</v>
      </c>
      <c r="L1363" t="str">
        <f>CONCATENATE(Table2[[#This Row],[Family Size2]],"members")</f>
        <v>7members</v>
      </c>
      <c r="M1363">
        <v>7</v>
      </c>
    </row>
    <row r="1364" spans="1:13">
      <c r="A1364">
        <v>1363</v>
      </c>
      <c r="B1364" t="s">
        <v>8</v>
      </c>
      <c r="C1364">
        <v>3</v>
      </c>
      <c r="D1364" t="str" cm="1">
        <f t="array" ref="D1364">_xlfn.IFS(Table2[[#This Row],[Age]]&lt;=11,"Gen A",Table2[[#This Row],[Age]]&lt;=27,"Gen Z",Table2[[#This Row],[Age]]&lt;=43,"Millenials",Table2[[#This Row],[Age]]&lt;=59,"Gen X",Table2[[#This Row],[Age]]&lt;=78,"Baby Boomers",Table2[[#This Row],[Age]]&lt;=96,"Silent",Table2[[#This Row],[Age]]&gt;=97,"Greatest")</f>
        <v>Gen A</v>
      </c>
      <c r="E1364" s="1">
        <v>93883</v>
      </c>
      <c r="F1364">
        <v>39</v>
      </c>
      <c r="G1364" t="str" cm="1">
        <f t="array" ref="G1364">_xlfn.IFS(Table2[[#This Row],[Spending Score (1-100)]]&lt;=25,"Low",Table2[[#This Row],[Spending Score (1-100)]]&lt;=50,"Medium",Table2[[#This Row],[Spending Score (1-100)]]&lt;=75,"High",Table2[[#This Row],[Spending Score (1-100)]]&lt;=100,"Very High")</f>
        <v>Medium</v>
      </c>
      <c r="H1364" t="s">
        <v>9</v>
      </c>
      <c r="I1364">
        <v>1</v>
      </c>
      <c r="J1364" t="str">
        <f>CONCATENATE(Table2[[#This Row],[Work Experience]],"years")</f>
        <v>1years</v>
      </c>
      <c r="K1364" t="str">
        <f>CONCATENATE(Table2[[#This Row],[Family Size2]],"members")</f>
        <v>2members</v>
      </c>
      <c r="L1364" t="str">
        <f>CONCATENATE(Table2[[#This Row],[Family Size2]],"members")</f>
        <v>2members</v>
      </c>
      <c r="M1364">
        <v>2</v>
      </c>
    </row>
    <row r="1365" spans="1:13">
      <c r="A1365">
        <v>1364</v>
      </c>
      <c r="B1365" t="s">
        <v>11</v>
      </c>
      <c r="C1365">
        <v>44</v>
      </c>
      <c r="D1365" t="str" cm="1">
        <f t="array" ref="D1365">_xlfn.IFS(Table2[[#This Row],[Age]]&lt;=11,"Gen A",Table2[[#This Row],[Age]]&lt;=27,"Gen Z",Table2[[#This Row],[Age]]&lt;=43,"Millenials",Table2[[#This Row],[Age]]&lt;=59,"Gen X",Table2[[#This Row],[Age]]&lt;=78,"Baby Boomers",Table2[[#This Row],[Age]]&lt;=96,"Silent",Table2[[#This Row],[Age]]&gt;=97,"Greatest")</f>
        <v>Gen X</v>
      </c>
      <c r="E1365" s="1">
        <v>131091</v>
      </c>
      <c r="F1365">
        <v>62</v>
      </c>
      <c r="G1365" t="str" cm="1">
        <f t="array" ref="G1365">_xlfn.IFS(Table2[[#This Row],[Spending Score (1-100)]]&lt;=25,"Low",Table2[[#This Row],[Spending Score (1-100)]]&lt;=50,"Medium",Table2[[#This Row],[Spending Score (1-100)]]&lt;=75,"High",Table2[[#This Row],[Spending Score (1-100)]]&lt;=100,"Very High")</f>
        <v>High</v>
      </c>
      <c r="H1365" t="s">
        <v>14</v>
      </c>
      <c r="I1365">
        <v>4</v>
      </c>
      <c r="J1365" t="str">
        <f>CONCATENATE(Table2[[#This Row],[Work Experience]],"years")</f>
        <v>4years</v>
      </c>
      <c r="K1365" t="str">
        <f>CONCATENATE(Table2[[#This Row],[Family Size2]],"members")</f>
        <v>1members</v>
      </c>
      <c r="L1365" t="str">
        <f>CONCATENATE(Table2[[#This Row],[Family Size2]],"members")</f>
        <v>1members</v>
      </c>
      <c r="M1365">
        <v>1</v>
      </c>
    </row>
    <row r="1366" spans="1:13">
      <c r="A1366">
        <v>1365</v>
      </c>
      <c r="B1366" t="s">
        <v>8</v>
      </c>
      <c r="C1366">
        <v>14</v>
      </c>
      <c r="D1366" t="str" cm="1">
        <f t="array" ref="D1366">_xlfn.IFS(Table2[[#This Row],[Age]]&lt;=11,"Gen A",Table2[[#This Row],[Age]]&lt;=27,"Gen Z",Table2[[#This Row],[Age]]&lt;=43,"Millenials",Table2[[#This Row],[Age]]&lt;=59,"Gen X",Table2[[#This Row],[Age]]&lt;=78,"Baby Boomers",Table2[[#This Row],[Age]]&lt;=96,"Silent",Table2[[#This Row],[Age]]&gt;=97,"Greatest")</f>
        <v>Gen Z</v>
      </c>
      <c r="E1366" s="1">
        <v>87222</v>
      </c>
      <c r="F1366">
        <v>14</v>
      </c>
      <c r="G1366" t="str" cm="1">
        <f t="array" ref="G1366">_xlfn.IFS(Table2[[#This Row],[Spending Score (1-100)]]&lt;=25,"Low",Table2[[#This Row],[Spending Score (1-100)]]&lt;=50,"Medium",Table2[[#This Row],[Spending Score (1-100)]]&lt;=75,"High",Table2[[#This Row],[Spending Score (1-100)]]&lt;=100,"Very High")</f>
        <v>Low</v>
      </c>
      <c r="H1366" t="s">
        <v>9</v>
      </c>
      <c r="I1366">
        <v>8</v>
      </c>
      <c r="J1366" t="str">
        <f>CONCATENATE(Table2[[#This Row],[Work Experience]],"years")</f>
        <v>8years</v>
      </c>
      <c r="K1366" t="str">
        <f>CONCATENATE(Table2[[#This Row],[Family Size2]],"members")</f>
        <v>4members</v>
      </c>
      <c r="L1366" t="str">
        <f>CONCATENATE(Table2[[#This Row],[Family Size2]],"members")</f>
        <v>4members</v>
      </c>
      <c r="M1366">
        <v>4</v>
      </c>
    </row>
    <row r="1367" spans="1:13">
      <c r="A1367">
        <v>1366</v>
      </c>
      <c r="B1367" t="s">
        <v>11</v>
      </c>
      <c r="C1367">
        <v>50</v>
      </c>
      <c r="D1367" t="str" cm="1">
        <f t="array" ref="D1367">_xlfn.IFS(Table2[[#This Row],[Age]]&lt;=11,"Gen A",Table2[[#This Row],[Age]]&lt;=27,"Gen Z",Table2[[#This Row],[Age]]&lt;=43,"Millenials",Table2[[#This Row],[Age]]&lt;=59,"Gen X",Table2[[#This Row],[Age]]&lt;=78,"Baby Boomers",Table2[[#This Row],[Age]]&lt;=96,"Silent",Table2[[#This Row],[Age]]&gt;=97,"Greatest")</f>
        <v>Gen X</v>
      </c>
      <c r="E1367" s="1">
        <v>117076</v>
      </c>
      <c r="F1367">
        <v>45</v>
      </c>
      <c r="G1367" t="str" cm="1">
        <f t="array" ref="G1367">_xlfn.IFS(Table2[[#This Row],[Spending Score (1-100)]]&lt;=25,"Low",Table2[[#This Row],[Spending Score (1-100)]]&lt;=50,"Medium",Table2[[#This Row],[Spending Score (1-100)]]&lt;=75,"High",Table2[[#This Row],[Spending Score (1-100)]]&lt;=100,"Very High")</f>
        <v>Medium</v>
      </c>
      <c r="H1367" t="s">
        <v>16</v>
      </c>
      <c r="I1367">
        <v>1</v>
      </c>
      <c r="J1367" t="str">
        <f>CONCATENATE(Table2[[#This Row],[Work Experience]],"years")</f>
        <v>1years</v>
      </c>
      <c r="K1367" t="str">
        <f>CONCATENATE(Table2[[#This Row],[Family Size2]],"members")</f>
        <v>2members</v>
      </c>
      <c r="L1367" t="str">
        <f>CONCATENATE(Table2[[#This Row],[Family Size2]],"members")</f>
        <v>2members</v>
      </c>
      <c r="M1367">
        <v>2</v>
      </c>
    </row>
    <row r="1368" spans="1:13">
      <c r="A1368">
        <v>1367</v>
      </c>
      <c r="B1368" t="s">
        <v>8</v>
      </c>
      <c r="C1368">
        <v>53</v>
      </c>
      <c r="D1368" t="str" cm="1">
        <f t="array" ref="D1368">_xlfn.IFS(Table2[[#This Row],[Age]]&lt;=11,"Gen A",Table2[[#This Row],[Age]]&lt;=27,"Gen Z",Table2[[#This Row],[Age]]&lt;=43,"Millenials",Table2[[#This Row],[Age]]&lt;=59,"Gen X",Table2[[#This Row],[Age]]&lt;=78,"Baby Boomers",Table2[[#This Row],[Age]]&lt;=96,"Silent",Table2[[#This Row],[Age]]&gt;=97,"Greatest")</f>
        <v>Gen X</v>
      </c>
      <c r="E1368" s="1">
        <v>150925</v>
      </c>
      <c r="F1368">
        <v>1</v>
      </c>
      <c r="G1368" t="str" cm="1">
        <f t="array" ref="G1368">_xlfn.IFS(Table2[[#This Row],[Spending Score (1-100)]]&lt;=25,"Low",Table2[[#This Row],[Spending Score (1-100)]]&lt;=50,"Medium",Table2[[#This Row],[Spending Score (1-100)]]&lt;=75,"High",Table2[[#This Row],[Spending Score (1-100)]]&lt;=100,"Very High")</f>
        <v>Low</v>
      </c>
      <c r="H1368" t="s">
        <v>9</v>
      </c>
      <c r="I1368">
        <v>1</v>
      </c>
      <c r="J1368" t="str">
        <f>CONCATENATE(Table2[[#This Row],[Work Experience]],"years")</f>
        <v>1years</v>
      </c>
      <c r="K1368" t="str">
        <f>CONCATENATE(Table2[[#This Row],[Family Size2]],"members")</f>
        <v>2members</v>
      </c>
      <c r="L1368" t="str">
        <f>CONCATENATE(Table2[[#This Row],[Family Size2]],"members")</f>
        <v>2members</v>
      </c>
      <c r="M1368">
        <v>2</v>
      </c>
    </row>
    <row r="1369" spans="1:13">
      <c r="A1369">
        <v>1368</v>
      </c>
      <c r="B1369" t="s">
        <v>11</v>
      </c>
      <c r="C1369">
        <v>31</v>
      </c>
      <c r="D1369" t="str" cm="1">
        <f t="array" ref="D1369">_xlfn.IFS(Table2[[#This Row],[Age]]&lt;=11,"Gen A",Table2[[#This Row],[Age]]&lt;=27,"Gen Z",Table2[[#This Row],[Age]]&lt;=43,"Millenials",Table2[[#This Row],[Age]]&lt;=59,"Gen X",Table2[[#This Row],[Age]]&lt;=78,"Baby Boomers",Table2[[#This Row],[Age]]&lt;=96,"Silent",Table2[[#This Row],[Age]]&gt;=97,"Greatest")</f>
        <v>Millenials</v>
      </c>
      <c r="E1369" s="1">
        <v>149379</v>
      </c>
      <c r="F1369">
        <v>100</v>
      </c>
      <c r="G1369" t="str" cm="1">
        <f t="array" ref="G1369">_xlfn.IFS(Table2[[#This Row],[Spending Score (1-100)]]&lt;=25,"Low",Table2[[#This Row],[Spending Score (1-100)]]&lt;=50,"Medium",Table2[[#This Row],[Spending Score (1-100)]]&lt;=75,"High",Table2[[#This Row],[Spending Score (1-100)]]&lt;=100,"Very High")</f>
        <v>Very High</v>
      </c>
      <c r="H1369" t="s">
        <v>12</v>
      </c>
      <c r="I1369">
        <v>0</v>
      </c>
      <c r="J1369" t="str">
        <f>CONCATENATE(Table2[[#This Row],[Work Experience]],"years")</f>
        <v>0years</v>
      </c>
      <c r="K1369" t="str">
        <f>CONCATENATE(Table2[[#This Row],[Family Size2]],"members")</f>
        <v>3members</v>
      </c>
      <c r="L1369" t="str">
        <f>CONCATENATE(Table2[[#This Row],[Family Size2]],"members")</f>
        <v>3members</v>
      </c>
      <c r="M1369">
        <v>3</v>
      </c>
    </row>
    <row r="1370" spans="1:13">
      <c r="A1370">
        <v>1369</v>
      </c>
      <c r="B1370" t="s">
        <v>11</v>
      </c>
      <c r="C1370">
        <v>31</v>
      </c>
      <c r="D1370" t="str" cm="1">
        <f t="array" ref="D1370">_xlfn.IFS(Table2[[#This Row],[Age]]&lt;=11,"Gen A",Table2[[#This Row],[Age]]&lt;=27,"Gen Z",Table2[[#This Row],[Age]]&lt;=43,"Millenials",Table2[[#This Row],[Age]]&lt;=59,"Gen X",Table2[[#This Row],[Age]]&lt;=78,"Baby Boomers",Table2[[#This Row],[Age]]&lt;=96,"Silent",Table2[[#This Row],[Age]]&gt;=97,"Greatest")</f>
        <v>Millenials</v>
      </c>
      <c r="E1370" s="1">
        <v>138644</v>
      </c>
      <c r="F1370">
        <v>94</v>
      </c>
      <c r="G1370" t="str" cm="1">
        <f t="array" ref="G1370">_xlfn.IFS(Table2[[#This Row],[Spending Score (1-100)]]&lt;=25,"Low",Table2[[#This Row],[Spending Score (1-100)]]&lt;=50,"Medium",Table2[[#This Row],[Spending Score (1-100)]]&lt;=75,"High",Table2[[#This Row],[Spending Score (1-100)]]&lt;=100,"Very High")</f>
        <v>Very High</v>
      </c>
      <c r="H1370" t="s">
        <v>10</v>
      </c>
      <c r="I1370">
        <v>4</v>
      </c>
      <c r="J1370" t="str">
        <f>CONCATENATE(Table2[[#This Row],[Work Experience]],"years")</f>
        <v>4years</v>
      </c>
      <c r="K1370" t="str">
        <f>CONCATENATE(Table2[[#This Row],[Family Size2]],"members")</f>
        <v>3members</v>
      </c>
      <c r="L1370" t="str">
        <f>CONCATENATE(Table2[[#This Row],[Family Size2]],"members")</f>
        <v>3members</v>
      </c>
      <c r="M1370">
        <v>3</v>
      </c>
    </row>
    <row r="1371" spans="1:13">
      <c r="A1371">
        <v>1370</v>
      </c>
      <c r="B1371" t="s">
        <v>8</v>
      </c>
      <c r="C1371">
        <v>97</v>
      </c>
      <c r="D1371" t="str" cm="1">
        <f t="array" ref="D1371">_xlfn.IFS(Table2[[#This Row],[Age]]&lt;=11,"Gen A",Table2[[#This Row],[Age]]&lt;=27,"Gen Z",Table2[[#This Row],[Age]]&lt;=43,"Millenials",Table2[[#This Row],[Age]]&lt;=59,"Gen X",Table2[[#This Row],[Age]]&lt;=78,"Baby Boomers",Table2[[#This Row],[Age]]&lt;=96,"Silent",Table2[[#This Row],[Age]]&gt;=97,"Greatest")</f>
        <v>Greatest</v>
      </c>
      <c r="E1371" s="1">
        <v>148493</v>
      </c>
      <c r="F1371">
        <v>42</v>
      </c>
      <c r="G1371" t="str" cm="1">
        <f t="array" ref="G1371">_xlfn.IFS(Table2[[#This Row],[Spending Score (1-100)]]&lt;=25,"Low",Table2[[#This Row],[Spending Score (1-100)]]&lt;=50,"Medium",Table2[[#This Row],[Spending Score (1-100)]]&lt;=75,"High",Table2[[#This Row],[Spending Score (1-100)]]&lt;=100,"Very High")</f>
        <v>Medium</v>
      </c>
      <c r="H1371" t="s">
        <v>16</v>
      </c>
      <c r="I1371">
        <v>4</v>
      </c>
      <c r="J1371" t="str">
        <f>CONCATENATE(Table2[[#This Row],[Work Experience]],"years")</f>
        <v>4years</v>
      </c>
      <c r="K1371" t="str">
        <f>CONCATENATE(Table2[[#This Row],[Family Size2]],"members")</f>
        <v>7members</v>
      </c>
      <c r="L1371" t="str">
        <f>CONCATENATE(Table2[[#This Row],[Family Size2]],"members")</f>
        <v>7members</v>
      </c>
      <c r="M1371">
        <v>7</v>
      </c>
    </row>
    <row r="1372" spans="1:13">
      <c r="A1372">
        <v>1371</v>
      </c>
      <c r="B1372" t="s">
        <v>8</v>
      </c>
      <c r="C1372">
        <v>27</v>
      </c>
      <c r="D1372" t="str" cm="1">
        <f t="array" ref="D1372">_xlfn.IFS(Table2[[#This Row],[Age]]&lt;=11,"Gen A",Table2[[#This Row],[Age]]&lt;=27,"Gen Z",Table2[[#This Row],[Age]]&lt;=43,"Millenials",Table2[[#This Row],[Age]]&lt;=59,"Gen X",Table2[[#This Row],[Age]]&lt;=78,"Baby Boomers",Table2[[#This Row],[Age]]&lt;=96,"Silent",Table2[[#This Row],[Age]]&gt;=97,"Greatest")</f>
        <v>Gen Z</v>
      </c>
      <c r="E1372" s="1">
        <v>84658</v>
      </c>
      <c r="F1372">
        <v>66</v>
      </c>
      <c r="G1372" t="str" cm="1">
        <f t="array" ref="G1372">_xlfn.IFS(Table2[[#This Row],[Spending Score (1-100)]]&lt;=25,"Low",Table2[[#This Row],[Spending Score (1-100)]]&lt;=50,"Medium",Table2[[#This Row],[Spending Score (1-100)]]&lt;=75,"High",Table2[[#This Row],[Spending Score (1-100)]]&lt;=100,"Very High")</f>
        <v>High</v>
      </c>
      <c r="H1372" t="s">
        <v>12</v>
      </c>
      <c r="I1372">
        <v>4</v>
      </c>
      <c r="J1372" t="str">
        <f>CONCATENATE(Table2[[#This Row],[Work Experience]],"years")</f>
        <v>4years</v>
      </c>
      <c r="K1372" t="str">
        <f>CONCATENATE(Table2[[#This Row],[Family Size2]],"members")</f>
        <v>6members</v>
      </c>
      <c r="L1372" t="str">
        <f>CONCATENATE(Table2[[#This Row],[Family Size2]],"members")</f>
        <v>6members</v>
      </c>
      <c r="M1372">
        <v>6</v>
      </c>
    </row>
    <row r="1373" spans="1:13">
      <c r="A1373">
        <v>1372</v>
      </c>
      <c r="B1373" t="s">
        <v>8</v>
      </c>
      <c r="C1373">
        <v>2</v>
      </c>
      <c r="D1373" t="str" cm="1">
        <f t="array" ref="D1373">_xlfn.IFS(Table2[[#This Row],[Age]]&lt;=11,"Gen A",Table2[[#This Row],[Age]]&lt;=27,"Gen Z",Table2[[#This Row],[Age]]&lt;=43,"Millenials",Table2[[#This Row],[Age]]&lt;=59,"Gen X",Table2[[#This Row],[Age]]&lt;=78,"Baby Boomers",Table2[[#This Row],[Age]]&lt;=96,"Silent",Table2[[#This Row],[Age]]&gt;=97,"Greatest")</f>
        <v>Gen A</v>
      </c>
      <c r="E1373" s="1">
        <v>111618</v>
      </c>
      <c r="F1373">
        <v>99</v>
      </c>
      <c r="G1373" t="str" cm="1">
        <f t="array" ref="G1373">_xlfn.IFS(Table2[[#This Row],[Spending Score (1-100)]]&lt;=25,"Low",Table2[[#This Row],[Spending Score (1-100)]]&lt;=50,"Medium",Table2[[#This Row],[Spending Score (1-100)]]&lt;=75,"High",Table2[[#This Row],[Spending Score (1-100)]]&lt;=100,"Very High")</f>
        <v>Very High</v>
      </c>
      <c r="H1373" t="s">
        <v>12</v>
      </c>
      <c r="I1373">
        <v>6</v>
      </c>
      <c r="J1373" t="str">
        <f>CONCATENATE(Table2[[#This Row],[Work Experience]],"years")</f>
        <v>6years</v>
      </c>
      <c r="K1373" t="str">
        <f>CONCATENATE(Table2[[#This Row],[Family Size2]],"members")</f>
        <v>5members</v>
      </c>
      <c r="L1373" t="str">
        <f>CONCATENATE(Table2[[#This Row],[Family Size2]],"members")</f>
        <v>5members</v>
      </c>
      <c r="M1373">
        <v>5</v>
      </c>
    </row>
    <row r="1374" spans="1:13">
      <c r="A1374">
        <v>1373</v>
      </c>
      <c r="B1374" t="s">
        <v>8</v>
      </c>
      <c r="C1374">
        <v>81</v>
      </c>
      <c r="D1374" t="str" cm="1">
        <f t="array" ref="D1374">_xlfn.IFS(Table2[[#This Row],[Age]]&lt;=11,"Gen A",Table2[[#This Row],[Age]]&lt;=27,"Gen Z",Table2[[#This Row],[Age]]&lt;=43,"Millenials",Table2[[#This Row],[Age]]&lt;=59,"Gen X",Table2[[#This Row],[Age]]&lt;=78,"Baby Boomers",Table2[[#This Row],[Age]]&lt;=96,"Silent",Table2[[#This Row],[Age]]&gt;=97,"Greatest")</f>
        <v>Silent</v>
      </c>
      <c r="E1374" s="1">
        <v>108759</v>
      </c>
      <c r="F1374">
        <v>60</v>
      </c>
      <c r="G1374" t="str" cm="1">
        <f t="array" ref="G1374">_xlfn.IFS(Table2[[#This Row],[Spending Score (1-100)]]&lt;=25,"Low",Table2[[#This Row],[Spending Score (1-100)]]&lt;=50,"Medium",Table2[[#This Row],[Spending Score (1-100)]]&lt;=75,"High",Table2[[#This Row],[Spending Score (1-100)]]&lt;=100,"Very High")</f>
        <v>High</v>
      </c>
      <c r="H1374" t="s">
        <v>14</v>
      </c>
      <c r="I1374">
        <v>7</v>
      </c>
      <c r="J1374" t="str">
        <f>CONCATENATE(Table2[[#This Row],[Work Experience]],"years")</f>
        <v>7years</v>
      </c>
      <c r="K1374" t="str">
        <f>CONCATENATE(Table2[[#This Row],[Family Size2]],"members")</f>
        <v>6members</v>
      </c>
      <c r="L1374" t="str">
        <f>CONCATENATE(Table2[[#This Row],[Family Size2]],"members")</f>
        <v>6members</v>
      </c>
      <c r="M1374">
        <v>6</v>
      </c>
    </row>
    <row r="1375" spans="1:13">
      <c r="A1375">
        <v>1374</v>
      </c>
      <c r="B1375" t="s">
        <v>8</v>
      </c>
      <c r="C1375">
        <v>64</v>
      </c>
      <c r="D1375" t="str" cm="1">
        <f t="array" ref="D1375">_xlfn.IFS(Table2[[#This Row],[Age]]&lt;=11,"Gen A",Table2[[#This Row],[Age]]&lt;=27,"Gen Z",Table2[[#This Row],[Age]]&lt;=43,"Millenials",Table2[[#This Row],[Age]]&lt;=59,"Gen X",Table2[[#This Row],[Age]]&lt;=78,"Baby Boomers",Table2[[#This Row],[Age]]&lt;=96,"Silent",Table2[[#This Row],[Age]]&gt;=97,"Greatest")</f>
        <v>Baby Boomers</v>
      </c>
      <c r="E1375" s="1">
        <v>186203</v>
      </c>
      <c r="F1375">
        <v>73</v>
      </c>
      <c r="G1375" t="str" cm="1">
        <f t="array" ref="G1375">_xlfn.IFS(Table2[[#This Row],[Spending Score (1-100)]]&lt;=25,"Low",Table2[[#This Row],[Spending Score (1-100)]]&lt;=50,"Medium",Table2[[#This Row],[Spending Score (1-100)]]&lt;=75,"High",Table2[[#This Row],[Spending Score (1-100)]]&lt;=100,"Very High")</f>
        <v>High</v>
      </c>
      <c r="H1375" t="s">
        <v>14</v>
      </c>
      <c r="I1375">
        <v>10</v>
      </c>
      <c r="J1375" t="str">
        <f>CONCATENATE(Table2[[#This Row],[Work Experience]],"years")</f>
        <v>10years</v>
      </c>
      <c r="K1375" t="str">
        <f>CONCATENATE(Table2[[#This Row],[Family Size2]],"members")</f>
        <v>5members</v>
      </c>
      <c r="L1375" t="str">
        <f>CONCATENATE(Table2[[#This Row],[Family Size2]],"members")</f>
        <v>5members</v>
      </c>
      <c r="M1375">
        <v>5</v>
      </c>
    </row>
    <row r="1376" spans="1:13">
      <c r="A1376">
        <v>1375</v>
      </c>
      <c r="B1376" t="s">
        <v>11</v>
      </c>
      <c r="C1376">
        <v>11</v>
      </c>
      <c r="D1376" t="str" cm="1">
        <f t="array" ref="D1376">_xlfn.IFS(Table2[[#This Row],[Age]]&lt;=11,"Gen A",Table2[[#This Row],[Age]]&lt;=27,"Gen Z",Table2[[#This Row],[Age]]&lt;=43,"Millenials",Table2[[#This Row],[Age]]&lt;=59,"Gen X",Table2[[#This Row],[Age]]&lt;=78,"Baby Boomers",Table2[[#This Row],[Age]]&lt;=96,"Silent",Table2[[#This Row],[Age]]&gt;=97,"Greatest")</f>
        <v>Gen A</v>
      </c>
      <c r="E1376" s="1">
        <v>147258</v>
      </c>
      <c r="F1376">
        <v>59</v>
      </c>
      <c r="G1376" t="str" cm="1">
        <f t="array" ref="G1376">_xlfn.IFS(Table2[[#This Row],[Spending Score (1-100)]]&lt;=25,"Low",Table2[[#This Row],[Spending Score (1-100)]]&lt;=50,"Medium",Table2[[#This Row],[Spending Score (1-100)]]&lt;=75,"High",Table2[[#This Row],[Spending Score (1-100)]]&lt;=100,"Very High")</f>
        <v>High</v>
      </c>
      <c r="H1376" t="s">
        <v>12</v>
      </c>
      <c r="I1376">
        <v>10</v>
      </c>
      <c r="J1376" t="str">
        <f>CONCATENATE(Table2[[#This Row],[Work Experience]],"years")</f>
        <v>10years</v>
      </c>
      <c r="K1376" t="str">
        <f>CONCATENATE(Table2[[#This Row],[Family Size2]],"members")</f>
        <v>2members</v>
      </c>
      <c r="L1376" t="str">
        <f>CONCATENATE(Table2[[#This Row],[Family Size2]],"members")</f>
        <v>2members</v>
      </c>
      <c r="M1376">
        <v>2</v>
      </c>
    </row>
    <row r="1377" spans="1:13">
      <c r="A1377">
        <v>1376</v>
      </c>
      <c r="B1377" t="s">
        <v>11</v>
      </c>
      <c r="C1377">
        <v>78</v>
      </c>
      <c r="D1377" t="str" cm="1">
        <f t="array" ref="D1377">_xlfn.IFS(Table2[[#This Row],[Age]]&lt;=11,"Gen A",Table2[[#This Row],[Age]]&lt;=27,"Gen Z",Table2[[#This Row],[Age]]&lt;=43,"Millenials",Table2[[#This Row],[Age]]&lt;=59,"Gen X",Table2[[#This Row],[Age]]&lt;=78,"Baby Boomers",Table2[[#This Row],[Age]]&lt;=96,"Silent",Table2[[#This Row],[Age]]&gt;=97,"Greatest")</f>
        <v>Baby Boomers</v>
      </c>
      <c r="E1377" s="1">
        <v>132983</v>
      </c>
      <c r="F1377">
        <v>67</v>
      </c>
      <c r="G1377" t="str" cm="1">
        <f t="array" ref="G1377">_xlfn.IFS(Table2[[#This Row],[Spending Score (1-100)]]&lt;=25,"Low",Table2[[#This Row],[Spending Score (1-100)]]&lt;=50,"Medium",Table2[[#This Row],[Spending Score (1-100)]]&lt;=75,"High",Table2[[#This Row],[Spending Score (1-100)]]&lt;=100,"Very High")</f>
        <v>High</v>
      </c>
      <c r="H1377" t="s">
        <v>9</v>
      </c>
      <c r="I1377">
        <v>7</v>
      </c>
      <c r="J1377" t="str">
        <f>CONCATENATE(Table2[[#This Row],[Work Experience]],"years")</f>
        <v>7years</v>
      </c>
      <c r="K1377" t="str">
        <f>CONCATENATE(Table2[[#This Row],[Family Size2]],"members")</f>
        <v>7members</v>
      </c>
      <c r="L1377" t="str">
        <f>CONCATENATE(Table2[[#This Row],[Family Size2]],"members")</f>
        <v>7members</v>
      </c>
      <c r="M1377">
        <v>7</v>
      </c>
    </row>
    <row r="1378" spans="1:13">
      <c r="A1378">
        <v>1377</v>
      </c>
      <c r="B1378" t="s">
        <v>8</v>
      </c>
      <c r="C1378">
        <v>72</v>
      </c>
      <c r="D1378" t="str" cm="1">
        <f t="array" ref="D1378">_xlfn.IFS(Table2[[#This Row],[Age]]&lt;=11,"Gen A",Table2[[#This Row],[Age]]&lt;=27,"Gen Z",Table2[[#This Row],[Age]]&lt;=43,"Millenials",Table2[[#This Row],[Age]]&lt;=59,"Gen X",Table2[[#This Row],[Age]]&lt;=78,"Baby Boomers",Table2[[#This Row],[Age]]&lt;=96,"Silent",Table2[[#This Row],[Age]]&gt;=97,"Greatest")</f>
        <v>Baby Boomers</v>
      </c>
      <c r="E1378" s="1">
        <v>149092</v>
      </c>
      <c r="F1378">
        <v>39</v>
      </c>
      <c r="G1378" t="str" cm="1">
        <f t="array" ref="G1378">_xlfn.IFS(Table2[[#This Row],[Spending Score (1-100)]]&lt;=25,"Low",Table2[[#This Row],[Spending Score (1-100)]]&lt;=50,"Medium",Table2[[#This Row],[Spending Score (1-100)]]&lt;=75,"High",Table2[[#This Row],[Spending Score (1-100)]]&lt;=100,"Very High")</f>
        <v>Medium</v>
      </c>
      <c r="H1378" t="s">
        <v>10</v>
      </c>
      <c r="I1378">
        <v>8</v>
      </c>
      <c r="J1378" t="str">
        <f>CONCATENATE(Table2[[#This Row],[Work Experience]],"years")</f>
        <v>8years</v>
      </c>
      <c r="K1378" t="str">
        <f>CONCATENATE(Table2[[#This Row],[Family Size2]],"members")</f>
        <v>1members</v>
      </c>
      <c r="L1378" t="str">
        <f>CONCATENATE(Table2[[#This Row],[Family Size2]],"members")</f>
        <v>1members</v>
      </c>
      <c r="M1378">
        <v>1</v>
      </c>
    </row>
    <row r="1379" spans="1:13">
      <c r="A1379">
        <v>1378</v>
      </c>
      <c r="B1379" t="s">
        <v>8</v>
      </c>
      <c r="C1379">
        <v>36</v>
      </c>
      <c r="D1379" t="str" cm="1">
        <f t="array" ref="D1379">_xlfn.IFS(Table2[[#This Row],[Age]]&lt;=11,"Gen A",Table2[[#This Row],[Age]]&lt;=27,"Gen Z",Table2[[#This Row],[Age]]&lt;=43,"Millenials",Table2[[#This Row],[Age]]&lt;=59,"Gen X",Table2[[#This Row],[Age]]&lt;=78,"Baby Boomers",Table2[[#This Row],[Age]]&lt;=96,"Silent",Table2[[#This Row],[Age]]&gt;=97,"Greatest")</f>
        <v>Millenials</v>
      </c>
      <c r="E1379" s="1">
        <v>163845</v>
      </c>
      <c r="F1379">
        <v>84</v>
      </c>
      <c r="G1379" t="str" cm="1">
        <f t="array" ref="G1379">_xlfn.IFS(Table2[[#This Row],[Spending Score (1-100)]]&lt;=25,"Low",Table2[[#This Row],[Spending Score (1-100)]]&lt;=50,"Medium",Table2[[#This Row],[Spending Score (1-100)]]&lt;=75,"High",Table2[[#This Row],[Spending Score (1-100)]]&lt;=100,"Very High")</f>
        <v>Very High</v>
      </c>
      <c r="H1379" t="s">
        <v>16</v>
      </c>
      <c r="I1379">
        <v>5</v>
      </c>
      <c r="J1379" t="str">
        <f>CONCATENATE(Table2[[#This Row],[Work Experience]],"years")</f>
        <v>5years</v>
      </c>
      <c r="K1379" t="str">
        <f>CONCATENATE(Table2[[#This Row],[Family Size2]],"members")</f>
        <v>7members</v>
      </c>
      <c r="L1379" t="str">
        <f>CONCATENATE(Table2[[#This Row],[Family Size2]],"members")</f>
        <v>7members</v>
      </c>
      <c r="M1379">
        <v>7</v>
      </c>
    </row>
    <row r="1380" spans="1:13">
      <c r="A1380">
        <v>1379</v>
      </c>
      <c r="B1380" t="s">
        <v>8</v>
      </c>
      <c r="C1380">
        <v>97</v>
      </c>
      <c r="D1380" t="str" cm="1">
        <f t="array" ref="D1380">_xlfn.IFS(Table2[[#This Row],[Age]]&lt;=11,"Gen A",Table2[[#This Row],[Age]]&lt;=27,"Gen Z",Table2[[#This Row],[Age]]&lt;=43,"Millenials",Table2[[#This Row],[Age]]&lt;=59,"Gen X",Table2[[#This Row],[Age]]&lt;=78,"Baby Boomers",Table2[[#This Row],[Age]]&lt;=96,"Silent",Table2[[#This Row],[Age]]&gt;=97,"Greatest")</f>
        <v>Greatest</v>
      </c>
      <c r="E1380" s="1">
        <v>117777</v>
      </c>
      <c r="F1380">
        <v>67</v>
      </c>
      <c r="G1380" t="str" cm="1">
        <f t="array" ref="G1380">_xlfn.IFS(Table2[[#This Row],[Spending Score (1-100)]]&lt;=25,"Low",Table2[[#This Row],[Spending Score (1-100)]]&lt;=50,"Medium",Table2[[#This Row],[Spending Score (1-100)]]&lt;=75,"High",Table2[[#This Row],[Spending Score (1-100)]]&lt;=100,"Very High")</f>
        <v>High</v>
      </c>
      <c r="H1380" t="s">
        <v>14</v>
      </c>
      <c r="I1380">
        <v>5</v>
      </c>
      <c r="J1380" t="str">
        <f>CONCATENATE(Table2[[#This Row],[Work Experience]],"years")</f>
        <v>5years</v>
      </c>
      <c r="K1380" t="str">
        <f>CONCATENATE(Table2[[#This Row],[Family Size2]],"members")</f>
        <v>5members</v>
      </c>
      <c r="L1380" t="str">
        <f>CONCATENATE(Table2[[#This Row],[Family Size2]],"members")</f>
        <v>5members</v>
      </c>
      <c r="M1380">
        <v>5</v>
      </c>
    </row>
    <row r="1381" spans="1:13">
      <c r="A1381">
        <v>1380</v>
      </c>
      <c r="B1381" t="s">
        <v>8</v>
      </c>
      <c r="C1381">
        <v>88</v>
      </c>
      <c r="D1381" t="str" cm="1">
        <f t="array" ref="D1381">_xlfn.IFS(Table2[[#This Row],[Age]]&lt;=11,"Gen A",Table2[[#This Row],[Age]]&lt;=27,"Gen Z",Table2[[#This Row],[Age]]&lt;=43,"Millenials",Table2[[#This Row],[Age]]&lt;=59,"Gen X",Table2[[#This Row],[Age]]&lt;=78,"Baby Boomers",Table2[[#This Row],[Age]]&lt;=96,"Silent",Table2[[#This Row],[Age]]&gt;=97,"Greatest")</f>
        <v>Silent</v>
      </c>
      <c r="E1381" s="1">
        <v>131584</v>
      </c>
      <c r="F1381">
        <v>18</v>
      </c>
      <c r="G1381" t="str" cm="1">
        <f t="array" ref="G1381">_xlfn.IFS(Table2[[#This Row],[Spending Score (1-100)]]&lt;=25,"Low",Table2[[#This Row],[Spending Score (1-100)]]&lt;=50,"Medium",Table2[[#This Row],[Spending Score (1-100)]]&lt;=75,"High",Table2[[#This Row],[Spending Score (1-100)]]&lt;=100,"Very High")</f>
        <v>Low</v>
      </c>
      <c r="H1381" t="s">
        <v>14</v>
      </c>
      <c r="I1381">
        <v>7</v>
      </c>
      <c r="J1381" t="str">
        <f>CONCATENATE(Table2[[#This Row],[Work Experience]],"years")</f>
        <v>7years</v>
      </c>
      <c r="K1381" t="str">
        <f>CONCATENATE(Table2[[#This Row],[Family Size2]],"members")</f>
        <v>3members</v>
      </c>
      <c r="L1381" t="str">
        <f>CONCATENATE(Table2[[#This Row],[Family Size2]],"members")</f>
        <v>3members</v>
      </c>
      <c r="M1381">
        <v>3</v>
      </c>
    </row>
    <row r="1382" spans="1:13">
      <c r="A1382">
        <v>1381</v>
      </c>
      <c r="B1382" t="s">
        <v>11</v>
      </c>
      <c r="C1382">
        <v>21</v>
      </c>
      <c r="D1382" t="str" cm="1">
        <f t="array" ref="D1382">_xlfn.IFS(Table2[[#This Row],[Age]]&lt;=11,"Gen A",Table2[[#This Row],[Age]]&lt;=27,"Gen Z",Table2[[#This Row],[Age]]&lt;=43,"Millenials",Table2[[#This Row],[Age]]&lt;=59,"Gen X",Table2[[#This Row],[Age]]&lt;=78,"Baby Boomers",Table2[[#This Row],[Age]]&lt;=96,"Silent",Table2[[#This Row],[Age]]&gt;=97,"Greatest")</f>
        <v>Gen Z</v>
      </c>
      <c r="E1382" s="1">
        <v>123904</v>
      </c>
      <c r="F1382">
        <v>91</v>
      </c>
      <c r="G1382" t="str" cm="1">
        <f t="array" ref="G1382">_xlfn.IFS(Table2[[#This Row],[Spending Score (1-100)]]&lt;=25,"Low",Table2[[#This Row],[Spending Score (1-100)]]&lt;=50,"Medium",Table2[[#This Row],[Spending Score (1-100)]]&lt;=75,"High",Table2[[#This Row],[Spending Score (1-100)]]&lt;=100,"Very High")</f>
        <v>Very High</v>
      </c>
      <c r="H1382" t="s">
        <v>14</v>
      </c>
      <c r="I1382">
        <v>7</v>
      </c>
      <c r="J1382" t="str">
        <f>CONCATENATE(Table2[[#This Row],[Work Experience]],"years")</f>
        <v>7years</v>
      </c>
      <c r="K1382" t="str">
        <f>CONCATENATE(Table2[[#This Row],[Family Size2]],"members")</f>
        <v>5members</v>
      </c>
      <c r="L1382" t="str">
        <f>CONCATENATE(Table2[[#This Row],[Family Size2]],"members")</f>
        <v>5members</v>
      </c>
      <c r="M1382">
        <v>5</v>
      </c>
    </row>
    <row r="1383" spans="1:13">
      <c r="A1383">
        <v>1382</v>
      </c>
      <c r="B1383" t="s">
        <v>11</v>
      </c>
      <c r="C1383">
        <v>62</v>
      </c>
      <c r="D1383" t="str" cm="1">
        <f t="array" ref="D1383">_xlfn.IFS(Table2[[#This Row],[Age]]&lt;=11,"Gen A",Table2[[#This Row],[Age]]&lt;=27,"Gen Z",Table2[[#This Row],[Age]]&lt;=43,"Millenials",Table2[[#This Row],[Age]]&lt;=59,"Gen X",Table2[[#This Row],[Age]]&lt;=78,"Baby Boomers",Table2[[#This Row],[Age]]&lt;=96,"Silent",Table2[[#This Row],[Age]]&gt;=97,"Greatest")</f>
        <v>Baby Boomers</v>
      </c>
      <c r="E1383" s="1">
        <v>89801</v>
      </c>
      <c r="F1383">
        <v>88</v>
      </c>
      <c r="G1383" t="str" cm="1">
        <f t="array" ref="G1383">_xlfn.IFS(Table2[[#This Row],[Spending Score (1-100)]]&lt;=25,"Low",Table2[[#This Row],[Spending Score (1-100)]]&lt;=50,"Medium",Table2[[#This Row],[Spending Score (1-100)]]&lt;=75,"High",Table2[[#This Row],[Spending Score (1-100)]]&lt;=100,"Very High")</f>
        <v>Very High</v>
      </c>
      <c r="H1383" t="s">
        <v>14</v>
      </c>
      <c r="I1383">
        <v>5</v>
      </c>
      <c r="J1383" t="str">
        <f>CONCATENATE(Table2[[#This Row],[Work Experience]],"years")</f>
        <v>5years</v>
      </c>
      <c r="K1383" t="str">
        <f>CONCATENATE(Table2[[#This Row],[Family Size2]],"members")</f>
        <v>4members</v>
      </c>
      <c r="L1383" t="str">
        <f>CONCATENATE(Table2[[#This Row],[Family Size2]],"members")</f>
        <v>4members</v>
      </c>
      <c r="M1383">
        <v>4</v>
      </c>
    </row>
    <row r="1384" spans="1:13">
      <c r="A1384">
        <v>1383</v>
      </c>
      <c r="B1384" t="s">
        <v>8</v>
      </c>
      <c r="C1384">
        <v>73</v>
      </c>
      <c r="D1384" t="str" cm="1">
        <f t="array" ref="D1384">_xlfn.IFS(Table2[[#This Row],[Age]]&lt;=11,"Gen A",Table2[[#This Row],[Age]]&lt;=27,"Gen Z",Table2[[#This Row],[Age]]&lt;=43,"Millenials",Table2[[#This Row],[Age]]&lt;=59,"Gen X",Table2[[#This Row],[Age]]&lt;=78,"Baby Boomers",Table2[[#This Row],[Age]]&lt;=96,"Silent",Table2[[#This Row],[Age]]&gt;=97,"Greatest")</f>
        <v>Baby Boomers</v>
      </c>
      <c r="E1384" s="1">
        <v>173466</v>
      </c>
      <c r="F1384">
        <v>57</v>
      </c>
      <c r="G1384" t="str" cm="1">
        <f t="array" ref="G1384">_xlfn.IFS(Table2[[#This Row],[Spending Score (1-100)]]&lt;=25,"Low",Table2[[#This Row],[Spending Score (1-100)]]&lt;=50,"Medium",Table2[[#This Row],[Spending Score (1-100)]]&lt;=75,"High",Table2[[#This Row],[Spending Score (1-100)]]&lt;=100,"Very High")</f>
        <v>High</v>
      </c>
      <c r="H1384" t="s">
        <v>13</v>
      </c>
      <c r="I1384">
        <v>10</v>
      </c>
      <c r="J1384" t="str">
        <f>CONCATENATE(Table2[[#This Row],[Work Experience]],"years")</f>
        <v>10years</v>
      </c>
      <c r="K1384" t="str">
        <f>CONCATENATE(Table2[[#This Row],[Family Size2]],"members")</f>
        <v>5members</v>
      </c>
      <c r="L1384" t="str">
        <f>CONCATENATE(Table2[[#This Row],[Family Size2]],"members")</f>
        <v>5members</v>
      </c>
      <c r="M1384">
        <v>5</v>
      </c>
    </row>
    <row r="1385" spans="1:13">
      <c r="A1385">
        <v>1384</v>
      </c>
      <c r="B1385" t="s">
        <v>11</v>
      </c>
      <c r="C1385">
        <v>34</v>
      </c>
      <c r="D1385" t="str" cm="1">
        <f t="array" ref="D1385">_xlfn.IFS(Table2[[#This Row],[Age]]&lt;=11,"Gen A",Table2[[#This Row],[Age]]&lt;=27,"Gen Z",Table2[[#This Row],[Age]]&lt;=43,"Millenials",Table2[[#This Row],[Age]]&lt;=59,"Gen X",Table2[[#This Row],[Age]]&lt;=78,"Baby Boomers",Table2[[#This Row],[Age]]&lt;=96,"Silent",Table2[[#This Row],[Age]]&gt;=97,"Greatest")</f>
        <v>Millenials</v>
      </c>
      <c r="E1385" s="1">
        <v>55690</v>
      </c>
      <c r="F1385">
        <v>4</v>
      </c>
      <c r="G1385" t="str" cm="1">
        <f t="array" ref="G1385">_xlfn.IFS(Table2[[#This Row],[Spending Score (1-100)]]&lt;=25,"Low",Table2[[#This Row],[Spending Score (1-100)]]&lt;=50,"Medium",Table2[[#This Row],[Spending Score (1-100)]]&lt;=75,"High",Table2[[#This Row],[Spending Score (1-100)]]&lt;=100,"Very High")</f>
        <v>Low</v>
      </c>
      <c r="H1385" t="s">
        <v>18</v>
      </c>
      <c r="I1385">
        <v>4</v>
      </c>
      <c r="J1385" t="str">
        <f>CONCATENATE(Table2[[#This Row],[Work Experience]],"years")</f>
        <v>4years</v>
      </c>
      <c r="K1385" t="str">
        <f>CONCATENATE(Table2[[#This Row],[Family Size2]],"members")</f>
        <v>6members</v>
      </c>
      <c r="L1385" t="str">
        <f>CONCATENATE(Table2[[#This Row],[Family Size2]],"members")</f>
        <v>6members</v>
      </c>
      <c r="M1385">
        <v>6</v>
      </c>
    </row>
    <row r="1386" spans="1:13">
      <c r="A1386">
        <v>1385</v>
      </c>
      <c r="B1386" t="s">
        <v>11</v>
      </c>
      <c r="C1386">
        <v>50</v>
      </c>
      <c r="D1386" t="str" cm="1">
        <f t="array" ref="D1386">_xlfn.IFS(Table2[[#This Row],[Age]]&lt;=11,"Gen A",Table2[[#This Row],[Age]]&lt;=27,"Gen Z",Table2[[#This Row],[Age]]&lt;=43,"Millenials",Table2[[#This Row],[Age]]&lt;=59,"Gen X",Table2[[#This Row],[Age]]&lt;=78,"Baby Boomers",Table2[[#This Row],[Age]]&lt;=96,"Silent",Table2[[#This Row],[Age]]&gt;=97,"Greatest")</f>
        <v>Gen X</v>
      </c>
      <c r="E1386" s="1">
        <v>104467</v>
      </c>
      <c r="F1386">
        <v>72</v>
      </c>
      <c r="G1386" t="str" cm="1">
        <f t="array" ref="G1386">_xlfn.IFS(Table2[[#This Row],[Spending Score (1-100)]]&lt;=25,"Low",Table2[[#This Row],[Spending Score (1-100)]]&lt;=50,"Medium",Table2[[#This Row],[Spending Score (1-100)]]&lt;=75,"High",Table2[[#This Row],[Spending Score (1-100)]]&lt;=100,"Very High")</f>
        <v>High</v>
      </c>
      <c r="H1386" t="s">
        <v>19</v>
      </c>
      <c r="I1386">
        <v>5</v>
      </c>
      <c r="J1386" t="str">
        <f>CONCATENATE(Table2[[#This Row],[Work Experience]],"years")</f>
        <v>5years</v>
      </c>
      <c r="K1386" t="str">
        <f>CONCATENATE(Table2[[#This Row],[Family Size2]],"members")</f>
        <v>1members</v>
      </c>
      <c r="L1386" t="str">
        <f>CONCATENATE(Table2[[#This Row],[Family Size2]],"members")</f>
        <v>1members</v>
      </c>
      <c r="M1386">
        <v>1</v>
      </c>
    </row>
    <row r="1387" spans="1:13">
      <c r="A1387">
        <v>1386</v>
      </c>
      <c r="B1387" t="s">
        <v>8</v>
      </c>
      <c r="C1387">
        <v>39</v>
      </c>
      <c r="D1387" t="str" cm="1">
        <f t="array" ref="D1387">_xlfn.IFS(Table2[[#This Row],[Age]]&lt;=11,"Gen A",Table2[[#This Row],[Age]]&lt;=27,"Gen Z",Table2[[#This Row],[Age]]&lt;=43,"Millenials",Table2[[#This Row],[Age]]&lt;=59,"Gen X",Table2[[#This Row],[Age]]&lt;=78,"Baby Boomers",Table2[[#This Row],[Age]]&lt;=96,"Silent",Table2[[#This Row],[Age]]&gt;=97,"Greatest")</f>
        <v>Millenials</v>
      </c>
      <c r="E1387" s="1">
        <v>100419</v>
      </c>
      <c r="F1387">
        <v>19</v>
      </c>
      <c r="G1387" t="str" cm="1">
        <f t="array" ref="G1387">_xlfn.IFS(Table2[[#This Row],[Spending Score (1-100)]]&lt;=25,"Low",Table2[[#This Row],[Spending Score (1-100)]]&lt;=50,"Medium",Table2[[#This Row],[Spending Score (1-100)]]&lt;=75,"High",Table2[[#This Row],[Spending Score (1-100)]]&lt;=100,"Very High")</f>
        <v>Low</v>
      </c>
      <c r="H1387" t="s">
        <v>14</v>
      </c>
      <c r="I1387">
        <v>5</v>
      </c>
      <c r="J1387" t="str">
        <f>CONCATENATE(Table2[[#This Row],[Work Experience]],"years")</f>
        <v>5years</v>
      </c>
      <c r="K1387" t="str">
        <f>CONCATENATE(Table2[[#This Row],[Family Size2]],"members")</f>
        <v>4members</v>
      </c>
      <c r="L1387" t="str">
        <f>CONCATENATE(Table2[[#This Row],[Family Size2]],"members")</f>
        <v>4members</v>
      </c>
      <c r="M1387">
        <v>4</v>
      </c>
    </row>
    <row r="1388" spans="1:13">
      <c r="A1388">
        <v>1387</v>
      </c>
      <c r="B1388" t="s">
        <v>11</v>
      </c>
      <c r="C1388">
        <v>82</v>
      </c>
      <c r="D1388" t="str" cm="1">
        <f t="array" ref="D1388">_xlfn.IFS(Table2[[#This Row],[Age]]&lt;=11,"Gen A",Table2[[#This Row],[Age]]&lt;=27,"Gen Z",Table2[[#This Row],[Age]]&lt;=43,"Millenials",Table2[[#This Row],[Age]]&lt;=59,"Gen X",Table2[[#This Row],[Age]]&lt;=78,"Baby Boomers",Table2[[#This Row],[Age]]&lt;=96,"Silent",Table2[[#This Row],[Age]]&gt;=97,"Greatest")</f>
        <v>Silent</v>
      </c>
      <c r="E1388" s="1">
        <v>62951</v>
      </c>
      <c r="F1388">
        <v>47</v>
      </c>
      <c r="G1388" t="str" cm="1">
        <f t="array" ref="G1388">_xlfn.IFS(Table2[[#This Row],[Spending Score (1-100)]]&lt;=25,"Low",Table2[[#This Row],[Spending Score (1-100)]]&lt;=50,"Medium",Table2[[#This Row],[Spending Score (1-100)]]&lt;=75,"High",Table2[[#This Row],[Spending Score (1-100)]]&lt;=100,"Very High")</f>
        <v>Medium</v>
      </c>
      <c r="H1388" t="s">
        <v>12</v>
      </c>
      <c r="I1388">
        <v>8</v>
      </c>
      <c r="J1388" t="str">
        <f>CONCATENATE(Table2[[#This Row],[Work Experience]],"years")</f>
        <v>8years</v>
      </c>
      <c r="K1388" t="str">
        <f>CONCATENATE(Table2[[#This Row],[Family Size2]],"members")</f>
        <v>2members</v>
      </c>
      <c r="L1388" t="str">
        <f>CONCATENATE(Table2[[#This Row],[Family Size2]],"members")</f>
        <v>2members</v>
      </c>
      <c r="M1388">
        <v>2</v>
      </c>
    </row>
    <row r="1389" spans="1:13">
      <c r="A1389">
        <v>1388</v>
      </c>
      <c r="B1389" t="s">
        <v>8</v>
      </c>
      <c r="C1389">
        <v>39</v>
      </c>
      <c r="D1389" t="str" cm="1">
        <f t="array" ref="D1389">_xlfn.IFS(Table2[[#This Row],[Age]]&lt;=11,"Gen A",Table2[[#This Row],[Age]]&lt;=27,"Gen Z",Table2[[#This Row],[Age]]&lt;=43,"Millenials",Table2[[#This Row],[Age]]&lt;=59,"Gen X",Table2[[#This Row],[Age]]&lt;=78,"Baby Boomers",Table2[[#This Row],[Age]]&lt;=96,"Silent",Table2[[#This Row],[Age]]&gt;=97,"Greatest")</f>
        <v>Millenials</v>
      </c>
      <c r="E1389" s="1">
        <v>118554</v>
      </c>
      <c r="F1389">
        <v>1</v>
      </c>
      <c r="G1389" t="str" cm="1">
        <f t="array" ref="G1389">_xlfn.IFS(Table2[[#This Row],[Spending Score (1-100)]]&lt;=25,"Low",Table2[[#This Row],[Spending Score (1-100)]]&lt;=50,"Medium",Table2[[#This Row],[Spending Score (1-100)]]&lt;=75,"High",Table2[[#This Row],[Spending Score (1-100)]]&lt;=100,"Very High")</f>
        <v>Low</v>
      </c>
      <c r="H1389" t="s">
        <v>12</v>
      </c>
      <c r="I1389">
        <v>4</v>
      </c>
      <c r="J1389" t="str">
        <f>CONCATENATE(Table2[[#This Row],[Work Experience]],"years")</f>
        <v>4years</v>
      </c>
      <c r="K1389" t="str">
        <f>CONCATENATE(Table2[[#This Row],[Family Size2]],"members")</f>
        <v>6members</v>
      </c>
      <c r="L1389" t="str">
        <f>CONCATENATE(Table2[[#This Row],[Family Size2]],"members")</f>
        <v>6members</v>
      </c>
      <c r="M1389">
        <v>6</v>
      </c>
    </row>
    <row r="1390" spans="1:13">
      <c r="A1390">
        <v>1389</v>
      </c>
      <c r="B1390" t="s">
        <v>11</v>
      </c>
      <c r="C1390">
        <v>13</v>
      </c>
      <c r="D1390" t="str" cm="1">
        <f t="array" ref="D1390">_xlfn.IFS(Table2[[#This Row],[Age]]&lt;=11,"Gen A",Table2[[#This Row],[Age]]&lt;=27,"Gen Z",Table2[[#This Row],[Age]]&lt;=43,"Millenials",Table2[[#This Row],[Age]]&lt;=59,"Gen X",Table2[[#This Row],[Age]]&lt;=78,"Baby Boomers",Table2[[#This Row],[Age]]&lt;=96,"Silent",Table2[[#This Row],[Age]]&gt;=97,"Greatest")</f>
        <v>Gen Z</v>
      </c>
      <c r="E1390" s="1">
        <v>140673</v>
      </c>
      <c r="F1390">
        <v>49</v>
      </c>
      <c r="G1390" t="str" cm="1">
        <f t="array" ref="G1390">_xlfn.IFS(Table2[[#This Row],[Spending Score (1-100)]]&lt;=25,"Low",Table2[[#This Row],[Spending Score (1-100)]]&lt;=50,"Medium",Table2[[#This Row],[Spending Score (1-100)]]&lt;=75,"High",Table2[[#This Row],[Spending Score (1-100)]]&lt;=100,"Very High")</f>
        <v>Medium</v>
      </c>
      <c r="H1390" t="s">
        <v>14</v>
      </c>
      <c r="I1390">
        <v>6</v>
      </c>
      <c r="J1390" t="str">
        <f>CONCATENATE(Table2[[#This Row],[Work Experience]],"years")</f>
        <v>6years</v>
      </c>
      <c r="K1390" t="str">
        <f>CONCATENATE(Table2[[#This Row],[Family Size2]],"members")</f>
        <v>7members</v>
      </c>
      <c r="L1390" t="str">
        <f>CONCATENATE(Table2[[#This Row],[Family Size2]],"members")</f>
        <v>7members</v>
      </c>
      <c r="M1390">
        <v>7</v>
      </c>
    </row>
    <row r="1391" spans="1:13">
      <c r="A1391">
        <v>1390</v>
      </c>
      <c r="B1391" t="s">
        <v>11</v>
      </c>
      <c r="C1391">
        <v>68</v>
      </c>
      <c r="D1391" t="str" cm="1">
        <f t="array" ref="D1391">_xlfn.IFS(Table2[[#This Row],[Age]]&lt;=11,"Gen A",Table2[[#This Row],[Age]]&lt;=27,"Gen Z",Table2[[#This Row],[Age]]&lt;=43,"Millenials",Table2[[#This Row],[Age]]&lt;=59,"Gen X",Table2[[#This Row],[Age]]&lt;=78,"Baby Boomers",Table2[[#This Row],[Age]]&lt;=96,"Silent",Table2[[#This Row],[Age]]&gt;=97,"Greatest")</f>
        <v>Baby Boomers</v>
      </c>
      <c r="E1391" s="1">
        <v>75561</v>
      </c>
      <c r="F1391">
        <v>87</v>
      </c>
      <c r="G1391" t="str" cm="1">
        <f t="array" ref="G1391">_xlfn.IFS(Table2[[#This Row],[Spending Score (1-100)]]&lt;=25,"Low",Table2[[#This Row],[Spending Score (1-100)]]&lt;=50,"Medium",Table2[[#This Row],[Spending Score (1-100)]]&lt;=75,"High",Table2[[#This Row],[Spending Score (1-100)]]&lt;=100,"Very High")</f>
        <v>Very High</v>
      </c>
      <c r="H1391" t="s">
        <v>9</v>
      </c>
      <c r="I1391">
        <v>5</v>
      </c>
      <c r="J1391" t="str">
        <f>CONCATENATE(Table2[[#This Row],[Work Experience]],"years")</f>
        <v>5years</v>
      </c>
      <c r="K1391" t="str">
        <f>CONCATENATE(Table2[[#This Row],[Family Size2]],"members")</f>
        <v>3members</v>
      </c>
      <c r="L1391" t="str">
        <f>CONCATENATE(Table2[[#This Row],[Family Size2]],"members")</f>
        <v>3members</v>
      </c>
      <c r="M1391">
        <v>3</v>
      </c>
    </row>
    <row r="1392" spans="1:13">
      <c r="A1392">
        <v>1391</v>
      </c>
      <c r="B1392" t="s">
        <v>11</v>
      </c>
      <c r="C1392">
        <v>77</v>
      </c>
      <c r="D1392" t="str" cm="1">
        <f t="array" ref="D1392">_xlfn.IFS(Table2[[#This Row],[Age]]&lt;=11,"Gen A",Table2[[#This Row],[Age]]&lt;=27,"Gen Z",Table2[[#This Row],[Age]]&lt;=43,"Millenials",Table2[[#This Row],[Age]]&lt;=59,"Gen X",Table2[[#This Row],[Age]]&lt;=78,"Baby Boomers",Table2[[#This Row],[Age]]&lt;=96,"Silent",Table2[[#This Row],[Age]]&gt;=97,"Greatest")</f>
        <v>Baby Boomers</v>
      </c>
      <c r="E1392" s="1">
        <v>147306</v>
      </c>
      <c r="F1392">
        <v>50</v>
      </c>
      <c r="G1392" t="str" cm="1">
        <f t="array" ref="G1392">_xlfn.IFS(Table2[[#This Row],[Spending Score (1-100)]]&lt;=25,"Low",Table2[[#This Row],[Spending Score (1-100)]]&lt;=50,"Medium",Table2[[#This Row],[Spending Score (1-100)]]&lt;=75,"High",Table2[[#This Row],[Spending Score (1-100)]]&lt;=100,"Very High")</f>
        <v>Medium</v>
      </c>
      <c r="H1392" t="s">
        <v>9</v>
      </c>
      <c r="I1392">
        <v>6</v>
      </c>
      <c r="J1392" t="str">
        <f>CONCATENATE(Table2[[#This Row],[Work Experience]],"years")</f>
        <v>6years</v>
      </c>
      <c r="K1392" t="str">
        <f>CONCATENATE(Table2[[#This Row],[Family Size2]],"members")</f>
        <v>6members</v>
      </c>
      <c r="L1392" t="str">
        <f>CONCATENATE(Table2[[#This Row],[Family Size2]],"members")</f>
        <v>6members</v>
      </c>
      <c r="M1392">
        <v>6</v>
      </c>
    </row>
    <row r="1393" spans="1:13">
      <c r="A1393">
        <v>1392</v>
      </c>
      <c r="B1393" t="s">
        <v>11</v>
      </c>
      <c r="C1393">
        <v>35</v>
      </c>
      <c r="D1393" t="str" cm="1">
        <f t="array" ref="D1393">_xlfn.IFS(Table2[[#This Row],[Age]]&lt;=11,"Gen A",Table2[[#This Row],[Age]]&lt;=27,"Gen Z",Table2[[#This Row],[Age]]&lt;=43,"Millenials",Table2[[#This Row],[Age]]&lt;=59,"Gen X",Table2[[#This Row],[Age]]&lt;=78,"Baby Boomers",Table2[[#This Row],[Age]]&lt;=96,"Silent",Table2[[#This Row],[Age]]&gt;=97,"Greatest")</f>
        <v>Millenials</v>
      </c>
      <c r="E1393" s="1">
        <v>111871</v>
      </c>
      <c r="F1393">
        <v>30</v>
      </c>
      <c r="G1393" t="str" cm="1">
        <f t="array" ref="G1393">_xlfn.IFS(Table2[[#This Row],[Spending Score (1-100)]]&lt;=25,"Low",Table2[[#This Row],[Spending Score (1-100)]]&lt;=50,"Medium",Table2[[#This Row],[Spending Score (1-100)]]&lt;=75,"High",Table2[[#This Row],[Spending Score (1-100)]]&lt;=100,"Very High")</f>
        <v>Medium</v>
      </c>
      <c r="H1393" t="s">
        <v>16</v>
      </c>
      <c r="I1393">
        <v>10</v>
      </c>
      <c r="J1393" t="str">
        <f>CONCATENATE(Table2[[#This Row],[Work Experience]],"years")</f>
        <v>10years</v>
      </c>
      <c r="K1393" t="str">
        <f>CONCATENATE(Table2[[#This Row],[Family Size2]],"members")</f>
        <v>1members</v>
      </c>
      <c r="L1393" t="str">
        <f>CONCATENATE(Table2[[#This Row],[Family Size2]],"members")</f>
        <v>1members</v>
      </c>
      <c r="M1393">
        <v>1</v>
      </c>
    </row>
    <row r="1394" spans="1:13">
      <c r="A1394">
        <v>1393</v>
      </c>
      <c r="B1394" t="s">
        <v>8</v>
      </c>
      <c r="C1394">
        <v>5</v>
      </c>
      <c r="D1394" t="str" cm="1">
        <f t="array" ref="D1394">_xlfn.IFS(Table2[[#This Row],[Age]]&lt;=11,"Gen A",Table2[[#This Row],[Age]]&lt;=27,"Gen Z",Table2[[#This Row],[Age]]&lt;=43,"Millenials",Table2[[#This Row],[Age]]&lt;=59,"Gen X",Table2[[#This Row],[Age]]&lt;=78,"Baby Boomers",Table2[[#This Row],[Age]]&lt;=96,"Silent",Table2[[#This Row],[Age]]&gt;=97,"Greatest")</f>
        <v>Gen A</v>
      </c>
      <c r="E1394" s="1">
        <v>112884</v>
      </c>
      <c r="F1394">
        <v>43</v>
      </c>
      <c r="G1394" t="str" cm="1">
        <f t="array" ref="G1394">_xlfn.IFS(Table2[[#This Row],[Spending Score (1-100)]]&lt;=25,"Low",Table2[[#This Row],[Spending Score (1-100)]]&lt;=50,"Medium",Table2[[#This Row],[Spending Score (1-100)]]&lt;=75,"High",Table2[[#This Row],[Spending Score (1-100)]]&lt;=100,"Very High")</f>
        <v>Medium</v>
      </c>
      <c r="H1394" t="s">
        <v>9</v>
      </c>
      <c r="I1394">
        <v>0</v>
      </c>
      <c r="J1394" t="str">
        <f>CONCATENATE(Table2[[#This Row],[Work Experience]],"years")</f>
        <v>0years</v>
      </c>
      <c r="K1394" t="str">
        <f>CONCATENATE(Table2[[#This Row],[Family Size2]],"members")</f>
        <v>6members</v>
      </c>
      <c r="L1394" t="str">
        <f>CONCATENATE(Table2[[#This Row],[Family Size2]],"members")</f>
        <v>6members</v>
      </c>
      <c r="M1394">
        <v>6</v>
      </c>
    </row>
    <row r="1395" spans="1:13">
      <c r="A1395">
        <v>1394</v>
      </c>
      <c r="B1395" t="s">
        <v>11</v>
      </c>
      <c r="C1395">
        <v>47</v>
      </c>
      <c r="D1395" t="str" cm="1">
        <f t="array" ref="D1395">_xlfn.IFS(Table2[[#This Row],[Age]]&lt;=11,"Gen A",Table2[[#This Row],[Age]]&lt;=27,"Gen Z",Table2[[#This Row],[Age]]&lt;=43,"Millenials",Table2[[#This Row],[Age]]&lt;=59,"Gen X",Table2[[#This Row],[Age]]&lt;=78,"Baby Boomers",Table2[[#This Row],[Age]]&lt;=96,"Silent",Table2[[#This Row],[Age]]&gt;=97,"Greatest")</f>
        <v>Gen X</v>
      </c>
      <c r="E1395" s="1">
        <v>121267</v>
      </c>
      <c r="F1395">
        <v>58</v>
      </c>
      <c r="G1395" t="str" cm="1">
        <f t="array" ref="G1395">_xlfn.IFS(Table2[[#This Row],[Spending Score (1-100)]]&lt;=25,"Low",Table2[[#This Row],[Spending Score (1-100)]]&lt;=50,"Medium",Table2[[#This Row],[Spending Score (1-100)]]&lt;=75,"High",Table2[[#This Row],[Spending Score (1-100)]]&lt;=100,"Very High")</f>
        <v>High</v>
      </c>
      <c r="H1395" t="s">
        <v>10</v>
      </c>
      <c r="I1395">
        <v>1</v>
      </c>
      <c r="J1395" t="str">
        <f>CONCATENATE(Table2[[#This Row],[Work Experience]],"years")</f>
        <v>1years</v>
      </c>
      <c r="K1395" t="str">
        <f>CONCATENATE(Table2[[#This Row],[Family Size2]],"members")</f>
        <v>1members</v>
      </c>
      <c r="L1395" t="str">
        <f>CONCATENATE(Table2[[#This Row],[Family Size2]],"members")</f>
        <v>1members</v>
      </c>
      <c r="M1395">
        <v>1</v>
      </c>
    </row>
    <row r="1396" spans="1:13">
      <c r="A1396">
        <v>1395</v>
      </c>
      <c r="B1396" t="s">
        <v>11</v>
      </c>
      <c r="C1396">
        <v>48</v>
      </c>
      <c r="D1396" t="str" cm="1">
        <f t="array" ref="D1396">_xlfn.IFS(Table2[[#This Row],[Age]]&lt;=11,"Gen A",Table2[[#This Row],[Age]]&lt;=27,"Gen Z",Table2[[#This Row],[Age]]&lt;=43,"Millenials",Table2[[#This Row],[Age]]&lt;=59,"Gen X",Table2[[#This Row],[Age]]&lt;=78,"Baby Boomers",Table2[[#This Row],[Age]]&lt;=96,"Silent",Table2[[#This Row],[Age]]&gt;=97,"Greatest")</f>
        <v>Gen X</v>
      </c>
      <c r="E1396" s="1">
        <v>151519</v>
      </c>
      <c r="F1396">
        <v>93</v>
      </c>
      <c r="G1396" t="str" cm="1">
        <f t="array" ref="G1396">_xlfn.IFS(Table2[[#This Row],[Spending Score (1-100)]]&lt;=25,"Low",Table2[[#This Row],[Spending Score (1-100)]]&lt;=50,"Medium",Table2[[#This Row],[Spending Score (1-100)]]&lt;=75,"High",Table2[[#This Row],[Spending Score (1-100)]]&lt;=100,"Very High")</f>
        <v>Very High</v>
      </c>
      <c r="H1396" t="s">
        <v>14</v>
      </c>
      <c r="I1396">
        <v>7</v>
      </c>
      <c r="J1396" t="str">
        <f>CONCATENATE(Table2[[#This Row],[Work Experience]],"years")</f>
        <v>7years</v>
      </c>
      <c r="K1396" t="str">
        <f>CONCATENATE(Table2[[#This Row],[Family Size2]],"members")</f>
        <v>2members</v>
      </c>
      <c r="L1396" t="str">
        <f>CONCATENATE(Table2[[#This Row],[Family Size2]],"members")</f>
        <v>2members</v>
      </c>
      <c r="M1396">
        <v>2</v>
      </c>
    </row>
    <row r="1397" spans="1:13">
      <c r="A1397">
        <v>1396</v>
      </c>
      <c r="B1397" t="s">
        <v>11</v>
      </c>
      <c r="C1397">
        <v>34</v>
      </c>
      <c r="D1397" t="str" cm="1">
        <f t="array" ref="D1397">_xlfn.IFS(Table2[[#This Row],[Age]]&lt;=11,"Gen A",Table2[[#This Row],[Age]]&lt;=27,"Gen Z",Table2[[#This Row],[Age]]&lt;=43,"Millenials",Table2[[#This Row],[Age]]&lt;=59,"Gen X",Table2[[#This Row],[Age]]&lt;=78,"Baby Boomers",Table2[[#This Row],[Age]]&lt;=96,"Silent",Table2[[#This Row],[Age]]&gt;=97,"Greatest")</f>
        <v>Millenials</v>
      </c>
      <c r="E1397" s="1">
        <v>105448</v>
      </c>
      <c r="F1397">
        <v>40</v>
      </c>
      <c r="G1397" t="str" cm="1">
        <f t="array" ref="G1397">_xlfn.IFS(Table2[[#This Row],[Spending Score (1-100)]]&lt;=25,"Low",Table2[[#This Row],[Spending Score (1-100)]]&lt;=50,"Medium",Table2[[#This Row],[Spending Score (1-100)]]&lt;=75,"High",Table2[[#This Row],[Spending Score (1-100)]]&lt;=100,"Very High")</f>
        <v>Medium</v>
      </c>
      <c r="H1397" t="s">
        <v>14</v>
      </c>
      <c r="I1397">
        <v>0</v>
      </c>
      <c r="J1397" t="str">
        <f>CONCATENATE(Table2[[#This Row],[Work Experience]],"years")</f>
        <v>0years</v>
      </c>
      <c r="K1397" t="str">
        <f>CONCATENATE(Table2[[#This Row],[Family Size2]],"members")</f>
        <v>5members</v>
      </c>
      <c r="L1397" t="str">
        <f>CONCATENATE(Table2[[#This Row],[Family Size2]],"members")</f>
        <v>5members</v>
      </c>
      <c r="M1397">
        <v>5</v>
      </c>
    </row>
    <row r="1398" spans="1:13">
      <c r="A1398">
        <v>1397</v>
      </c>
      <c r="B1398" t="s">
        <v>11</v>
      </c>
      <c r="C1398">
        <v>20</v>
      </c>
      <c r="D1398" t="str" cm="1">
        <f t="array" ref="D1398">_xlfn.IFS(Table2[[#This Row],[Age]]&lt;=11,"Gen A",Table2[[#This Row],[Age]]&lt;=27,"Gen Z",Table2[[#This Row],[Age]]&lt;=43,"Millenials",Table2[[#This Row],[Age]]&lt;=59,"Gen X",Table2[[#This Row],[Age]]&lt;=78,"Baby Boomers",Table2[[#This Row],[Age]]&lt;=96,"Silent",Table2[[#This Row],[Age]]&gt;=97,"Greatest")</f>
        <v>Gen Z</v>
      </c>
      <c r="E1398" s="1">
        <v>92048</v>
      </c>
      <c r="F1398">
        <v>91</v>
      </c>
      <c r="G1398" t="str" cm="1">
        <f t="array" ref="G1398">_xlfn.IFS(Table2[[#This Row],[Spending Score (1-100)]]&lt;=25,"Low",Table2[[#This Row],[Spending Score (1-100)]]&lt;=50,"Medium",Table2[[#This Row],[Spending Score (1-100)]]&lt;=75,"High",Table2[[#This Row],[Spending Score (1-100)]]&lt;=100,"Very High")</f>
        <v>Very High</v>
      </c>
      <c r="H1398" t="s">
        <v>9</v>
      </c>
      <c r="I1398">
        <v>1</v>
      </c>
      <c r="J1398" t="str">
        <f>CONCATENATE(Table2[[#This Row],[Work Experience]],"years")</f>
        <v>1years</v>
      </c>
      <c r="K1398" t="str">
        <f>CONCATENATE(Table2[[#This Row],[Family Size2]],"members")</f>
        <v>1members</v>
      </c>
      <c r="L1398" t="str">
        <f>CONCATENATE(Table2[[#This Row],[Family Size2]],"members")</f>
        <v>1members</v>
      </c>
      <c r="M1398">
        <v>1</v>
      </c>
    </row>
    <row r="1399" spans="1:13">
      <c r="A1399">
        <v>1398</v>
      </c>
      <c r="B1399" t="s">
        <v>8</v>
      </c>
      <c r="C1399">
        <v>61</v>
      </c>
      <c r="D1399" t="str" cm="1">
        <f t="array" ref="D1399">_xlfn.IFS(Table2[[#This Row],[Age]]&lt;=11,"Gen A",Table2[[#This Row],[Age]]&lt;=27,"Gen Z",Table2[[#This Row],[Age]]&lt;=43,"Millenials",Table2[[#This Row],[Age]]&lt;=59,"Gen X",Table2[[#This Row],[Age]]&lt;=78,"Baby Boomers",Table2[[#This Row],[Age]]&lt;=96,"Silent",Table2[[#This Row],[Age]]&gt;=97,"Greatest")</f>
        <v>Baby Boomers</v>
      </c>
      <c r="E1399" s="1">
        <v>99980</v>
      </c>
      <c r="F1399">
        <v>94</v>
      </c>
      <c r="G1399" t="str" cm="1">
        <f t="array" ref="G1399">_xlfn.IFS(Table2[[#This Row],[Spending Score (1-100)]]&lt;=25,"Low",Table2[[#This Row],[Spending Score (1-100)]]&lt;=50,"Medium",Table2[[#This Row],[Spending Score (1-100)]]&lt;=75,"High",Table2[[#This Row],[Spending Score (1-100)]]&lt;=100,"Very High")</f>
        <v>Very High</v>
      </c>
      <c r="H1399" t="s">
        <v>9</v>
      </c>
      <c r="I1399">
        <v>10</v>
      </c>
      <c r="J1399" t="str">
        <f>CONCATENATE(Table2[[#This Row],[Work Experience]],"years")</f>
        <v>10years</v>
      </c>
      <c r="K1399" t="str">
        <f>CONCATENATE(Table2[[#This Row],[Family Size2]],"members")</f>
        <v>1members</v>
      </c>
      <c r="L1399" t="str">
        <f>CONCATENATE(Table2[[#This Row],[Family Size2]],"members")</f>
        <v>1members</v>
      </c>
      <c r="M1399">
        <v>1</v>
      </c>
    </row>
    <row r="1400" spans="1:13">
      <c r="A1400">
        <v>1399</v>
      </c>
      <c r="B1400" t="s">
        <v>8</v>
      </c>
      <c r="C1400">
        <v>16</v>
      </c>
      <c r="D1400" t="str" cm="1">
        <f t="array" ref="D1400">_xlfn.IFS(Table2[[#This Row],[Age]]&lt;=11,"Gen A",Table2[[#This Row],[Age]]&lt;=27,"Gen Z",Table2[[#This Row],[Age]]&lt;=43,"Millenials",Table2[[#This Row],[Age]]&lt;=59,"Gen X",Table2[[#This Row],[Age]]&lt;=78,"Baby Boomers",Table2[[#This Row],[Age]]&lt;=96,"Silent",Table2[[#This Row],[Age]]&gt;=97,"Greatest")</f>
        <v>Gen Z</v>
      </c>
      <c r="E1400" s="1">
        <v>84003</v>
      </c>
      <c r="F1400">
        <v>68</v>
      </c>
      <c r="G1400" t="str" cm="1">
        <f t="array" ref="G1400">_xlfn.IFS(Table2[[#This Row],[Spending Score (1-100)]]&lt;=25,"Low",Table2[[#This Row],[Spending Score (1-100)]]&lt;=50,"Medium",Table2[[#This Row],[Spending Score (1-100)]]&lt;=75,"High",Table2[[#This Row],[Spending Score (1-100)]]&lt;=100,"Very High")</f>
        <v>High</v>
      </c>
      <c r="H1400" t="s">
        <v>14</v>
      </c>
      <c r="I1400">
        <v>9</v>
      </c>
      <c r="J1400" t="str">
        <f>CONCATENATE(Table2[[#This Row],[Work Experience]],"years")</f>
        <v>9years</v>
      </c>
      <c r="K1400" t="str">
        <f>CONCATENATE(Table2[[#This Row],[Family Size2]],"members")</f>
        <v>6members</v>
      </c>
      <c r="L1400" t="str">
        <f>CONCATENATE(Table2[[#This Row],[Family Size2]],"members")</f>
        <v>6members</v>
      </c>
      <c r="M1400">
        <v>6</v>
      </c>
    </row>
    <row r="1401" spans="1:13">
      <c r="A1401">
        <v>1400</v>
      </c>
      <c r="B1401" t="s">
        <v>8</v>
      </c>
      <c r="C1401">
        <v>2</v>
      </c>
      <c r="D1401" t="str" cm="1">
        <f t="array" ref="D1401">_xlfn.IFS(Table2[[#This Row],[Age]]&lt;=11,"Gen A",Table2[[#This Row],[Age]]&lt;=27,"Gen Z",Table2[[#This Row],[Age]]&lt;=43,"Millenials",Table2[[#This Row],[Age]]&lt;=59,"Gen X",Table2[[#This Row],[Age]]&lt;=78,"Baby Boomers",Table2[[#This Row],[Age]]&lt;=96,"Silent",Table2[[#This Row],[Age]]&gt;=97,"Greatest")</f>
        <v>Gen A</v>
      </c>
      <c r="E1401" s="1">
        <v>110889</v>
      </c>
      <c r="F1401">
        <v>95</v>
      </c>
      <c r="G1401" t="str" cm="1">
        <f t="array" ref="G1401">_xlfn.IFS(Table2[[#This Row],[Spending Score (1-100)]]&lt;=25,"Low",Table2[[#This Row],[Spending Score (1-100)]]&lt;=50,"Medium",Table2[[#This Row],[Spending Score (1-100)]]&lt;=75,"High",Table2[[#This Row],[Spending Score (1-100)]]&lt;=100,"Very High")</f>
        <v>Very High</v>
      </c>
      <c r="H1401" t="s">
        <v>15</v>
      </c>
      <c r="I1401">
        <v>1</v>
      </c>
      <c r="J1401" t="str">
        <f>CONCATENATE(Table2[[#This Row],[Work Experience]],"years")</f>
        <v>1years</v>
      </c>
      <c r="K1401" t="str">
        <f>CONCATENATE(Table2[[#This Row],[Family Size2]],"members")</f>
        <v>2members</v>
      </c>
      <c r="L1401" t="str">
        <f>CONCATENATE(Table2[[#This Row],[Family Size2]],"members")</f>
        <v>2members</v>
      </c>
      <c r="M1401">
        <v>2</v>
      </c>
    </row>
    <row r="1402" spans="1:13">
      <c r="A1402">
        <v>1401</v>
      </c>
      <c r="B1402" t="s">
        <v>11</v>
      </c>
      <c r="C1402">
        <v>52</v>
      </c>
      <c r="D1402" t="str" cm="1">
        <f t="array" ref="D1402">_xlfn.IFS(Table2[[#This Row],[Age]]&lt;=11,"Gen A",Table2[[#This Row],[Age]]&lt;=27,"Gen Z",Table2[[#This Row],[Age]]&lt;=43,"Millenials",Table2[[#This Row],[Age]]&lt;=59,"Gen X",Table2[[#This Row],[Age]]&lt;=78,"Baby Boomers",Table2[[#This Row],[Age]]&lt;=96,"Silent",Table2[[#This Row],[Age]]&gt;=97,"Greatest")</f>
        <v>Gen X</v>
      </c>
      <c r="E1402" s="1">
        <v>82478</v>
      </c>
      <c r="F1402">
        <v>95</v>
      </c>
      <c r="G1402" t="str" cm="1">
        <f t="array" ref="G1402">_xlfn.IFS(Table2[[#This Row],[Spending Score (1-100)]]&lt;=25,"Low",Table2[[#This Row],[Spending Score (1-100)]]&lt;=50,"Medium",Table2[[#This Row],[Spending Score (1-100)]]&lt;=75,"High",Table2[[#This Row],[Spending Score (1-100)]]&lt;=100,"Very High")</f>
        <v>Very High</v>
      </c>
      <c r="H1402" t="s">
        <v>15</v>
      </c>
      <c r="I1402">
        <v>10</v>
      </c>
      <c r="J1402" t="str">
        <f>CONCATENATE(Table2[[#This Row],[Work Experience]],"years")</f>
        <v>10years</v>
      </c>
      <c r="K1402" t="str">
        <f>CONCATENATE(Table2[[#This Row],[Family Size2]],"members")</f>
        <v>1members</v>
      </c>
      <c r="L1402" t="str">
        <f>CONCATENATE(Table2[[#This Row],[Family Size2]],"members")</f>
        <v>1members</v>
      </c>
      <c r="M1402">
        <v>1</v>
      </c>
    </row>
    <row r="1403" spans="1:13">
      <c r="A1403">
        <v>1402</v>
      </c>
      <c r="B1403" t="s">
        <v>8</v>
      </c>
      <c r="C1403">
        <v>99</v>
      </c>
      <c r="D1403" t="str" cm="1">
        <f t="array" ref="D1403">_xlfn.IFS(Table2[[#This Row],[Age]]&lt;=11,"Gen A",Table2[[#This Row],[Age]]&lt;=27,"Gen Z",Table2[[#This Row],[Age]]&lt;=43,"Millenials",Table2[[#This Row],[Age]]&lt;=59,"Gen X",Table2[[#This Row],[Age]]&lt;=78,"Baby Boomers",Table2[[#This Row],[Age]]&lt;=96,"Silent",Table2[[#This Row],[Age]]&gt;=97,"Greatest")</f>
        <v>Greatest</v>
      </c>
      <c r="E1403" s="1">
        <v>139685</v>
      </c>
      <c r="F1403">
        <v>20</v>
      </c>
      <c r="G1403" t="str" cm="1">
        <f t="array" ref="G1403">_xlfn.IFS(Table2[[#This Row],[Spending Score (1-100)]]&lt;=25,"Low",Table2[[#This Row],[Spending Score (1-100)]]&lt;=50,"Medium",Table2[[#This Row],[Spending Score (1-100)]]&lt;=75,"High",Table2[[#This Row],[Spending Score (1-100)]]&lt;=100,"Very High")</f>
        <v>Low</v>
      </c>
      <c r="H1403" t="s">
        <v>9</v>
      </c>
      <c r="I1403">
        <v>1</v>
      </c>
      <c r="J1403" t="str">
        <f>CONCATENATE(Table2[[#This Row],[Work Experience]],"years")</f>
        <v>1years</v>
      </c>
      <c r="K1403" t="str">
        <f>CONCATENATE(Table2[[#This Row],[Family Size2]],"members")</f>
        <v>4members</v>
      </c>
      <c r="L1403" t="str">
        <f>CONCATENATE(Table2[[#This Row],[Family Size2]],"members")</f>
        <v>4members</v>
      </c>
      <c r="M1403">
        <v>4</v>
      </c>
    </row>
    <row r="1404" spans="1:13">
      <c r="A1404">
        <v>1403</v>
      </c>
      <c r="B1404" t="s">
        <v>11</v>
      </c>
      <c r="C1404">
        <v>84</v>
      </c>
      <c r="D1404" t="str" cm="1">
        <f t="array" ref="D1404">_xlfn.IFS(Table2[[#This Row],[Age]]&lt;=11,"Gen A",Table2[[#This Row],[Age]]&lt;=27,"Gen Z",Table2[[#This Row],[Age]]&lt;=43,"Millenials",Table2[[#This Row],[Age]]&lt;=59,"Gen X",Table2[[#This Row],[Age]]&lt;=78,"Baby Boomers",Table2[[#This Row],[Age]]&lt;=96,"Silent",Table2[[#This Row],[Age]]&gt;=97,"Greatest")</f>
        <v>Silent</v>
      </c>
      <c r="E1404" s="1">
        <v>182374</v>
      </c>
      <c r="F1404">
        <v>62</v>
      </c>
      <c r="G1404" t="str" cm="1">
        <f t="array" ref="G1404">_xlfn.IFS(Table2[[#This Row],[Spending Score (1-100)]]&lt;=25,"Low",Table2[[#This Row],[Spending Score (1-100)]]&lt;=50,"Medium",Table2[[#This Row],[Spending Score (1-100)]]&lt;=75,"High",Table2[[#This Row],[Spending Score (1-100)]]&lt;=100,"Very High")</f>
        <v>High</v>
      </c>
      <c r="H1404" t="s">
        <v>13</v>
      </c>
      <c r="I1404">
        <v>0</v>
      </c>
      <c r="J1404" t="str">
        <f>CONCATENATE(Table2[[#This Row],[Work Experience]],"years")</f>
        <v>0years</v>
      </c>
      <c r="K1404" t="str">
        <f>CONCATENATE(Table2[[#This Row],[Family Size2]],"members")</f>
        <v>6members</v>
      </c>
      <c r="L1404" t="str">
        <f>CONCATENATE(Table2[[#This Row],[Family Size2]],"members")</f>
        <v>6members</v>
      </c>
      <c r="M1404">
        <v>6</v>
      </c>
    </row>
    <row r="1405" spans="1:13">
      <c r="A1405">
        <v>1404</v>
      </c>
      <c r="B1405" t="s">
        <v>11</v>
      </c>
      <c r="C1405">
        <v>58</v>
      </c>
      <c r="D1405" t="str" cm="1">
        <f t="array" ref="D1405">_xlfn.IFS(Table2[[#This Row],[Age]]&lt;=11,"Gen A",Table2[[#This Row],[Age]]&lt;=27,"Gen Z",Table2[[#This Row],[Age]]&lt;=43,"Millenials",Table2[[#This Row],[Age]]&lt;=59,"Gen X",Table2[[#This Row],[Age]]&lt;=78,"Baby Boomers",Table2[[#This Row],[Age]]&lt;=96,"Silent",Table2[[#This Row],[Age]]&gt;=97,"Greatest")</f>
        <v>Gen X</v>
      </c>
      <c r="E1405" s="1">
        <v>119366</v>
      </c>
      <c r="F1405">
        <v>94</v>
      </c>
      <c r="G1405" t="str" cm="1">
        <f t="array" ref="G1405">_xlfn.IFS(Table2[[#This Row],[Spending Score (1-100)]]&lt;=25,"Low",Table2[[#This Row],[Spending Score (1-100)]]&lt;=50,"Medium",Table2[[#This Row],[Spending Score (1-100)]]&lt;=75,"High",Table2[[#This Row],[Spending Score (1-100)]]&lt;=100,"Very High")</f>
        <v>Very High</v>
      </c>
      <c r="H1405" t="s">
        <v>10</v>
      </c>
      <c r="I1405">
        <v>4</v>
      </c>
      <c r="J1405" t="str">
        <f>CONCATENATE(Table2[[#This Row],[Work Experience]],"years")</f>
        <v>4years</v>
      </c>
      <c r="K1405" t="str">
        <f>CONCATENATE(Table2[[#This Row],[Family Size2]],"members")</f>
        <v>2members</v>
      </c>
      <c r="L1405" t="str">
        <f>CONCATENATE(Table2[[#This Row],[Family Size2]],"members")</f>
        <v>2members</v>
      </c>
      <c r="M1405">
        <v>2</v>
      </c>
    </row>
    <row r="1406" spans="1:13">
      <c r="A1406">
        <v>1405</v>
      </c>
      <c r="B1406" t="s">
        <v>11</v>
      </c>
      <c r="C1406">
        <v>91</v>
      </c>
      <c r="D1406" t="str" cm="1">
        <f t="array" ref="D1406">_xlfn.IFS(Table2[[#This Row],[Age]]&lt;=11,"Gen A",Table2[[#This Row],[Age]]&lt;=27,"Gen Z",Table2[[#This Row],[Age]]&lt;=43,"Millenials",Table2[[#This Row],[Age]]&lt;=59,"Gen X",Table2[[#This Row],[Age]]&lt;=78,"Baby Boomers",Table2[[#This Row],[Age]]&lt;=96,"Silent",Table2[[#This Row],[Age]]&gt;=97,"Greatest")</f>
        <v>Silent</v>
      </c>
      <c r="E1406" s="1">
        <v>53788</v>
      </c>
      <c r="F1406">
        <v>57</v>
      </c>
      <c r="G1406" t="str" cm="1">
        <f t="array" ref="G1406">_xlfn.IFS(Table2[[#This Row],[Spending Score (1-100)]]&lt;=25,"Low",Table2[[#This Row],[Spending Score (1-100)]]&lt;=50,"Medium",Table2[[#This Row],[Spending Score (1-100)]]&lt;=75,"High",Table2[[#This Row],[Spending Score (1-100)]]&lt;=100,"Very High")</f>
        <v>High</v>
      </c>
      <c r="H1406" t="s">
        <v>16</v>
      </c>
      <c r="I1406">
        <v>0</v>
      </c>
      <c r="J1406" t="str">
        <f>CONCATENATE(Table2[[#This Row],[Work Experience]],"years")</f>
        <v>0years</v>
      </c>
      <c r="K1406" t="str">
        <f>CONCATENATE(Table2[[#This Row],[Family Size2]],"members")</f>
        <v>2members</v>
      </c>
      <c r="L1406" t="str">
        <f>CONCATENATE(Table2[[#This Row],[Family Size2]],"members")</f>
        <v>2members</v>
      </c>
      <c r="M1406">
        <v>2</v>
      </c>
    </row>
    <row r="1407" spans="1:13">
      <c r="A1407">
        <v>1406</v>
      </c>
      <c r="B1407" t="s">
        <v>11</v>
      </c>
      <c r="C1407">
        <v>1</v>
      </c>
      <c r="D1407" t="str" cm="1">
        <f t="array" ref="D1407">_xlfn.IFS(Table2[[#This Row],[Age]]&lt;=11,"Gen A",Table2[[#This Row],[Age]]&lt;=27,"Gen Z",Table2[[#This Row],[Age]]&lt;=43,"Millenials",Table2[[#This Row],[Age]]&lt;=59,"Gen X",Table2[[#This Row],[Age]]&lt;=78,"Baby Boomers",Table2[[#This Row],[Age]]&lt;=96,"Silent",Table2[[#This Row],[Age]]&gt;=97,"Greatest")</f>
        <v>Gen A</v>
      </c>
      <c r="E1407" s="1">
        <v>90341</v>
      </c>
      <c r="F1407">
        <v>92</v>
      </c>
      <c r="G1407" t="str" cm="1">
        <f t="array" ref="G1407">_xlfn.IFS(Table2[[#This Row],[Spending Score (1-100)]]&lt;=25,"Low",Table2[[#This Row],[Spending Score (1-100)]]&lt;=50,"Medium",Table2[[#This Row],[Spending Score (1-100)]]&lt;=75,"High",Table2[[#This Row],[Spending Score (1-100)]]&lt;=100,"Very High")</f>
        <v>Very High</v>
      </c>
      <c r="H1407" t="s">
        <v>16</v>
      </c>
      <c r="I1407">
        <v>0</v>
      </c>
      <c r="J1407" t="str">
        <f>CONCATENATE(Table2[[#This Row],[Work Experience]],"years")</f>
        <v>0years</v>
      </c>
      <c r="K1407" t="str">
        <f>CONCATENATE(Table2[[#This Row],[Family Size2]],"members")</f>
        <v>2members</v>
      </c>
      <c r="L1407" t="str">
        <f>CONCATENATE(Table2[[#This Row],[Family Size2]],"members")</f>
        <v>2members</v>
      </c>
      <c r="M1407">
        <v>2</v>
      </c>
    </row>
    <row r="1408" spans="1:13">
      <c r="A1408">
        <v>1407</v>
      </c>
      <c r="B1408" t="s">
        <v>11</v>
      </c>
      <c r="C1408">
        <v>67</v>
      </c>
      <c r="D1408" t="str" cm="1">
        <f t="array" ref="D1408">_xlfn.IFS(Table2[[#This Row],[Age]]&lt;=11,"Gen A",Table2[[#This Row],[Age]]&lt;=27,"Gen Z",Table2[[#This Row],[Age]]&lt;=43,"Millenials",Table2[[#This Row],[Age]]&lt;=59,"Gen X",Table2[[#This Row],[Age]]&lt;=78,"Baby Boomers",Table2[[#This Row],[Age]]&lt;=96,"Silent",Table2[[#This Row],[Age]]&gt;=97,"Greatest")</f>
        <v>Baby Boomers</v>
      </c>
      <c r="E1408" s="1">
        <v>118348</v>
      </c>
      <c r="F1408">
        <v>94</v>
      </c>
      <c r="G1408" t="str" cm="1">
        <f t="array" ref="G1408">_xlfn.IFS(Table2[[#This Row],[Spending Score (1-100)]]&lt;=25,"Low",Table2[[#This Row],[Spending Score (1-100)]]&lt;=50,"Medium",Table2[[#This Row],[Spending Score (1-100)]]&lt;=75,"High",Table2[[#This Row],[Spending Score (1-100)]]&lt;=100,"Very High")</f>
        <v>Very High</v>
      </c>
      <c r="H1408" t="s">
        <v>10</v>
      </c>
      <c r="I1408">
        <v>1</v>
      </c>
      <c r="J1408" t="str">
        <f>CONCATENATE(Table2[[#This Row],[Work Experience]],"years")</f>
        <v>1years</v>
      </c>
      <c r="K1408" t="str">
        <f>CONCATENATE(Table2[[#This Row],[Family Size2]],"members")</f>
        <v>7members</v>
      </c>
      <c r="L1408" t="str">
        <f>CONCATENATE(Table2[[#This Row],[Family Size2]],"members")</f>
        <v>7members</v>
      </c>
      <c r="M1408">
        <v>7</v>
      </c>
    </row>
    <row r="1409" spans="1:13">
      <c r="A1409">
        <v>1408</v>
      </c>
      <c r="B1409" t="s">
        <v>8</v>
      </c>
      <c r="C1409">
        <v>56</v>
      </c>
      <c r="D1409" t="str" cm="1">
        <f t="array" ref="D1409">_xlfn.IFS(Table2[[#This Row],[Age]]&lt;=11,"Gen A",Table2[[#This Row],[Age]]&lt;=27,"Gen Z",Table2[[#This Row],[Age]]&lt;=43,"Millenials",Table2[[#This Row],[Age]]&lt;=59,"Gen X",Table2[[#This Row],[Age]]&lt;=78,"Baby Boomers",Table2[[#This Row],[Age]]&lt;=96,"Silent",Table2[[#This Row],[Age]]&gt;=97,"Greatest")</f>
        <v>Gen X</v>
      </c>
      <c r="E1409" s="1">
        <v>137428</v>
      </c>
      <c r="F1409">
        <v>87</v>
      </c>
      <c r="G1409" t="str" cm="1">
        <f t="array" ref="G1409">_xlfn.IFS(Table2[[#This Row],[Spending Score (1-100)]]&lt;=25,"Low",Table2[[#This Row],[Spending Score (1-100)]]&lt;=50,"Medium",Table2[[#This Row],[Spending Score (1-100)]]&lt;=75,"High",Table2[[#This Row],[Spending Score (1-100)]]&lt;=100,"Very High")</f>
        <v>Very High</v>
      </c>
      <c r="H1409" t="s">
        <v>14</v>
      </c>
      <c r="I1409">
        <v>0</v>
      </c>
      <c r="J1409" t="str">
        <f>CONCATENATE(Table2[[#This Row],[Work Experience]],"years")</f>
        <v>0years</v>
      </c>
      <c r="K1409" t="str">
        <f>CONCATENATE(Table2[[#This Row],[Family Size2]],"members")</f>
        <v>2members</v>
      </c>
      <c r="L1409" t="str">
        <f>CONCATENATE(Table2[[#This Row],[Family Size2]],"members")</f>
        <v>2members</v>
      </c>
      <c r="M1409">
        <v>2</v>
      </c>
    </row>
    <row r="1410" spans="1:13">
      <c r="A1410">
        <v>1409</v>
      </c>
      <c r="B1410" t="s">
        <v>11</v>
      </c>
      <c r="C1410">
        <v>62</v>
      </c>
      <c r="D1410" t="str" cm="1">
        <f t="array" ref="D1410">_xlfn.IFS(Table2[[#This Row],[Age]]&lt;=11,"Gen A",Table2[[#This Row],[Age]]&lt;=27,"Gen Z",Table2[[#This Row],[Age]]&lt;=43,"Millenials",Table2[[#This Row],[Age]]&lt;=59,"Gen X",Table2[[#This Row],[Age]]&lt;=78,"Baby Boomers",Table2[[#This Row],[Age]]&lt;=96,"Silent",Table2[[#This Row],[Age]]&gt;=97,"Greatest")</f>
        <v>Baby Boomers</v>
      </c>
      <c r="E1410" s="1">
        <v>106982</v>
      </c>
      <c r="F1410">
        <v>53</v>
      </c>
      <c r="G1410" t="str" cm="1">
        <f t="array" ref="G1410">_xlfn.IFS(Table2[[#This Row],[Spending Score (1-100)]]&lt;=25,"Low",Table2[[#This Row],[Spending Score (1-100)]]&lt;=50,"Medium",Table2[[#This Row],[Spending Score (1-100)]]&lt;=75,"High",Table2[[#This Row],[Spending Score (1-100)]]&lt;=100,"Very High")</f>
        <v>High</v>
      </c>
      <c r="H1410" t="s">
        <v>13</v>
      </c>
      <c r="I1410">
        <v>1</v>
      </c>
      <c r="J1410" t="str">
        <f>CONCATENATE(Table2[[#This Row],[Work Experience]],"years")</f>
        <v>1years</v>
      </c>
      <c r="K1410" t="str">
        <f>CONCATENATE(Table2[[#This Row],[Family Size2]],"members")</f>
        <v>7members</v>
      </c>
      <c r="L1410" t="str">
        <f>CONCATENATE(Table2[[#This Row],[Family Size2]],"members")</f>
        <v>7members</v>
      </c>
      <c r="M1410">
        <v>7</v>
      </c>
    </row>
    <row r="1411" spans="1:13">
      <c r="A1411">
        <v>1410</v>
      </c>
      <c r="B1411" t="s">
        <v>11</v>
      </c>
      <c r="C1411">
        <v>12</v>
      </c>
      <c r="D1411" t="str" cm="1">
        <f t="array" ref="D1411">_xlfn.IFS(Table2[[#This Row],[Age]]&lt;=11,"Gen A",Table2[[#This Row],[Age]]&lt;=27,"Gen Z",Table2[[#This Row],[Age]]&lt;=43,"Millenials",Table2[[#This Row],[Age]]&lt;=59,"Gen X",Table2[[#This Row],[Age]]&lt;=78,"Baby Boomers",Table2[[#This Row],[Age]]&lt;=96,"Silent",Table2[[#This Row],[Age]]&gt;=97,"Greatest")</f>
        <v>Gen Z</v>
      </c>
      <c r="E1411" s="1">
        <v>98532</v>
      </c>
      <c r="F1411">
        <v>52</v>
      </c>
      <c r="G1411" t="str" cm="1">
        <f t="array" ref="G1411">_xlfn.IFS(Table2[[#This Row],[Spending Score (1-100)]]&lt;=25,"Low",Table2[[#This Row],[Spending Score (1-100)]]&lt;=50,"Medium",Table2[[#This Row],[Spending Score (1-100)]]&lt;=75,"High",Table2[[#This Row],[Spending Score (1-100)]]&lt;=100,"Very High")</f>
        <v>High</v>
      </c>
      <c r="H1411" t="s">
        <v>16</v>
      </c>
      <c r="I1411">
        <v>0</v>
      </c>
      <c r="J1411" t="str">
        <f>CONCATENATE(Table2[[#This Row],[Work Experience]],"years")</f>
        <v>0years</v>
      </c>
      <c r="K1411" t="str">
        <f>CONCATENATE(Table2[[#This Row],[Family Size2]],"members")</f>
        <v>6members</v>
      </c>
      <c r="L1411" t="str">
        <f>CONCATENATE(Table2[[#This Row],[Family Size2]],"members")</f>
        <v>6members</v>
      </c>
      <c r="M1411">
        <v>6</v>
      </c>
    </row>
    <row r="1412" spans="1:13">
      <c r="A1412">
        <v>1411</v>
      </c>
      <c r="B1412" t="s">
        <v>11</v>
      </c>
      <c r="C1412">
        <v>38</v>
      </c>
      <c r="D1412" t="str" cm="1">
        <f t="array" ref="D1412">_xlfn.IFS(Table2[[#This Row],[Age]]&lt;=11,"Gen A",Table2[[#This Row],[Age]]&lt;=27,"Gen Z",Table2[[#This Row],[Age]]&lt;=43,"Millenials",Table2[[#This Row],[Age]]&lt;=59,"Gen X",Table2[[#This Row],[Age]]&lt;=78,"Baby Boomers",Table2[[#This Row],[Age]]&lt;=96,"Silent",Table2[[#This Row],[Age]]&gt;=97,"Greatest")</f>
        <v>Millenials</v>
      </c>
      <c r="E1412" s="1">
        <v>120825</v>
      </c>
      <c r="F1412">
        <v>24</v>
      </c>
      <c r="G1412" t="str" cm="1">
        <f t="array" ref="G1412">_xlfn.IFS(Table2[[#This Row],[Spending Score (1-100)]]&lt;=25,"Low",Table2[[#This Row],[Spending Score (1-100)]]&lt;=50,"Medium",Table2[[#This Row],[Spending Score (1-100)]]&lt;=75,"High",Table2[[#This Row],[Spending Score (1-100)]]&lt;=100,"Very High")</f>
        <v>Low</v>
      </c>
      <c r="H1412" t="s">
        <v>15</v>
      </c>
      <c r="I1412">
        <v>9</v>
      </c>
      <c r="J1412" t="str">
        <f>CONCATENATE(Table2[[#This Row],[Work Experience]],"years")</f>
        <v>9years</v>
      </c>
      <c r="K1412" t="str">
        <f>CONCATENATE(Table2[[#This Row],[Family Size2]],"members")</f>
        <v>7members</v>
      </c>
      <c r="L1412" t="str">
        <f>CONCATENATE(Table2[[#This Row],[Family Size2]],"members")</f>
        <v>7members</v>
      </c>
      <c r="M1412">
        <v>7</v>
      </c>
    </row>
    <row r="1413" spans="1:13">
      <c r="A1413">
        <v>1412</v>
      </c>
      <c r="B1413" t="s">
        <v>11</v>
      </c>
      <c r="C1413">
        <v>51</v>
      </c>
      <c r="D1413" t="str" cm="1">
        <f t="array" ref="D1413">_xlfn.IFS(Table2[[#This Row],[Age]]&lt;=11,"Gen A",Table2[[#This Row],[Age]]&lt;=27,"Gen Z",Table2[[#This Row],[Age]]&lt;=43,"Millenials",Table2[[#This Row],[Age]]&lt;=59,"Gen X",Table2[[#This Row],[Age]]&lt;=78,"Baby Boomers",Table2[[#This Row],[Age]]&lt;=96,"Silent",Table2[[#This Row],[Age]]&gt;=97,"Greatest")</f>
        <v>Gen X</v>
      </c>
      <c r="E1413" s="1">
        <v>58006</v>
      </c>
      <c r="F1413">
        <v>83</v>
      </c>
      <c r="G1413" t="str" cm="1">
        <f t="array" ref="G1413">_xlfn.IFS(Table2[[#This Row],[Spending Score (1-100)]]&lt;=25,"Low",Table2[[#This Row],[Spending Score (1-100)]]&lt;=50,"Medium",Table2[[#This Row],[Spending Score (1-100)]]&lt;=75,"High",Table2[[#This Row],[Spending Score (1-100)]]&lt;=100,"Very High")</f>
        <v>Very High</v>
      </c>
      <c r="H1413" t="s">
        <v>15</v>
      </c>
      <c r="I1413">
        <v>1</v>
      </c>
      <c r="J1413" t="str">
        <f>CONCATENATE(Table2[[#This Row],[Work Experience]],"years")</f>
        <v>1years</v>
      </c>
      <c r="K1413" t="str">
        <f>CONCATENATE(Table2[[#This Row],[Family Size2]],"members")</f>
        <v>5members</v>
      </c>
      <c r="L1413" t="str">
        <f>CONCATENATE(Table2[[#This Row],[Family Size2]],"members")</f>
        <v>5members</v>
      </c>
      <c r="M1413">
        <v>5</v>
      </c>
    </row>
    <row r="1414" spans="1:13">
      <c r="A1414">
        <v>1413</v>
      </c>
      <c r="B1414" t="s">
        <v>8</v>
      </c>
      <c r="C1414">
        <v>20</v>
      </c>
      <c r="D1414" t="str" cm="1">
        <f t="array" ref="D1414">_xlfn.IFS(Table2[[#This Row],[Age]]&lt;=11,"Gen A",Table2[[#This Row],[Age]]&lt;=27,"Gen Z",Table2[[#This Row],[Age]]&lt;=43,"Millenials",Table2[[#This Row],[Age]]&lt;=59,"Gen X",Table2[[#This Row],[Age]]&lt;=78,"Baby Boomers",Table2[[#This Row],[Age]]&lt;=96,"Silent",Table2[[#This Row],[Age]]&gt;=97,"Greatest")</f>
        <v>Gen Z</v>
      </c>
      <c r="E1414" s="1">
        <v>106941</v>
      </c>
      <c r="F1414">
        <v>73</v>
      </c>
      <c r="G1414" t="str" cm="1">
        <f t="array" ref="G1414">_xlfn.IFS(Table2[[#This Row],[Spending Score (1-100)]]&lt;=25,"Low",Table2[[#This Row],[Spending Score (1-100)]]&lt;=50,"Medium",Table2[[#This Row],[Spending Score (1-100)]]&lt;=75,"High",Table2[[#This Row],[Spending Score (1-100)]]&lt;=100,"Very High")</f>
        <v>High</v>
      </c>
      <c r="H1414" t="s">
        <v>14</v>
      </c>
      <c r="I1414">
        <v>1</v>
      </c>
      <c r="J1414" t="str">
        <f>CONCATENATE(Table2[[#This Row],[Work Experience]],"years")</f>
        <v>1years</v>
      </c>
      <c r="K1414" t="str">
        <f>CONCATENATE(Table2[[#This Row],[Family Size2]],"members")</f>
        <v>1members</v>
      </c>
      <c r="L1414" t="str">
        <f>CONCATENATE(Table2[[#This Row],[Family Size2]],"members")</f>
        <v>1members</v>
      </c>
      <c r="M1414">
        <v>1</v>
      </c>
    </row>
    <row r="1415" spans="1:13">
      <c r="A1415">
        <v>1414</v>
      </c>
      <c r="B1415" t="s">
        <v>8</v>
      </c>
      <c r="C1415">
        <v>43</v>
      </c>
      <c r="D1415" t="str" cm="1">
        <f t="array" ref="D1415">_xlfn.IFS(Table2[[#This Row],[Age]]&lt;=11,"Gen A",Table2[[#This Row],[Age]]&lt;=27,"Gen Z",Table2[[#This Row],[Age]]&lt;=43,"Millenials",Table2[[#This Row],[Age]]&lt;=59,"Gen X",Table2[[#This Row],[Age]]&lt;=78,"Baby Boomers",Table2[[#This Row],[Age]]&lt;=96,"Silent",Table2[[#This Row],[Age]]&gt;=97,"Greatest")</f>
        <v>Millenials</v>
      </c>
      <c r="E1415" s="1">
        <v>129782</v>
      </c>
      <c r="F1415">
        <v>31</v>
      </c>
      <c r="G1415" t="str" cm="1">
        <f t="array" ref="G1415">_xlfn.IFS(Table2[[#This Row],[Spending Score (1-100)]]&lt;=25,"Low",Table2[[#This Row],[Spending Score (1-100)]]&lt;=50,"Medium",Table2[[#This Row],[Spending Score (1-100)]]&lt;=75,"High",Table2[[#This Row],[Spending Score (1-100)]]&lt;=100,"Very High")</f>
        <v>Medium</v>
      </c>
      <c r="H1415" t="s">
        <v>13</v>
      </c>
      <c r="I1415">
        <v>1</v>
      </c>
      <c r="J1415" t="str">
        <f>CONCATENATE(Table2[[#This Row],[Work Experience]],"years")</f>
        <v>1years</v>
      </c>
      <c r="K1415" t="str">
        <f>CONCATENATE(Table2[[#This Row],[Family Size2]],"members")</f>
        <v>2members</v>
      </c>
      <c r="L1415" t="str">
        <f>CONCATENATE(Table2[[#This Row],[Family Size2]],"members")</f>
        <v>2members</v>
      </c>
      <c r="M1415">
        <v>2</v>
      </c>
    </row>
    <row r="1416" spans="1:13">
      <c r="A1416">
        <v>1415</v>
      </c>
      <c r="B1416" t="s">
        <v>8</v>
      </c>
      <c r="C1416">
        <v>93</v>
      </c>
      <c r="D1416" t="str" cm="1">
        <f t="array" ref="D1416">_xlfn.IFS(Table2[[#This Row],[Age]]&lt;=11,"Gen A",Table2[[#This Row],[Age]]&lt;=27,"Gen Z",Table2[[#This Row],[Age]]&lt;=43,"Millenials",Table2[[#This Row],[Age]]&lt;=59,"Gen X",Table2[[#This Row],[Age]]&lt;=78,"Baby Boomers",Table2[[#This Row],[Age]]&lt;=96,"Silent",Table2[[#This Row],[Age]]&gt;=97,"Greatest")</f>
        <v>Silent</v>
      </c>
      <c r="E1416" s="1">
        <v>121513</v>
      </c>
      <c r="F1416">
        <v>90</v>
      </c>
      <c r="G1416" t="str" cm="1">
        <f t="array" ref="G1416">_xlfn.IFS(Table2[[#This Row],[Spending Score (1-100)]]&lt;=25,"Low",Table2[[#This Row],[Spending Score (1-100)]]&lt;=50,"Medium",Table2[[#This Row],[Spending Score (1-100)]]&lt;=75,"High",Table2[[#This Row],[Spending Score (1-100)]]&lt;=100,"Very High")</f>
        <v>Very High</v>
      </c>
      <c r="H1416" t="s">
        <v>10</v>
      </c>
      <c r="I1416">
        <v>0</v>
      </c>
      <c r="J1416" t="str">
        <f>CONCATENATE(Table2[[#This Row],[Work Experience]],"years")</f>
        <v>0years</v>
      </c>
      <c r="K1416" t="str">
        <f>CONCATENATE(Table2[[#This Row],[Family Size2]],"members")</f>
        <v>6members</v>
      </c>
      <c r="L1416" t="str">
        <f>CONCATENATE(Table2[[#This Row],[Family Size2]],"members")</f>
        <v>6members</v>
      </c>
      <c r="M1416">
        <v>6</v>
      </c>
    </row>
    <row r="1417" spans="1:13">
      <c r="A1417">
        <v>1416</v>
      </c>
      <c r="B1417" t="s">
        <v>11</v>
      </c>
      <c r="C1417">
        <v>54</v>
      </c>
      <c r="D1417" t="str" cm="1">
        <f t="array" ref="D1417">_xlfn.IFS(Table2[[#This Row],[Age]]&lt;=11,"Gen A",Table2[[#This Row],[Age]]&lt;=27,"Gen Z",Table2[[#This Row],[Age]]&lt;=43,"Millenials",Table2[[#This Row],[Age]]&lt;=59,"Gen X",Table2[[#This Row],[Age]]&lt;=78,"Baby Boomers",Table2[[#This Row],[Age]]&lt;=96,"Silent",Table2[[#This Row],[Age]]&gt;=97,"Greatest")</f>
        <v>Gen X</v>
      </c>
      <c r="E1417" s="1">
        <v>79925</v>
      </c>
      <c r="F1417">
        <v>30</v>
      </c>
      <c r="G1417" t="str" cm="1">
        <f t="array" ref="G1417">_xlfn.IFS(Table2[[#This Row],[Spending Score (1-100)]]&lt;=25,"Low",Table2[[#This Row],[Spending Score (1-100)]]&lt;=50,"Medium",Table2[[#This Row],[Spending Score (1-100)]]&lt;=75,"High",Table2[[#This Row],[Spending Score (1-100)]]&lt;=100,"Very High")</f>
        <v>Medium</v>
      </c>
      <c r="H1417" t="s">
        <v>9</v>
      </c>
      <c r="I1417">
        <v>0</v>
      </c>
      <c r="J1417" t="str">
        <f>CONCATENATE(Table2[[#This Row],[Work Experience]],"years")</f>
        <v>0years</v>
      </c>
      <c r="K1417" t="str">
        <f>CONCATENATE(Table2[[#This Row],[Family Size2]],"members")</f>
        <v>3members</v>
      </c>
      <c r="L1417" t="str">
        <f>CONCATENATE(Table2[[#This Row],[Family Size2]],"members")</f>
        <v>3members</v>
      </c>
      <c r="M1417">
        <v>3</v>
      </c>
    </row>
    <row r="1418" spans="1:13">
      <c r="A1418">
        <v>1417</v>
      </c>
      <c r="B1418" t="s">
        <v>8</v>
      </c>
      <c r="C1418">
        <v>23</v>
      </c>
      <c r="D1418" t="str" cm="1">
        <f t="array" ref="D1418">_xlfn.IFS(Table2[[#This Row],[Age]]&lt;=11,"Gen A",Table2[[#This Row],[Age]]&lt;=27,"Gen Z",Table2[[#This Row],[Age]]&lt;=43,"Millenials",Table2[[#This Row],[Age]]&lt;=59,"Gen X",Table2[[#This Row],[Age]]&lt;=78,"Baby Boomers",Table2[[#This Row],[Age]]&lt;=96,"Silent",Table2[[#This Row],[Age]]&gt;=97,"Greatest")</f>
        <v>Gen Z</v>
      </c>
      <c r="E1418" s="1">
        <v>112089</v>
      </c>
      <c r="F1418">
        <v>74</v>
      </c>
      <c r="G1418" t="str" cm="1">
        <f t="array" ref="G1418">_xlfn.IFS(Table2[[#This Row],[Spending Score (1-100)]]&lt;=25,"Low",Table2[[#This Row],[Spending Score (1-100)]]&lt;=50,"Medium",Table2[[#This Row],[Spending Score (1-100)]]&lt;=75,"High",Table2[[#This Row],[Spending Score (1-100)]]&lt;=100,"Very High")</f>
        <v>High</v>
      </c>
      <c r="H1418" t="s">
        <v>9</v>
      </c>
      <c r="I1418">
        <v>7</v>
      </c>
      <c r="J1418" t="str">
        <f>CONCATENATE(Table2[[#This Row],[Work Experience]],"years")</f>
        <v>7years</v>
      </c>
      <c r="K1418" t="str">
        <f>CONCATENATE(Table2[[#This Row],[Family Size2]],"members")</f>
        <v>7members</v>
      </c>
      <c r="L1418" t="str">
        <f>CONCATENATE(Table2[[#This Row],[Family Size2]],"members")</f>
        <v>7members</v>
      </c>
      <c r="M1418">
        <v>7</v>
      </c>
    </row>
    <row r="1419" spans="1:13">
      <c r="A1419">
        <v>1418</v>
      </c>
      <c r="B1419" t="s">
        <v>11</v>
      </c>
      <c r="C1419">
        <v>1</v>
      </c>
      <c r="D1419" t="str" cm="1">
        <f t="array" ref="D1419">_xlfn.IFS(Table2[[#This Row],[Age]]&lt;=11,"Gen A",Table2[[#This Row],[Age]]&lt;=27,"Gen Z",Table2[[#This Row],[Age]]&lt;=43,"Millenials",Table2[[#This Row],[Age]]&lt;=59,"Gen X",Table2[[#This Row],[Age]]&lt;=78,"Baby Boomers",Table2[[#This Row],[Age]]&lt;=96,"Silent",Table2[[#This Row],[Age]]&gt;=97,"Greatest")</f>
        <v>Gen A</v>
      </c>
      <c r="E1419" s="1">
        <v>138656</v>
      </c>
      <c r="F1419">
        <v>27</v>
      </c>
      <c r="G1419" t="str" cm="1">
        <f t="array" ref="G1419">_xlfn.IFS(Table2[[#This Row],[Spending Score (1-100)]]&lt;=25,"Low",Table2[[#This Row],[Spending Score (1-100)]]&lt;=50,"Medium",Table2[[#This Row],[Spending Score (1-100)]]&lt;=75,"High",Table2[[#This Row],[Spending Score (1-100)]]&lt;=100,"Very High")</f>
        <v>Medium</v>
      </c>
      <c r="H1419" t="s">
        <v>19</v>
      </c>
      <c r="I1419">
        <v>3</v>
      </c>
      <c r="J1419" t="str">
        <f>CONCATENATE(Table2[[#This Row],[Work Experience]],"years")</f>
        <v>3years</v>
      </c>
      <c r="K1419" t="str">
        <f>CONCATENATE(Table2[[#This Row],[Family Size2]],"members")</f>
        <v>4members</v>
      </c>
      <c r="L1419" t="str">
        <f>CONCATENATE(Table2[[#This Row],[Family Size2]],"members")</f>
        <v>4members</v>
      </c>
      <c r="M1419">
        <v>4</v>
      </c>
    </row>
    <row r="1420" spans="1:13">
      <c r="A1420">
        <v>1419</v>
      </c>
      <c r="B1420" t="s">
        <v>11</v>
      </c>
      <c r="C1420">
        <v>64</v>
      </c>
      <c r="D1420" t="str" cm="1">
        <f t="array" ref="D1420">_xlfn.IFS(Table2[[#This Row],[Age]]&lt;=11,"Gen A",Table2[[#This Row],[Age]]&lt;=27,"Gen Z",Table2[[#This Row],[Age]]&lt;=43,"Millenials",Table2[[#This Row],[Age]]&lt;=59,"Gen X",Table2[[#This Row],[Age]]&lt;=78,"Baby Boomers",Table2[[#This Row],[Age]]&lt;=96,"Silent",Table2[[#This Row],[Age]]&gt;=97,"Greatest")</f>
        <v>Baby Boomers</v>
      </c>
      <c r="E1420" s="1">
        <v>146794</v>
      </c>
      <c r="F1420">
        <v>90</v>
      </c>
      <c r="G1420" t="str" cm="1">
        <f t="array" ref="G1420">_xlfn.IFS(Table2[[#This Row],[Spending Score (1-100)]]&lt;=25,"Low",Table2[[#This Row],[Spending Score (1-100)]]&lt;=50,"Medium",Table2[[#This Row],[Spending Score (1-100)]]&lt;=75,"High",Table2[[#This Row],[Spending Score (1-100)]]&lt;=100,"Very High")</f>
        <v>Very High</v>
      </c>
      <c r="H1420" t="s">
        <v>9</v>
      </c>
      <c r="I1420">
        <v>8</v>
      </c>
      <c r="J1420" t="str">
        <f>CONCATENATE(Table2[[#This Row],[Work Experience]],"years")</f>
        <v>8years</v>
      </c>
      <c r="K1420" t="str">
        <f>CONCATENATE(Table2[[#This Row],[Family Size2]],"members")</f>
        <v>3members</v>
      </c>
      <c r="L1420" t="str">
        <f>CONCATENATE(Table2[[#This Row],[Family Size2]],"members")</f>
        <v>3members</v>
      </c>
      <c r="M1420">
        <v>3</v>
      </c>
    </row>
    <row r="1421" spans="1:13">
      <c r="A1421">
        <v>1420</v>
      </c>
      <c r="B1421" t="s">
        <v>11</v>
      </c>
      <c r="C1421">
        <v>55</v>
      </c>
      <c r="D1421" t="str" cm="1">
        <f t="array" ref="D1421">_xlfn.IFS(Table2[[#This Row],[Age]]&lt;=11,"Gen A",Table2[[#This Row],[Age]]&lt;=27,"Gen Z",Table2[[#This Row],[Age]]&lt;=43,"Millenials",Table2[[#This Row],[Age]]&lt;=59,"Gen X",Table2[[#This Row],[Age]]&lt;=78,"Baby Boomers",Table2[[#This Row],[Age]]&lt;=96,"Silent",Table2[[#This Row],[Age]]&gt;=97,"Greatest")</f>
        <v>Gen X</v>
      </c>
      <c r="E1421" s="1">
        <v>75033</v>
      </c>
      <c r="F1421">
        <v>30</v>
      </c>
      <c r="G1421" t="str" cm="1">
        <f t="array" ref="G1421">_xlfn.IFS(Table2[[#This Row],[Spending Score (1-100)]]&lt;=25,"Low",Table2[[#This Row],[Spending Score (1-100)]]&lt;=50,"Medium",Table2[[#This Row],[Spending Score (1-100)]]&lt;=75,"High",Table2[[#This Row],[Spending Score (1-100)]]&lt;=100,"Very High")</f>
        <v>Medium</v>
      </c>
      <c r="H1421" t="s">
        <v>10</v>
      </c>
      <c r="I1421">
        <v>5</v>
      </c>
      <c r="J1421" t="str">
        <f>CONCATENATE(Table2[[#This Row],[Work Experience]],"years")</f>
        <v>5years</v>
      </c>
      <c r="K1421" t="str">
        <f>CONCATENATE(Table2[[#This Row],[Family Size2]],"members")</f>
        <v>5members</v>
      </c>
      <c r="L1421" t="str">
        <f>CONCATENATE(Table2[[#This Row],[Family Size2]],"members")</f>
        <v>5members</v>
      </c>
      <c r="M1421">
        <v>5</v>
      </c>
    </row>
    <row r="1422" spans="1:13">
      <c r="A1422">
        <v>1421</v>
      </c>
      <c r="B1422" t="s">
        <v>11</v>
      </c>
      <c r="C1422">
        <v>85</v>
      </c>
      <c r="D1422" t="str" cm="1">
        <f t="array" ref="D1422">_xlfn.IFS(Table2[[#This Row],[Age]]&lt;=11,"Gen A",Table2[[#This Row],[Age]]&lt;=27,"Gen Z",Table2[[#This Row],[Age]]&lt;=43,"Millenials",Table2[[#This Row],[Age]]&lt;=59,"Gen X",Table2[[#This Row],[Age]]&lt;=78,"Baby Boomers",Table2[[#This Row],[Age]]&lt;=96,"Silent",Table2[[#This Row],[Age]]&gt;=97,"Greatest")</f>
        <v>Silent</v>
      </c>
      <c r="E1422" s="1">
        <v>149969</v>
      </c>
      <c r="F1422">
        <v>78</v>
      </c>
      <c r="G1422" t="str" cm="1">
        <f t="array" ref="G1422">_xlfn.IFS(Table2[[#This Row],[Spending Score (1-100)]]&lt;=25,"Low",Table2[[#This Row],[Spending Score (1-100)]]&lt;=50,"Medium",Table2[[#This Row],[Spending Score (1-100)]]&lt;=75,"High",Table2[[#This Row],[Spending Score (1-100)]]&lt;=100,"Very High")</f>
        <v>Very High</v>
      </c>
      <c r="H1422" t="s">
        <v>15</v>
      </c>
      <c r="I1422">
        <v>0</v>
      </c>
      <c r="J1422" t="str">
        <f>CONCATENATE(Table2[[#This Row],[Work Experience]],"years")</f>
        <v>0years</v>
      </c>
      <c r="K1422" t="str">
        <f>CONCATENATE(Table2[[#This Row],[Family Size2]],"members")</f>
        <v>6members</v>
      </c>
      <c r="L1422" t="str">
        <f>CONCATENATE(Table2[[#This Row],[Family Size2]],"members")</f>
        <v>6members</v>
      </c>
      <c r="M1422">
        <v>6</v>
      </c>
    </row>
    <row r="1423" spans="1:13">
      <c r="A1423">
        <v>1422</v>
      </c>
      <c r="B1423" t="s">
        <v>11</v>
      </c>
      <c r="C1423">
        <v>20</v>
      </c>
      <c r="D1423" t="str" cm="1">
        <f t="array" ref="D1423">_xlfn.IFS(Table2[[#This Row],[Age]]&lt;=11,"Gen A",Table2[[#This Row],[Age]]&lt;=27,"Gen Z",Table2[[#This Row],[Age]]&lt;=43,"Millenials",Table2[[#This Row],[Age]]&lt;=59,"Gen X",Table2[[#This Row],[Age]]&lt;=78,"Baby Boomers",Table2[[#This Row],[Age]]&lt;=96,"Silent",Table2[[#This Row],[Age]]&gt;=97,"Greatest")</f>
        <v>Gen Z</v>
      </c>
      <c r="E1423" s="1">
        <v>124852</v>
      </c>
      <c r="F1423">
        <v>39</v>
      </c>
      <c r="G1423" t="str" cm="1">
        <f t="array" ref="G1423">_xlfn.IFS(Table2[[#This Row],[Spending Score (1-100)]]&lt;=25,"Low",Table2[[#This Row],[Spending Score (1-100)]]&lt;=50,"Medium",Table2[[#This Row],[Spending Score (1-100)]]&lt;=75,"High",Table2[[#This Row],[Spending Score (1-100)]]&lt;=100,"Very High")</f>
        <v>Medium</v>
      </c>
      <c r="H1423" t="s">
        <v>9</v>
      </c>
      <c r="I1423">
        <v>5</v>
      </c>
      <c r="J1423" t="str">
        <f>CONCATENATE(Table2[[#This Row],[Work Experience]],"years")</f>
        <v>5years</v>
      </c>
      <c r="K1423" t="str">
        <f>CONCATENATE(Table2[[#This Row],[Family Size2]],"members")</f>
        <v>5members</v>
      </c>
      <c r="L1423" t="str">
        <f>CONCATENATE(Table2[[#This Row],[Family Size2]],"members")</f>
        <v>5members</v>
      </c>
      <c r="M1423">
        <v>5</v>
      </c>
    </row>
    <row r="1424" spans="1:13">
      <c r="A1424">
        <v>1423</v>
      </c>
      <c r="B1424" t="s">
        <v>8</v>
      </c>
      <c r="C1424">
        <v>73</v>
      </c>
      <c r="D1424" t="str" cm="1">
        <f t="array" ref="D1424">_xlfn.IFS(Table2[[#This Row],[Age]]&lt;=11,"Gen A",Table2[[#This Row],[Age]]&lt;=27,"Gen Z",Table2[[#This Row],[Age]]&lt;=43,"Millenials",Table2[[#This Row],[Age]]&lt;=59,"Gen X",Table2[[#This Row],[Age]]&lt;=78,"Baby Boomers",Table2[[#This Row],[Age]]&lt;=96,"Silent",Table2[[#This Row],[Age]]&gt;=97,"Greatest")</f>
        <v>Baby Boomers</v>
      </c>
      <c r="E1424" s="1">
        <v>154837</v>
      </c>
      <c r="F1424">
        <v>42</v>
      </c>
      <c r="G1424" t="str" cm="1">
        <f t="array" ref="G1424">_xlfn.IFS(Table2[[#This Row],[Spending Score (1-100)]]&lt;=25,"Low",Table2[[#This Row],[Spending Score (1-100)]]&lt;=50,"Medium",Table2[[#This Row],[Spending Score (1-100)]]&lt;=75,"High",Table2[[#This Row],[Spending Score (1-100)]]&lt;=100,"Very High")</f>
        <v>Medium</v>
      </c>
      <c r="H1424" t="s">
        <v>15</v>
      </c>
      <c r="I1424">
        <v>8</v>
      </c>
      <c r="J1424" t="str">
        <f>CONCATENATE(Table2[[#This Row],[Work Experience]],"years")</f>
        <v>8years</v>
      </c>
      <c r="K1424" t="str">
        <f>CONCATENATE(Table2[[#This Row],[Family Size2]],"members")</f>
        <v>4members</v>
      </c>
      <c r="L1424" t="str">
        <f>CONCATENATE(Table2[[#This Row],[Family Size2]],"members")</f>
        <v>4members</v>
      </c>
      <c r="M1424">
        <v>4</v>
      </c>
    </row>
    <row r="1425" spans="1:13">
      <c r="A1425">
        <v>1424</v>
      </c>
      <c r="B1425" t="s">
        <v>11</v>
      </c>
      <c r="C1425">
        <v>53</v>
      </c>
      <c r="D1425" t="str" cm="1">
        <f t="array" ref="D1425">_xlfn.IFS(Table2[[#This Row],[Age]]&lt;=11,"Gen A",Table2[[#This Row],[Age]]&lt;=27,"Gen Z",Table2[[#This Row],[Age]]&lt;=43,"Millenials",Table2[[#This Row],[Age]]&lt;=59,"Gen X",Table2[[#This Row],[Age]]&lt;=78,"Baby Boomers",Table2[[#This Row],[Age]]&lt;=96,"Silent",Table2[[#This Row],[Age]]&gt;=97,"Greatest")</f>
        <v>Gen X</v>
      </c>
      <c r="E1425" s="1">
        <v>145678</v>
      </c>
      <c r="F1425">
        <v>55</v>
      </c>
      <c r="G1425" t="str" cm="1">
        <f t="array" ref="G1425">_xlfn.IFS(Table2[[#This Row],[Spending Score (1-100)]]&lt;=25,"Low",Table2[[#This Row],[Spending Score (1-100)]]&lt;=50,"Medium",Table2[[#This Row],[Spending Score (1-100)]]&lt;=75,"High",Table2[[#This Row],[Spending Score (1-100)]]&lt;=100,"Very High")</f>
        <v>High</v>
      </c>
      <c r="H1425" t="s">
        <v>15</v>
      </c>
      <c r="I1425">
        <v>0</v>
      </c>
      <c r="J1425" t="str">
        <f>CONCATENATE(Table2[[#This Row],[Work Experience]],"years")</f>
        <v>0years</v>
      </c>
      <c r="K1425" t="str">
        <f>CONCATENATE(Table2[[#This Row],[Family Size2]],"members")</f>
        <v>1members</v>
      </c>
      <c r="L1425" t="str">
        <f>CONCATENATE(Table2[[#This Row],[Family Size2]],"members")</f>
        <v>1members</v>
      </c>
      <c r="M1425">
        <v>1</v>
      </c>
    </row>
    <row r="1426" spans="1:13">
      <c r="A1426">
        <v>1425</v>
      </c>
      <c r="B1426" t="s">
        <v>11</v>
      </c>
      <c r="C1426">
        <v>7</v>
      </c>
      <c r="D1426" t="str" cm="1">
        <f t="array" ref="D1426">_xlfn.IFS(Table2[[#This Row],[Age]]&lt;=11,"Gen A",Table2[[#This Row],[Age]]&lt;=27,"Gen Z",Table2[[#This Row],[Age]]&lt;=43,"Millenials",Table2[[#This Row],[Age]]&lt;=59,"Gen X",Table2[[#This Row],[Age]]&lt;=78,"Baby Boomers",Table2[[#This Row],[Age]]&lt;=96,"Silent",Table2[[#This Row],[Age]]&gt;=97,"Greatest")</f>
        <v>Gen A</v>
      </c>
      <c r="E1426" s="1">
        <v>137354</v>
      </c>
      <c r="F1426">
        <v>89</v>
      </c>
      <c r="G1426" t="str" cm="1">
        <f t="array" ref="G1426">_xlfn.IFS(Table2[[#This Row],[Spending Score (1-100)]]&lt;=25,"Low",Table2[[#This Row],[Spending Score (1-100)]]&lt;=50,"Medium",Table2[[#This Row],[Spending Score (1-100)]]&lt;=75,"High",Table2[[#This Row],[Spending Score (1-100)]]&lt;=100,"Very High")</f>
        <v>Very High</v>
      </c>
      <c r="H1426" t="s">
        <v>14</v>
      </c>
      <c r="I1426">
        <v>8</v>
      </c>
      <c r="J1426" t="str">
        <f>CONCATENATE(Table2[[#This Row],[Work Experience]],"years")</f>
        <v>8years</v>
      </c>
      <c r="K1426" t="str">
        <f>CONCATENATE(Table2[[#This Row],[Family Size2]],"members")</f>
        <v>7members</v>
      </c>
      <c r="L1426" t="str">
        <f>CONCATENATE(Table2[[#This Row],[Family Size2]],"members")</f>
        <v>7members</v>
      </c>
      <c r="M1426">
        <v>7</v>
      </c>
    </row>
    <row r="1427" spans="1:13">
      <c r="A1427">
        <v>1426</v>
      </c>
      <c r="B1427" t="s">
        <v>11</v>
      </c>
      <c r="C1427">
        <v>50</v>
      </c>
      <c r="D1427" t="str" cm="1">
        <f t="array" ref="D1427">_xlfn.IFS(Table2[[#This Row],[Age]]&lt;=11,"Gen A",Table2[[#This Row],[Age]]&lt;=27,"Gen Z",Table2[[#This Row],[Age]]&lt;=43,"Millenials",Table2[[#This Row],[Age]]&lt;=59,"Gen X",Table2[[#This Row],[Age]]&lt;=78,"Baby Boomers",Table2[[#This Row],[Age]]&lt;=96,"Silent",Table2[[#This Row],[Age]]&gt;=97,"Greatest")</f>
        <v>Gen X</v>
      </c>
      <c r="E1427" s="1">
        <v>136660</v>
      </c>
      <c r="F1427">
        <v>48</v>
      </c>
      <c r="G1427" t="str" cm="1">
        <f t="array" ref="G1427">_xlfn.IFS(Table2[[#This Row],[Spending Score (1-100)]]&lt;=25,"Low",Table2[[#This Row],[Spending Score (1-100)]]&lt;=50,"Medium",Table2[[#This Row],[Spending Score (1-100)]]&lt;=75,"High",Table2[[#This Row],[Spending Score (1-100)]]&lt;=100,"Very High")</f>
        <v>Medium</v>
      </c>
      <c r="H1427" t="s">
        <v>13</v>
      </c>
      <c r="I1427">
        <v>1</v>
      </c>
      <c r="J1427" t="str">
        <f>CONCATENATE(Table2[[#This Row],[Work Experience]],"years")</f>
        <v>1years</v>
      </c>
      <c r="K1427" t="str">
        <f>CONCATENATE(Table2[[#This Row],[Family Size2]],"members")</f>
        <v>3members</v>
      </c>
      <c r="L1427" t="str">
        <f>CONCATENATE(Table2[[#This Row],[Family Size2]],"members")</f>
        <v>3members</v>
      </c>
      <c r="M1427">
        <v>3</v>
      </c>
    </row>
    <row r="1428" spans="1:13">
      <c r="A1428">
        <v>1427</v>
      </c>
      <c r="B1428" t="s">
        <v>11</v>
      </c>
      <c r="C1428">
        <v>12</v>
      </c>
      <c r="D1428" t="str" cm="1">
        <f t="array" ref="D1428">_xlfn.IFS(Table2[[#This Row],[Age]]&lt;=11,"Gen A",Table2[[#This Row],[Age]]&lt;=27,"Gen Z",Table2[[#This Row],[Age]]&lt;=43,"Millenials",Table2[[#This Row],[Age]]&lt;=59,"Gen X",Table2[[#This Row],[Age]]&lt;=78,"Baby Boomers",Table2[[#This Row],[Age]]&lt;=96,"Silent",Table2[[#This Row],[Age]]&gt;=97,"Greatest")</f>
        <v>Gen Z</v>
      </c>
      <c r="E1428" s="1">
        <v>63334</v>
      </c>
      <c r="F1428">
        <v>99</v>
      </c>
      <c r="G1428" t="str" cm="1">
        <f t="array" ref="G1428">_xlfn.IFS(Table2[[#This Row],[Spending Score (1-100)]]&lt;=25,"Low",Table2[[#This Row],[Spending Score (1-100)]]&lt;=50,"Medium",Table2[[#This Row],[Spending Score (1-100)]]&lt;=75,"High",Table2[[#This Row],[Spending Score (1-100)]]&lt;=100,"Very High")</f>
        <v>Very High</v>
      </c>
      <c r="H1428" t="s">
        <v>14</v>
      </c>
      <c r="I1428">
        <v>0</v>
      </c>
      <c r="J1428" t="str">
        <f>CONCATENATE(Table2[[#This Row],[Work Experience]],"years")</f>
        <v>0years</v>
      </c>
      <c r="K1428" t="str">
        <f>CONCATENATE(Table2[[#This Row],[Family Size2]],"members")</f>
        <v>6members</v>
      </c>
      <c r="L1428" t="str">
        <f>CONCATENATE(Table2[[#This Row],[Family Size2]],"members")</f>
        <v>6members</v>
      </c>
      <c r="M1428">
        <v>6</v>
      </c>
    </row>
    <row r="1429" spans="1:13">
      <c r="A1429">
        <v>1428</v>
      </c>
      <c r="B1429" t="s">
        <v>8</v>
      </c>
      <c r="C1429">
        <v>37</v>
      </c>
      <c r="D1429" t="str" cm="1">
        <f t="array" ref="D1429">_xlfn.IFS(Table2[[#This Row],[Age]]&lt;=11,"Gen A",Table2[[#This Row],[Age]]&lt;=27,"Gen Z",Table2[[#This Row],[Age]]&lt;=43,"Millenials",Table2[[#This Row],[Age]]&lt;=59,"Gen X",Table2[[#This Row],[Age]]&lt;=78,"Baby Boomers",Table2[[#This Row],[Age]]&lt;=96,"Silent",Table2[[#This Row],[Age]]&gt;=97,"Greatest")</f>
        <v>Millenials</v>
      </c>
      <c r="E1429" s="1">
        <v>62893</v>
      </c>
      <c r="F1429">
        <v>29</v>
      </c>
      <c r="G1429" t="str" cm="1">
        <f t="array" ref="G1429">_xlfn.IFS(Table2[[#This Row],[Spending Score (1-100)]]&lt;=25,"Low",Table2[[#This Row],[Spending Score (1-100)]]&lt;=50,"Medium",Table2[[#This Row],[Spending Score (1-100)]]&lt;=75,"High",Table2[[#This Row],[Spending Score (1-100)]]&lt;=100,"Very High")</f>
        <v>Medium</v>
      </c>
      <c r="H1429" t="s">
        <v>15</v>
      </c>
      <c r="I1429">
        <v>1</v>
      </c>
      <c r="J1429" t="str">
        <f>CONCATENATE(Table2[[#This Row],[Work Experience]],"years")</f>
        <v>1years</v>
      </c>
      <c r="K1429" t="str">
        <f>CONCATENATE(Table2[[#This Row],[Family Size2]],"members")</f>
        <v>5members</v>
      </c>
      <c r="L1429" t="str">
        <f>CONCATENATE(Table2[[#This Row],[Family Size2]],"members")</f>
        <v>5members</v>
      </c>
      <c r="M1429">
        <v>5</v>
      </c>
    </row>
    <row r="1430" spans="1:13">
      <c r="A1430">
        <v>1429</v>
      </c>
      <c r="B1430" t="s">
        <v>8</v>
      </c>
      <c r="C1430">
        <v>78</v>
      </c>
      <c r="D1430" t="str" cm="1">
        <f t="array" ref="D1430">_xlfn.IFS(Table2[[#This Row],[Age]]&lt;=11,"Gen A",Table2[[#This Row],[Age]]&lt;=27,"Gen Z",Table2[[#This Row],[Age]]&lt;=43,"Millenials",Table2[[#This Row],[Age]]&lt;=59,"Gen X",Table2[[#This Row],[Age]]&lt;=78,"Baby Boomers",Table2[[#This Row],[Age]]&lt;=96,"Silent",Table2[[#This Row],[Age]]&gt;=97,"Greatest")</f>
        <v>Baby Boomers</v>
      </c>
      <c r="E1430" s="1">
        <v>163514</v>
      </c>
      <c r="F1430">
        <v>89</v>
      </c>
      <c r="G1430" t="str" cm="1">
        <f t="array" ref="G1430">_xlfn.IFS(Table2[[#This Row],[Spending Score (1-100)]]&lt;=25,"Low",Table2[[#This Row],[Spending Score (1-100)]]&lt;=50,"Medium",Table2[[#This Row],[Spending Score (1-100)]]&lt;=75,"High",Table2[[#This Row],[Spending Score (1-100)]]&lt;=100,"Very High")</f>
        <v>Very High</v>
      </c>
      <c r="H1430" t="s">
        <v>16</v>
      </c>
      <c r="I1430">
        <v>9</v>
      </c>
      <c r="J1430" t="str">
        <f>CONCATENATE(Table2[[#This Row],[Work Experience]],"years")</f>
        <v>9years</v>
      </c>
      <c r="K1430" t="str">
        <f>CONCATENATE(Table2[[#This Row],[Family Size2]],"members")</f>
        <v>2members</v>
      </c>
      <c r="L1430" t="str">
        <f>CONCATENATE(Table2[[#This Row],[Family Size2]],"members")</f>
        <v>2members</v>
      </c>
      <c r="M1430">
        <v>2</v>
      </c>
    </row>
    <row r="1431" spans="1:13">
      <c r="A1431">
        <v>1430</v>
      </c>
      <c r="B1431" t="s">
        <v>8</v>
      </c>
      <c r="C1431">
        <v>29</v>
      </c>
      <c r="D1431" t="str" cm="1">
        <f t="array" ref="D1431">_xlfn.IFS(Table2[[#This Row],[Age]]&lt;=11,"Gen A",Table2[[#This Row],[Age]]&lt;=27,"Gen Z",Table2[[#This Row],[Age]]&lt;=43,"Millenials",Table2[[#This Row],[Age]]&lt;=59,"Gen X",Table2[[#This Row],[Age]]&lt;=78,"Baby Boomers",Table2[[#This Row],[Age]]&lt;=96,"Silent",Table2[[#This Row],[Age]]&gt;=97,"Greatest")</f>
        <v>Millenials</v>
      </c>
      <c r="E1431" s="1">
        <v>145934</v>
      </c>
      <c r="F1431">
        <v>40</v>
      </c>
      <c r="G1431" t="str" cm="1">
        <f t="array" ref="G1431">_xlfn.IFS(Table2[[#This Row],[Spending Score (1-100)]]&lt;=25,"Low",Table2[[#This Row],[Spending Score (1-100)]]&lt;=50,"Medium",Table2[[#This Row],[Spending Score (1-100)]]&lt;=75,"High",Table2[[#This Row],[Spending Score (1-100)]]&lt;=100,"Very High")</f>
        <v>Medium</v>
      </c>
      <c r="H1431" t="s">
        <v>18</v>
      </c>
      <c r="I1431">
        <v>10</v>
      </c>
      <c r="J1431" t="str">
        <f>CONCATENATE(Table2[[#This Row],[Work Experience]],"years")</f>
        <v>10years</v>
      </c>
      <c r="K1431" t="str">
        <f>CONCATENATE(Table2[[#This Row],[Family Size2]],"members")</f>
        <v>2members</v>
      </c>
      <c r="L1431" t="str">
        <f>CONCATENATE(Table2[[#This Row],[Family Size2]],"members")</f>
        <v>2members</v>
      </c>
      <c r="M1431">
        <v>2</v>
      </c>
    </row>
    <row r="1432" spans="1:13">
      <c r="A1432">
        <v>1431</v>
      </c>
      <c r="B1432" t="s">
        <v>11</v>
      </c>
      <c r="C1432">
        <v>54</v>
      </c>
      <c r="D1432" t="str" cm="1">
        <f t="array" ref="D1432">_xlfn.IFS(Table2[[#This Row],[Age]]&lt;=11,"Gen A",Table2[[#This Row],[Age]]&lt;=27,"Gen Z",Table2[[#This Row],[Age]]&lt;=43,"Millenials",Table2[[#This Row],[Age]]&lt;=59,"Gen X",Table2[[#This Row],[Age]]&lt;=78,"Baby Boomers",Table2[[#This Row],[Age]]&lt;=96,"Silent",Table2[[#This Row],[Age]]&gt;=97,"Greatest")</f>
        <v>Gen X</v>
      </c>
      <c r="E1432" s="1">
        <v>119223</v>
      </c>
      <c r="F1432">
        <v>58</v>
      </c>
      <c r="G1432" t="str" cm="1">
        <f t="array" ref="G1432">_xlfn.IFS(Table2[[#This Row],[Spending Score (1-100)]]&lt;=25,"Low",Table2[[#This Row],[Spending Score (1-100)]]&lt;=50,"Medium",Table2[[#This Row],[Spending Score (1-100)]]&lt;=75,"High",Table2[[#This Row],[Spending Score (1-100)]]&lt;=100,"Very High")</f>
        <v>High</v>
      </c>
      <c r="H1432" t="s">
        <v>12</v>
      </c>
      <c r="I1432">
        <v>10</v>
      </c>
      <c r="J1432" t="str">
        <f>CONCATENATE(Table2[[#This Row],[Work Experience]],"years")</f>
        <v>10years</v>
      </c>
      <c r="K1432" t="str">
        <f>CONCATENATE(Table2[[#This Row],[Family Size2]],"members")</f>
        <v>7members</v>
      </c>
      <c r="L1432" t="str">
        <f>CONCATENATE(Table2[[#This Row],[Family Size2]],"members")</f>
        <v>7members</v>
      </c>
      <c r="M1432">
        <v>7</v>
      </c>
    </row>
    <row r="1433" spans="1:13">
      <c r="A1433">
        <v>1432</v>
      </c>
      <c r="B1433" t="s">
        <v>8</v>
      </c>
      <c r="C1433">
        <v>89</v>
      </c>
      <c r="D1433" t="str" cm="1">
        <f t="array" ref="D1433">_xlfn.IFS(Table2[[#This Row],[Age]]&lt;=11,"Gen A",Table2[[#This Row],[Age]]&lt;=27,"Gen Z",Table2[[#This Row],[Age]]&lt;=43,"Millenials",Table2[[#This Row],[Age]]&lt;=59,"Gen X",Table2[[#This Row],[Age]]&lt;=78,"Baby Boomers",Table2[[#This Row],[Age]]&lt;=96,"Silent",Table2[[#This Row],[Age]]&gt;=97,"Greatest")</f>
        <v>Silent</v>
      </c>
      <c r="E1433" s="1">
        <v>127479</v>
      </c>
      <c r="F1433">
        <v>18</v>
      </c>
      <c r="G1433" t="str" cm="1">
        <f t="array" ref="G1433">_xlfn.IFS(Table2[[#This Row],[Spending Score (1-100)]]&lt;=25,"Low",Table2[[#This Row],[Spending Score (1-100)]]&lt;=50,"Medium",Table2[[#This Row],[Spending Score (1-100)]]&lt;=75,"High",Table2[[#This Row],[Spending Score (1-100)]]&lt;=100,"Very High")</f>
        <v>Low</v>
      </c>
      <c r="H1433" t="s">
        <v>16</v>
      </c>
      <c r="I1433">
        <v>10</v>
      </c>
      <c r="J1433" t="str">
        <f>CONCATENATE(Table2[[#This Row],[Work Experience]],"years")</f>
        <v>10years</v>
      </c>
      <c r="K1433" t="str">
        <f>CONCATENATE(Table2[[#This Row],[Family Size2]],"members")</f>
        <v>2members</v>
      </c>
      <c r="L1433" t="str">
        <f>CONCATENATE(Table2[[#This Row],[Family Size2]],"members")</f>
        <v>2members</v>
      </c>
      <c r="M1433">
        <v>2</v>
      </c>
    </row>
    <row r="1434" spans="1:13">
      <c r="A1434">
        <v>1433</v>
      </c>
      <c r="B1434" t="s">
        <v>11</v>
      </c>
      <c r="C1434">
        <v>25</v>
      </c>
      <c r="D1434" t="str" cm="1">
        <f t="array" ref="D1434">_xlfn.IFS(Table2[[#This Row],[Age]]&lt;=11,"Gen A",Table2[[#This Row],[Age]]&lt;=27,"Gen Z",Table2[[#This Row],[Age]]&lt;=43,"Millenials",Table2[[#This Row],[Age]]&lt;=59,"Gen X",Table2[[#This Row],[Age]]&lt;=78,"Baby Boomers",Table2[[#This Row],[Age]]&lt;=96,"Silent",Table2[[#This Row],[Age]]&gt;=97,"Greatest")</f>
        <v>Gen Z</v>
      </c>
      <c r="E1434" s="1">
        <v>136146</v>
      </c>
      <c r="F1434">
        <v>98</v>
      </c>
      <c r="G1434" t="str" cm="1">
        <f t="array" ref="G1434">_xlfn.IFS(Table2[[#This Row],[Spending Score (1-100)]]&lt;=25,"Low",Table2[[#This Row],[Spending Score (1-100)]]&lt;=50,"Medium",Table2[[#This Row],[Spending Score (1-100)]]&lt;=75,"High",Table2[[#This Row],[Spending Score (1-100)]]&lt;=100,"Very High")</f>
        <v>Very High</v>
      </c>
      <c r="H1434" t="s">
        <v>14</v>
      </c>
      <c r="I1434">
        <v>6</v>
      </c>
      <c r="J1434" t="str">
        <f>CONCATENATE(Table2[[#This Row],[Work Experience]],"years")</f>
        <v>6years</v>
      </c>
      <c r="K1434" t="str">
        <f>CONCATENATE(Table2[[#This Row],[Family Size2]],"members")</f>
        <v>6members</v>
      </c>
      <c r="L1434" t="str">
        <f>CONCATENATE(Table2[[#This Row],[Family Size2]],"members")</f>
        <v>6members</v>
      </c>
      <c r="M1434">
        <v>6</v>
      </c>
    </row>
    <row r="1435" spans="1:13">
      <c r="A1435">
        <v>1434</v>
      </c>
      <c r="B1435" t="s">
        <v>11</v>
      </c>
      <c r="C1435">
        <v>14</v>
      </c>
      <c r="D1435" t="str" cm="1">
        <f t="array" ref="D1435">_xlfn.IFS(Table2[[#This Row],[Age]]&lt;=11,"Gen A",Table2[[#This Row],[Age]]&lt;=27,"Gen Z",Table2[[#This Row],[Age]]&lt;=43,"Millenials",Table2[[#This Row],[Age]]&lt;=59,"Gen X",Table2[[#This Row],[Age]]&lt;=78,"Baby Boomers",Table2[[#This Row],[Age]]&lt;=96,"Silent",Table2[[#This Row],[Age]]&gt;=97,"Greatest")</f>
        <v>Gen Z</v>
      </c>
      <c r="E1435" s="1">
        <v>76001</v>
      </c>
      <c r="F1435">
        <v>46</v>
      </c>
      <c r="G1435" t="str" cm="1">
        <f t="array" ref="G1435">_xlfn.IFS(Table2[[#This Row],[Spending Score (1-100)]]&lt;=25,"Low",Table2[[#This Row],[Spending Score (1-100)]]&lt;=50,"Medium",Table2[[#This Row],[Spending Score (1-100)]]&lt;=75,"High",Table2[[#This Row],[Spending Score (1-100)]]&lt;=100,"Very High")</f>
        <v>Medium</v>
      </c>
      <c r="H1435" t="s">
        <v>14</v>
      </c>
      <c r="I1435">
        <v>7</v>
      </c>
      <c r="J1435" t="str">
        <f>CONCATENATE(Table2[[#This Row],[Work Experience]],"years")</f>
        <v>7years</v>
      </c>
      <c r="K1435" t="str">
        <f>CONCATENATE(Table2[[#This Row],[Family Size2]],"members")</f>
        <v>3members</v>
      </c>
      <c r="L1435" t="str">
        <f>CONCATENATE(Table2[[#This Row],[Family Size2]],"members")</f>
        <v>3members</v>
      </c>
      <c r="M1435">
        <v>3</v>
      </c>
    </row>
    <row r="1436" spans="1:13">
      <c r="A1436">
        <v>1435</v>
      </c>
      <c r="B1436" t="s">
        <v>11</v>
      </c>
      <c r="C1436">
        <v>12</v>
      </c>
      <c r="D1436" t="str" cm="1">
        <f t="array" ref="D1436">_xlfn.IFS(Table2[[#This Row],[Age]]&lt;=11,"Gen A",Table2[[#This Row],[Age]]&lt;=27,"Gen Z",Table2[[#This Row],[Age]]&lt;=43,"Millenials",Table2[[#This Row],[Age]]&lt;=59,"Gen X",Table2[[#This Row],[Age]]&lt;=78,"Baby Boomers",Table2[[#This Row],[Age]]&lt;=96,"Silent",Table2[[#This Row],[Age]]&gt;=97,"Greatest")</f>
        <v>Gen Z</v>
      </c>
      <c r="E1436" s="1">
        <v>84885</v>
      </c>
      <c r="F1436">
        <v>24</v>
      </c>
      <c r="G1436" t="str" cm="1">
        <f t="array" ref="G1436">_xlfn.IFS(Table2[[#This Row],[Spending Score (1-100)]]&lt;=25,"Low",Table2[[#This Row],[Spending Score (1-100)]]&lt;=50,"Medium",Table2[[#This Row],[Spending Score (1-100)]]&lt;=75,"High",Table2[[#This Row],[Spending Score (1-100)]]&lt;=100,"Very High")</f>
        <v>Low</v>
      </c>
      <c r="H1436" t="s">
        <v>9</v>
      </c>
      <c r="I1436">
        <v>6</v>
      </c>
      <c r="J1436" t="str">
        <f>CONCATENATE(Table2[[#This Row],[Work Experience]],"years")</f>
        <v>6years</v>
      </c>
      <c r="K1436" t="str">
        <f>CONCATENATE(Table2[[#This Row],[Family Size2]],"members")</f>
        <v>2members</v>
      </c>
      <c r="L1436" t="str">
        <f>CONCATENATE(Table2[[#This Row],[Family Size2]],"members")</f>
        <v>2members</v>
      </c>
      <c r="M1436">
        <v>2</v>
      </c>
    </row>
    <row r="1437" spans="1:13">
      <c r="A1437">
        <v>1436</v>
      </c>
      <c r="B1437" t="s">
        <v>11</v>
      </c>
      <c r="C1437">
        <v>18</v>
      </c>
      <c r="D1437" t="str" cm="1">
        <f t="array" ref="D1437">_xlfn.IFS(Table2[[#This Row],[Age]]&lt;=11,"Gen A",Table2[[#This Row],[Age]]&lt;=27,"Gen Z",Table2[[#This Row],[Age]]&lt;=43,"Millenials",Table2[[#This Row],[Age]]&lt;=59,"Gen X",Table2[[#This Row],[Age]]&lt;=78,"Baby Boomers",Table2[[#This Row],[Age]]&lt;=96,"Silent",Table2[[#This Row],[Age]]&gt;=97,"Greatest")</f>
        <v>Gen Z</v>
      </c>
      <c r="E1437" s="1">
        <v>82812</v>
      </c>
      <c r="F1437">
        <v>1</v>
      </c>
      <c r="G1437" t="str" cm="1">
        <f t="array" ref="G1437">_xlfn.IFS(Table2[[#This Row],[Spending Score (1-100)]]&lt;=25,"Low",Table2[[#This Row],[Spending Score (1-100)]]&lt;=50,"Medium",Table2[[#This Row],[Spending Score (1-100)]]&lt;=75,"High",Table2[[#This Row],[Spending Score (1-100)]]&lt;=100,"Very High")</f>
        <v>Low</v>
      </c>
      <c r="H1437" t="s">
        <v>14</v>
      </c>
      <c r="I1437">
        <v>6</v>
      </c>
      <c r="J1437" t="str">
        <f>CONCATENATE(Table2[[#This Row],[Work Experience]],"years")</f>
        <v>6years</v>
      </c>
      <c r="K1437" t="str">
        <f>CONCATENATE(Table2[[#This Row],[Family Size2]],"members")</f>
        <v>2members</v>
      </c>
      <c r="L1437" t="str">
        <f>CONCATENATE(Table2[[#This Row],[Family Size2]],"members")</f>
        <v>2members</v>
      </c>
      <c r="M1437">
        <v>2</v>
      </c>
    </row>
    <row r="1438" spans="1:13">
      <c r="A1438">
        <v>1437</v>
      </c>
      <c r="B1438" t="s">
        <v>8</v>
      </c>
      <c r="C1438">
        <v>74</v>
      </c>
      <c r="D1438" t="str" cm="1">
        <f t="array" ref="D1438">_xlfn.IFS(Table2[[#This Row],[Age]]&lt;=11,"Gen A",Table2[[#This Row],[Age]]&lt;=27,"Gen Z",Table2[[#This Row],[Age]]&lt;=43,"Millenials",Table2[[#This Row],[Age]]&lt;=59,"Gen X",Table2[[#This Row],[Age]]&lt;=78,"Baby Boomers",Table2[[#This Row],[Age]]&lt;=96,"Silent",Table2[[#This Row],[Age]]&gt;=97,"Greatest")</f>
        <v>Baby Boomers</v>
      </c>
      <c r="E1438" s="1">
        <v>51260</v>
      </c>
      <c r="F1438">
        <v>43</v>
      </c>
      <c r="G1438" t="str" cm="1">
        <f t="array" ref="G1438">_xlfn.IFS(Table2[[#This Row],[Spending Score (1-100)]]&lt;=25,"Low",Table2[[#This Row],[Spending Score (1-100)]]&lt;=50,"Medium",Table2[[#This Row],[Spending Score (1-100)]]&lt;=75,"High",Table2[[#This Row],[Spending Score (1-100)]]&lt;=100,"Very High")</f>
        <v>Medium</v>
      </c>
      <c r="H1438" t="s">
        <v>13</v>
      </c>
      <c r="I1438">
        <v>5</v>
      </c>
      <c r="J1438" t="str">
        <f>CONCATENATE(Table2[[#This Row],[Work Experience]],"years")</f>
        <v>5years</v>
      </c>
      <c r="K1438" t="str">
        <f>CONCATENATE(Table2[[#This Row],[Family Size2]],"members")</f>
        <v>5members</v>
      </c>
      <c r="L1438" t="str">
        <f>CONCATENATE(Table2[[#This Row],[Family Size2]],"members")</f>
        <v>5members</v>
      </c>
      <c r="M1438">
        <v>5</v>
      </c>
    </row>
    <row r="1439" spans="1:13">
      <c r="A1439">
        <v>1438</v>
      </c>
      <c r="B1439" t="s">
        <v>8</v>
      </c>
      <c r="C1439">
        <v>21</v>
      </c>
      <c r="D1439" t="str" cm="1">
        <f t="array" ref="D1439">_xlfn.IFS(Table2[[#This Row],[Age]]&lt;=11,"Gen A",Table2[[#This Row],[Age]]&lt;=27,"Gen Z",Table2[[#This Row],[Age]]&lt;=43,"Millenials",Table2[[#This Row],[Age]]&lt;=59,"Gen X",Table2[[#This Row],[Age]]&lt;=78,"Baby Boomers",Table2[[#This Row],[Age]]&lt;=96,"Silent",Table2[[#This Row],[Age]]&gt;=97,"Greatest")</f>
        <v>Gen Z</v>
      </c>
      <c r="E1439" s="1">
        <v>159572</v>
      </c>
      <c r="F1439">
        <v>42</v>
      </c>
      <c r="G1439" t="str" cm="1">
        <f t="array" ref="G1439">_xlfn.IFS(Table2[[#This Row],[Spending Score (1-100)]]&lt;=25,"Low",Table2[[#This Row],[Spending Score (1-100)]]&lt;=50,"Medium",Table2[[#This Row],[Spending Score (1-100)]]&lt;=75,"High",Table2[[#This Row],[Spending Score (1-100)]]&lt;=100,"Very High")</f>
        <v>Medium</v>
      </c>
      <c r="H1439" t="s">
        <v>9</v>
      </c>
      <c r="I1439">
        <v>5</v>
      </c>
      <c r="J1439" t="str">
        <f>CONCATENATE(Table2[[#This Row],[Work Experience]],"years")</f>
        <v>5years</v>
      </c>
      <c r="K1439" t="str">
        <f>CONCATENATE(Table2[[#This Row],[Family Size2]],"members")</f>
        <v>5members</v>
      </c>
      <c r="L1439" t="str">
        <f>CONCATENATE(Table2[[#This Row],[Family Size2]],"members")</f>
        <v>5members</v>
      </c>
      <c r="M1439">
        <v>5</v>
      </c>
    </row>
    <row r="1440" spans="1:13">
      <c r="A1440">
        <v>1439</v>
      </c>
      <c r="B1440" t="s">
        <v>8</v>
      </c>
      <c r="C1440">
        <v>9</v>
      </c>
      <c r="D1440" t="str" cm="1">
        <f t="array" ref="D1440">_xlfn.IFS(Table2[[#This Row],[Age]]&lt;=11,"Gen A",Table2[[#This Row],[Age]]&lt;=27,"Gen Z",Table2[[#This Row],[Age]]&lt;=43,"Millenials",Table2[[#This Row],[Age]]&lt;=59,"Gen X",Table2[[#This Row],[Age]]&lt;=78,"Baby Boomers",Table2[[#This Row],[Age]]&lt;=96,"Silent",Table2[[#This Row],[Age]]&gt;=97,"Greatest")</f>
        <v>Gen A</v>
      </c>
      <c r="E1440" s="1">
        <v>130186</v>
      </c>
      <c r="F1440">
        <v>88</v>
      </c>
      <c r="G1440" t="str" cm="1">
        <f t="array" ref="G1440">_xlfn.IFS(Table2[[#This Row],[Spending Score (1-100)]]&lt;=25,"Low",Table2[[#This Row],[Spending Score (1-100)]]&lt;=50,"Medium",Table2[[#This Row],[Spending Score (1-100)]]&lt;=75,"High",Table2[[#This Row],[Spending Score (1-100)]]&lt;=100,"Very High")</f>
        <v>Very High</v>
      </c>
      <c r="H1440" t="s">
        <v>14</v>
      </c>
      <c r="I1440">
        <v>9</v>
      </c>
      <c r="J1440" t="str">
        <f>CONCATENATE(Table2[[#This Row],[Work Experience]],"years")</f>
        <v>9years</v>
      </c>
      <c r="K1440" t="str">
        <f>CONCATENATE(Table2[[#This Row],[Family Size2]],"members")</f>
        <v>7members</v>
      </c>
      <c r="L1440" t="str">
        <f>CONCATENATE(Table2[[#This Row],[Family Size2]],"members")</f>
        <v>7members</v>
      </c>
      <c r="M1440">
        <v>7</v>
      </c>
    </row>
    <row r="1441" spans="1:13">
      <c r="A1441">
        <v>1440</v>
      </c>
      <c r="B1441" t="s">
        <v>11</v>
      </c>
      <c r="C1441">
        <v>49</v>
      </c>
      <c r="D1441" t="str" cm="1">
        <f t="array" ref="D1441">_xlfn.IFS(Table2[[#This Row],[Age]]&lt;=11,"Gen A",Table2[[#This Row],[Age]]&lt;=27,"Gen Z",Table2[[#This Row],[Age]]&lt;=43,"Millenials",Table2[[#This Row],[Age]]&lt;=59,"Gen X",Table2[[#This Row],[Age]]&lt;=78,"Baby Boomers",Table2[[#This Row],[Age]]&lt;=96,"Silent",Table2[[#This Row],[Age]]&gt;=97,"Greatest")</f>
        <v>Gen X</v>
      </c>
      <c r="E1441" s="1">
        <v>176954</v>
      </c>
      <c r="F1441">
        <v>57</v>
      </c>
      <c r="G1441" t="str" cm="1">
        <f t="array" ref="G1441">_xlfn.IFS(Table2[[#This Row],[Spending Score (1-100)]]&lt;=25,"Low",Table2[[#This Row],[Spending Score (1-100)]]&lt;=50,"Medium",Table2[[#This Row],[Spending Score (1-100)]]&lt;=75,"High",Table2[[#This Row],[Spending Score (1-100)]]&lt;=100,"Very High")</f>
        <v>High</v>
      </c>
      <c r="H1441" t="s">
        <v>14</v>
      </c>
      <c r="I1441">
        <v>5</v>
      </c>
      <c r="J1441" t="str">
        <f>CONCATENATE(Table2[[#This Row],[Work Experience]],"years")</f>
        <v>5years</v>
      </c>
      <c r="K1441" t="str">
        <f>CONCATENATE(Table2[[#This Row],[Family Size2]],"members")</f>
        <v>6members</v>
      </c>
      <c r="L1441" t="str">
        <f>CONCATENATE(Table2[[#This Row],[Family Size2]],"members")</f>
        <v>6members</v>
      </c>
      <c r="M1441">
        <v>6</v>
      </c>
    </row>
    <row r="1442" spans="1:13">
      <c r="A1442">
        <v>1441</v>
      </c>
      <c r="B1442" t="s">
        <v>8</v>
      </c>
      <c r="C1442">
        <v>58</v>
      </c>
      <c r="D1442" t="str" cm="1">
        <f t="array" ref="D1442">_xlfn.IFS(Table2[[#This Row],[Age]]&lt;=11,"Gen A",Table2[[#This Row],[Age]]&lt;=27,"Gen Z",Table2[[#This Row],[Age]]&lt;=43,"Millenials",Table2[[#This Row],[Age]]&lt;=59,"Gen X",Table2[[#This Row],[Age]]&lt;=78,"Baby Boomers",Table2[[#This Row],[Age]]&lt;=96,"Silent",Table2[[#This Row],[Age]]&gt;=97,"Greatest")</f>
        <v>Gen X</v>
      </c>
      <c r="E1442" s="1">
        <v>85908</v>
      </c>
      <c r="F1442">
        <v>99</v>
      </c>
      <c r="G1442" t="str" cm="1">
        <f t="array" ref="G1442">_xlfn.IFS(Table2[[#This Row],[Spending Score (1-100)]]&lt;=25,"Low",Table2[[#This Row],[Spending Score (1-100)]]&lt;=50,"Medium",Table2[[#This Row],[Spending Score (1-100)]]&lt;=75,"High",Table2[[#This Row],[Spending Score (1-100)]]&lt;=100,"Very High")</f>
        <v>Very High</v>
      </c>
      <c r="H1442" t="s">
        <v>14</v>
      </c>
      <c r="I1442">
        <v>5</v>
      </c>
      <c r="J1442" t="str">
        <f>CONCATENATE(Table2[[#This Row],[Work Experience]],"years")</f>
        <v>5years</v>
      </c>
      <c r="K1442" t="str">
        <f>CONCATENATE(Table2[[#This Row],[Family Size2]],"members")</f>
        <v>4members</v>
      </c>
      <c r="L1442" t="str">
        <f>CONCATENATE(Table2[[#This Row],[Family Size2]],"members")</f>
        <v>4members</v>
      </c>
      <c r="M1442">
        <v>4</v>
      </c>
    </row>
    <row r="1443" spans="1:13">
      <c r="A1443">
        <v>1442</v>
      </c>
      <c r="B1443" t="s">
        <v>11</v>
      </c>
      <c r="C1443">
        <v>16</v>
      </c>
      <c r="D1443" t="str" cm="1">
        <f t="array" ref="D1443">_xlfn.IFS(Table2[[#This Row],[Age]]&lt;=11,"Gen A",Table2[[#This Row],[Age]]&lt;=27,"Gen Z",Table2[[#This Row],[Age]]&lt;=43,"Millenials",Table2[[#This Row],[Age]]&lt;=59,"Gen X",Table2[[#This Row],[Age]]&lt;=78,"Baby Boomers",Table2[[#This Row],[Age]]&lt;=96,"Silent",Table2[[#This Row],[Age]]&gt;=97,"Greatest")</f>
        <v>Gen Z</v>
      </c>
      <c r="E1443" s="1">
        <v>75831</v>
      </c>
      <c r="F1443">
        <v>5</v>
      </c>
      <c r="G1443" t="str" cm="1">
        <f t="array" ref="G1443">_xlfn.IFS(Table2[[#This Row],[Spending Score (1-100)]]&lt;=25,"Low",Table2[[#This Row],[Spending Score (1-100)]]&lt;=50,"Medium",Table2[[#This Row],[Spending Score (1-100)]]&lt;=75,"High",Table2[[#This Row],[Spending Score (1-100)]]&lt;=100,"Very High")</f>
        <v>Low</v>
      </c>
      <c r="H1443" t="s">
        <v>9</v>
      </c>
      <c r="I1443">
        <v>10</v>
      </c>
      <c r="J1443" t="str">
        <f>CONCATENATE(Table2[[#This Row],[Work Experience]],"years")</f>
        <v>10years</v>
      </c>
      <c r="K1443" t="str">
        <f>CONCATENATE(Table2[[#This Row],[Family Size2]],"members")</f>
        <v>7members</v>
      </c>
      <c r="L1443" t="str">
        <f>CONCATENATE(Table2[[#This Row],[Family Size2]],"members")</f>
        <v>7members</v>
      </c>
      <c r="M1443">
        <v>7</v>
      </c>
    </row>
    <row r="1444" spans="1:13">
      <c r="A1444">
        <v>1443</v>
      </c>
      <c r="B1444" t="s">
        <v>11</v>
      </c>
      <c r="C1444">
        <v>55</v>
      </c>
      <c r="D1444" t="str" cm="1">
        <f t="array" ref="D1444">_xlfn.IFS(Table2[[#This Row],[Age]]&lt;=11,"Gen A",Table2[[#This Row],[Age]]&lt;=27,"Gen Z",Table2[[#This Row],[Age]]&lt;=43,"Millenials",Table2[[#This Row],[Age]]&lt;=59,"Gen X",Table2[[#This Row],[Age]]&lt;=78,"Baby Boomers",Table2[[#This Row],[Age]]&lt;=96,"Silent",Table2[[#This Row],[Age]]&gt;=97,"Greatest")</f>
        <v>Gen X</v>
      </c>
      <c r="E1444" s="1">
        <v>123045</v>
      </c>
      <c r="F1444">
        <v>56</v>
      </c>
      <c r="G1444" t="str" cm="1">
        <f t="array" ref="G1444">_xlfn.IFS(Table2[[#This Row],[Spending Score (1-100)]]&lt;=25,"Low",Table2[[#This Row],[Spending Score (1-100)]]&lt;=50,"Medium",Table2[[#This Row],[Spending Score (1-100)]]&lt;=75,"High",Table2[[#This Row],[Spending Score (1-100)]]&lt;=100,"Very High")</f>
        <v>High</v>
      </c>
      <c r="H1444" t="s">
        <v>10</v>
      </c>
      <c r="I1444">
        <v>7</v>
      </c>
      <c r="J1444" t="str">
        <f>CONCATENATE(Table2[[#This Row],[Work Experience]],"years")</f>
        <v>7years</v>
      </c>
      <c r="K1444" t="str">
        <f>CONCATENATE(Table2[[#This Row],[Family Size2]],"members")</f>
        <v>3members</v>
      </c>
      <c r="L1444" t="str">
        <f>CONCATENATE(Table2[[#This Row],[Family Size2]],"members")</f>
        <v>3members</v>
      </c>
      <c r="M1444">
        <v>3</v>
      </c>
    </row>
    <row r="1445" spans="1:13">
      <c r="A1445">
        <v>1444</v>
      </c>
      <c r="B1445" t="s">
        <v>11</v>
      </c>
      <c r="C1445">
        <v>31</v>
      </c>
      <c r="D1445" t="str" cm="1">
        <f t="array" ref="D1445">_xlfn.IFS(Table2[[#This Row],[Age]]&lt;=11,"Gen A",Table2[[#This Row],[Age]]&lt;=27,"Gen Z",Table2[[#This Row],[Age]]&lt;=43,"Millenials",Table2[[#This Row],[Age]]&lt;=59,"Gen X",Table2[[#This Row],[Age]]&lt;=78,"Baby Boomers",Table2[[#This Row],[Age]]&lt;=96,"Silent",Table2[[#This Row],[Age]]&gt;=97,"Greatest")</f>
        <v>Millenials</v>
      </c>
      <c r="E1445" s="1">
        <v>161211</v>
      </c>
      <c r="F1445">
        <v>10</v>
      </c>
      <c r="G1445" t="str" cm="1">
        <f t="array" ref="G1445">_xlfn.IFS(Table2[[#This Row],[Spending Score (1-100)]]&lt;=25,"Low",Table2[[#This Row],[Spending Score (1-100)]]&lt;=50,"Medium",Table2[[#This Row],[Spending Score (1-100)]]&lt;=75,"High",Table2[[#This Row],[Spending Score (1-100)]]&lt;=100,"Very High")</f>
        <v>Low</v>
      </c>
      <c r="H1445" t="s">
        <v>12</v>
      </c>
      <c r="I1445">
        <v>9</v>
      </c>
      <c r="J1445" t="str">
        <f>CONCATENATE(Table2[[#This Row],[Work Experience]],"years")</f>
        <v>9years</v>
      </c>
      <c r="K1445" t="str">
        <f>CONCATENATE(Table2[[#This Row],[Family Size2]],"members")</f>
        <v>1members</v>
      </c>
      <c r="L1445" t="str">
        <f>CONCATENATE(Table2[[#This Row],[Family Size2]],"members")</f>
        <v>1members</v>
      </c>
      <c r="M1445">
        <v>1</v>
      </c>
    </row>
    <row r="1446" spans="1:13">
      <c r="A1446">
        <v>1445</v>
      </c>
      <c r="B1446" t="s">
        <v>11</v>
      </c>
      <c r="C1446">
        <v>59</v>
      </c>
      <c r="D1446" t="str" cm="1">
        <f t="array" ref="D1446">_xlfn.IFS(Table2[[#This Row],[Age]]&lt;=11,"Gen A",Table2[[#This Row],[Age]]&lt;=27,"Gen Z",Table2[[#This Row],[Age]]&lt;=43,"Millenials",Table2[[#This Row],[Age]]&lt;=59,"Gen X",Table2[[#This Row],[Age]]&lt;=78,"Baby Boomers",Table2[[#This Row],[Age]]&lt;=96,"Silent",Table2[[#This Row],[Age]]&gt;=97,"Greatest")</f>
        <v>Gen X</v>
      </c>
      <c r="E1446" s="1">
        <v>81702</v>
      </c>
      <c r="F1446">
        <v>27</v>
      </c>
      <c r="G1446" t="str" cm="1">
        <f t="array" ref="G1446">_xlfn.IFS(Table2[[#This Row],[Spending Score (1-100)]]&lt;=25,"Low",Table2[[#This Row],[Spending Score (1-100)]]&lt;=50,"Medium",Table2[[#This Row],[Spending Score (1-100)]]&lt;=75,"High",Table2[[#This Row],[Spending Score (1-100)]]&lt;=100,"Very High")</f>
        <v>Medium</v>
      </c>
      <c r="H1446" t="s">
        <v>18</v>
      </c>
      <c r="I1446">
        <v>6</v>
      </c>
      <c r="J1446" t="str">
        <f>CONCATENATE(Table2[[#This Row],[Work Experience]],"years")</f>
        <v>6years</v>
      </c>
      <c r="K1446" t="str">
        <f>CONCATENATE(Table2[[#This Row],[Family Size2]],"members")</f>
        <v>4members</v>
      </c>
      <c r="L1446" t="str">
        <f>CONCATENATE(Table2[[#This Row],[Family Size2]],"members")</f>
        <v>4members</v>
      </c>
      <c r="M1446">
        <v>4</v>
      </c>
    </row>
    <row r="1447" spans="1:13">
      <c r="A1447">
        <v>1446</v>
      </c>
      <c r="B1447" t="s">
        <v>11</v>
      </c>
      <c r="C1447">
        <v>25</v>
      </c>
      <c r="D1447" t="str" cm="1">
        <f t="array" ref="D1447">_xlfn.IFS(Table2[[#This Row],[Age]]&lt;=11,"Gen A",Table2[[#This Row],[Age]]&lt;=27,"Gen Z",Table2[[#This Row],[Age]]&lt;=43,"Millenials",Table2[[#This Row],[Age]]&lt;=59,"Gen X",Table2[[#This Row],[Age]]&lt;=78,"Baby Boomers",Table2[[#This Row],[Age]]&lt;=96,"Silent",Table2[[#This Row],[Age]]&gt;=97,"Greatest")</f>
        <v>Gen Z</v>
      </c>
      <c r="E1447" s="1">
        <v>173043</v>
      </c>
      <c r="F1447">
        <v>3</v>
      </c>
      <c r="G1447" t="str" cm="1">
        <f t="array" ref="G1447">_xlfn.IFS(Table2[[#This Row],[Spending Score (1-100)]]&lt;=25,"Low",Table2[[#This Row],[Spending Score (1-100)]]&lt;=50,"Medium",Table2[[#This Row],[Spending Score (1-100)]]&lt;=75,"High",Table2[[#This Row],[Spending Score (1-100)]]&lt;=100,"Very High")</f>
        <v>Low</v>
      </c>
      <c r="H1447" t="s">
        <v>14</v>
      </c>
      <c r="I1447">
        <v>8</v>
      </c>
      <c r="J1447" t="str">
        <f>CONCATENATE(Table2[[#This Row],[Work Experience]],"years")</f>
        <v>8years</v>
      </c>
      <c r="K1447" t="str">
        <f>CONCATENATE(Table2[[#This Row],[Family Size2]],"members")</f>
        <v>6members</v>
      </c>
      <c r="L1447" t="str">
        <f>CONCATENATE(Table2[[#This Row],[Family Size2]],"members")</f>
        <v>6members</v>
      </c>
      <c r="M1447">
        <v>6</v>
      </c>
    </row>
    <row r="1448" spans="1:13">
      <c r="A1448">
        <v>1447</v>
      </c>
      <c r="B1448" t="s">
        <v>8</v>
      </c>
      <c r="C1448">
        <v>63</v>
      </c>
      <c r="D1448" t="str" cm="1">
        <f t="array" ref="D1448">_xlfn.IFS(Table2[[#This Row],[Age]]&lt;=11,"Gen A",Table2[[#This Row],[Age]]&lt;=27,"Gen Z",Table2[[#This Row],[Age]]&lt;=43,"Millenials",Table2[[#This Row],[Age]]&lt;=59,"Gen X",Table2[[#This Row],[Age]]&lt;=78,"Baby Boomers",Table2[[#This Row],[Age]]&lt;=96,"Silent",Table2[[#This Row],[Age]]&gt;=97,"Greatest")</f>
        <v>Baby Boomers</v>
      </c>
      <c r="E1448" s="1">
        <v>126380</v>
      </c>
      <c r="F1448">
        <v>90</v>
      </c>
      <c r="G1448" t="str" cm="1">
        <f t="array" ref="G1448">_xlfn.IFS(Table2[[#This Row],[Spending Score (1-100)]]&lt;=25,"Low",Table2[[#This Row],[Spending Score (1-100)]]&lt;=50,"Medium",Table2[[#This Row],[Spending Score (1-100)]]&lt;=75,"High",Table2[[#This Row],[Spending Score (1-100)]]&lt;=100,"Very High")</f>
        <v>Very High</v>
      </c>
      <c r="H1448" t="s">
        <v>14</v>
      </c>
      <c r="I1448">
        <v>6</v>
      </c>
      <c r="J1448" t="str">
        <f>CONCATENATE(Table2[[#This Row],[Work Experience]],"years")</f>
        <v>6years</v>
      </c>
      <c r="K1448" t="str">
        <f>CONCATENATE(Table2[[#This Row],[Family Size2]],"members")</f>
        <v>1members</v>
      </c>
      <c r="L1448" t="str">
        <f>CONCATENATE(Table2[[#This Row],[Family Size2]],"members")</f>
        <v>1members</v>
      </c>
      <c r="M1448">
        <v>1</v>
      </c>
    </row>
    <row r="1449" spans="1:13">
      <c r="A1449">
        <v>1448</v>
      </c>
      <c r="B1449" t="s">
        <v>11</v>
      </c>
      <c r="C1449">
        <v>60</v>
      </c>
      <c r="D1449" t="str" cm="1">
        <f t="array" ref="D1449">_xlfn.IFS(Table2[[#This Row],[Age]]&lt;=11,"Gen A",Table2[[#This Row],[Age]]&lt;=27,"Gen Z",Table2[[#This Row],[Age]]&lt;=43,"Millenials",Table2[[#This Row],[Age]]&lt;=59,"Gen X",Table2[[#This Row],[Age]]&lt;=78,"Baby Boomers",Table2[[#This Row],[Age]]&lt;=96,"Silent",Table2[[#This Row],[Age]]&gt;=97,"Greatest")</f>
        <v>Baby Boomers</v>
      </c>
      <c r="E1449" s="1">
        <v>128205</v>
      </c>
      <c r="F1449">
        <v>27</v>
      </c>
      <c r="G1449" t="str" cm="1">
        <f t="array" ref="G1449">_xlfn.IFS(Table2[[#This Row],[Spending Score (1-100)]]&lt;=25,"Low",Table2[[#This Row],[Spending Score (1-100)]]&lt;=50,"Medium",Table2[[#This Row],[Spending Score (1-100)]]&lt;=75,"High",Table2[[#This Row],[Spending Score (1-100)]]&lt;=100,"Very High")</f>
        <v>Medium</v>
      </c>
      <c r="H1449" t="s">
        <v>9</v>
      </c>
      <c r="I1449">
        <v>6</v>
      </c>
      <c r="J1449" t="str">
        <f>CONCATENATE(Table2[[#This Row],[Work Experience]],"years")</f>
        <v>6years</v>
      </c>
      <c r="K1449" t="str">
        <f>CONCATENATE(Table2[[#This Row],[Family Size2]],"members")</f>
        <v>5members</v>
      </c>
      <c r="L1449" t="str">
        <f>CONCATENATE(Table2[[#This Row],[Family Size2]],"members")</f>
        <v>5members</v>
      </c>
      <c r="M1449">
        <v>5</v>
      </c>
    </row>
    <row r="1450" spans="1:13">
      <c r="A1450">
        <v>1449</v>
      </c>
      <c r="B1450" t="s">
        <v>11</v>
      </c>
      <c r="C1450">
        <v>41</v>
      </c>
      <c r="D1450" t="str" cm="1">
        <f t="array" ref="D1450">_xlfn.IFS(Table2[[#This Row],[Age]]&lt;=11,"Gen A",Table2[[#This Row],[Age]]&lt;=27,"Gen Z",Table2[[#This Row],[Age]]&lt;=43,"Millenials",Table2[[#This Row],[Age]]&lt;=59,"Gen X",Table2[[#This Row],[Age]]&lt;=78,"Baby Boomers",Table2[[#This Row],[Age]]&lt;=96,"Silent",Table2[[#This Row],[Age]]&gt;=97,"Greatest")</f>
        <v>Millenials</v>
      </c>
      <c r="E1450" s="1">
        <v>181355</v>
      </c>
      <c r="F1450">
        <v>73</v>
      </c>
      <c r="G1450" t="str" cm="1">
        <f t="array" ref="G1450">_xlfn.IFS(Table2[[#This Row],[Spending Score (1-100)]]&lt;=25,"Low",Table2[[#This Row],[Spending Score (1-100)]]&lt;=50,"Medium",Table2[[#This Row],[Spending Score (1-100)]]&lt;=75,"High",Table2[[#This Row],[Spending Score (1-100)]]&lt;=100,"Very High")</f>
        <v>High</v>
      </c>
      <c r="H1450" t="s">
        <v>14</v>
      </c>
      <c r="I1450">
        <v>10</v>
      </c>
      <c r="J1450" t="str">
        <f>CONCATENATE(Table2[[#This Row],[Work Experience]],"years")</f>
        <v>10years</v>
      </c>
      <c r="K1450" t="str">
        <f>CONCATENATE(Table2[[#This Row],[Family Size2]],"members")</f>
        <v>3members</v>
      </c>
      <c r="L1450" t="str">
        <f>CONCATENATE(Table2[[#This Row],[Family Size2]],"members")</f>
        <v>3members</v>
      </c>
      <c r="M1450">
        <v>3</v>
      </c>
    </row>
    <row r="1451" spans="1:13">
      <c r="A1451">
        <v>1450</v>
      </c>
      <c r="B1451" t="s">
        <v>11</v>
      </c>
      <c r="C1451">
        <v>84</v>
      </c>
      <c r="D1451" t="str" cm="1">
        <f t="array" ref="D1451">_xlfn.IFS(Table2[[#This Row],[Age]]&lt;=11,"Gen A",Table2[[#This Row],[Age]]&lt;=27,"Gen Z",Table2[[#This Row],[Age]]&lt;=43,"Millenials",Table2[[#This Row],[Age]]&lt;=59,"Gen X",Table2[[#This Row],[Age]]&lt;=78,"Baby Boomers",Table2[[#This Row],[Age]]&lt;=96,"Silent",Table2[[#This Row],[Age]]&gt;=97,"Greatest")</f>
        <v>Silent</v>
      </c>
      <c r="E1451" s="1">
        <v>97931</v>
      </c>
      <c r="F1451">
        <v>70</v>
      </c>
      <c r="G1451" t="str" cm="1">
        <f t="array" ref="G1451">_xlfn.IFS(Table2[[#This Row],[Spending Score (1-100)]]&lt;=25,"Low",Table2[[#This Row],[Spending Score (1-100)]]&lt;=50,"Medium",Table2[[#This Row],[Spending Score (1-100)]]&lt;=75,"High",Table2[[#This Row],[Spending Score (1-100)]]&lt;=100,"Very High")</f>
        <v>High</v>
      </c>
      <c r="H1451" t="s">
        <v>9</v>
      </c>
      <c r="I1451">
        <v>9</v>
      </c>
      <c r="J1451" t="str">
        <f>CONCATENATE(Table2[[#This Row],[Work Experience]],"years")</f>
        <v>9years</v>
      </c>
      <c r="K1451" t="str">
        <f>CONCATENATE(Table2[[#This Row],[Family Size2]],"members")</f>
        <v>7members</v>
      </c>
      <c r="L1451" t="str">
        <f>CONCATENATE(Table2[[#This Row],[Family Size2]],"members")</f>
        <v>7members</v>
      </c>
      <c r="M1451">
        <v>7</v>
      </c>
    </row>
    <row r="1452" spans="1:13">
      <c r="A1452">
        <v>1451</v>
      </c>
      <c r="B1452" t="s">
        <v>8</v>
      </c>
      <c r="C1452">
        <v>72</v>
      </c>
      <c r="D1452" t="str" cm="1">
        <f t="array" ref="D1452">_xlfn.IFS(Table2[[#This Row],[Age]]&lt;=11,"Gen A",Table2[[#This Row],[Age]]&lt;=27,"Gen Z",Table2[[#This Row],[Age]]&lt;=43,"Millenials",Table2[[#This Row],[Age]]&lt;=59,"Gen X",Table2[[#This Row],[Age]]&lt;=78,"Baby Boomers",Table2[[#This Row],[Age]]&lt;=96,"Silent",Table2[[#This Row],[Age]]&gt;=97,"Greatest")</f>
        <v>Baby Boomers</v>
      </c>
      <c r="E1452" s="1">
        <v>146432</v>
      </c>
      <c r="F1452">
        <v>25</v>
      </c>
      <c r="G1452" t="str" cm="1">
        <f t="array" ref="G1452">_xlfn.IFS(Table2[[#This Row],[Spending Score (1-100)]]&lt;=25,"Low",Table2[[#This Row],[Spending Score (1-100)]]&lt;=50,"Medium",Table2[[#This Row],[Spending Score (1-100)]]&lt;=75,"High",Table2[[#This Row],[Spending Score (1-100)]]&lt;=100,"Very High")</f>
        <v>Low</v>
      </c>
      <c r="H1452" t="s">
        <v>14</v>
      </c>
      <c r="I1452">
        <v>6</v>
      </c>
      <c r="J1452" t="str">
        <f>CONCATENATE(Table2[[#This Row],[Work Experience]],"years")</f>
        <v>6years</v>
      </c>
      <c r="K1452" t="str">
        <f>CONCATENATE(Table2[[#This Row],[Family Size2]],"members")</f>
        <v>1members</v>
      </c>
      <c r="L1452" t="str">
        <f>CONCATENATE(Table2[[#This Row],[Family Size2]],"members")</f>
        <v>1members</v>
      </c>
      <c r="M1452">
        <v>1</v>
      </c>
    </row>
    <row r="1453" spans="1:13">
      <c r="A1453">
        <v>1452</v>
      </c>
      <c r="B1453" t="s">
        <v>11</v>
      </c>
      <c r="C1453">
        <v>97</v>
      </c>
      <c r="D1453" t="str" cm="1">
        <f t="array" ref="D1453">_xlfn.IFS(Table2[[#This Row],[Age]]&lt;=11,"Gen A",Table2[[#This Row],[Age]]&lt;=27,"Gen Z",Table2[[#This Row],[Age]]&lt;=43,"Millenials",Table2[[#This Row],[Age]]&lt;=59,"Gen X",Table2[[#This Row],[Age]]&lt;=78,"Baby Boomers",Table2[[#This Row],[Age]]&lt;=96,"Silent",Table2[[#This Row],[Age]]&gt;=97,"Greatest")</f>
        <v>Greatest</v>
      </c>
      <c r="E1453" s="1">
        <v>125731</v>
      </c>
      <c r="F1453">
        <v>41</v>
      </c>
      <c r="G1453" t="str" cm="1">
        <f t="array" ref="G1453">_xlfn.IFS(Table2[[#This Row],[Spending Score (1-100)]]&lt;=25,"Low",Table2[[#This Row],[Spending Score (1-100)]]&lt;=50,"Medium",Table2[[#This Row],[Spending Score (1-100)]]&lt;=75,"High",Table2[[#This Row],[Spending Score (1-100)]]&lt;=100,"Very High")</f>
        <v>Medium</v>
      </c>
      <c r="H1453" t="s">
        <v>14</v>
      </c>
      <c r="I1453">
        <v>6</v>
      </c>
      <c r="J1453" t="str">
        <f>CONCATENATE(Table2[[#This Row],[Work Experience]],"years")</f>
        <v>6years</v>
      </c>
      <c r="K1453" t="str">
        <f>CONCATENATE(Table2[[#This Row],[Family Size2]],"members")</f>
        <v>4members</v>
      </c>
      <c r="L1453" t="str">
        <f>CONCATENATE(Table2[[#This Row],[Family Size2]],"members")</f>
        <v>4members</v>
      </c>
      <c r="M1453">
        <v>4</v>
      </c>
    </row>
    <row r="1454" spans="1:13">
      <c r="A1454">
        <v>1453</v>
      </c>
      <c r="B1454" t="s">
        <v>11</v>
      </c>
      <c r="C1454">
        <v>43</v>
      </c>
      <c r="D1454" t="str" cm="1">
        <f t="array" ref="D1454">_xlfn.IFS(Table2[[#This Row],[Age]]&lt;=11,"Gen A",Table2[[#This Row],[Age]]&lt;=27,"Gen Z",Table2[[#This Row],[Age]]&lt;=43,"Millenials",Table2[[#This Row],[Age]]&lt;=59,"Gen X",Table2[[#This Row],[Age]]&lt;=78,"Baby Boomers",Table2[[#This Row],[Age]]&lt;=96,"Silent",Table2[[#This Row],[Age]]&gt;=97,"Greatest")</f>
        <v>Millenials</v>
      </c>
      <c r="E1454" s="1">
        <v>132701</v>
      </c>
      <c r="F1454">
        <v>70</v>
      </c>
      <c r="G1454" t="str" cm="1">
        <f t="array" ref="G1454">_xlfn.IFS(Table2[[#This Row],[Spending Score (1-100)]]&lt;=25,"Low",Table2[[#This Row],[Spending Score (1-100)]]&lt;=50,"Medium",Table2[[#This Row],[Spending Score (1-100)]]&lt;=75,"High",Table2[[#This Row],[Spending Score (1-100)]]&lt;=100,"Very High")</f>
        <v>High</v>
      </c>
      <c r="H1454" t="s">
        <v>9</v>
      </c>
      <c r="I1454">
        <v>5</v>
      </c>
      <c r="J1454" t="str">
        <f>CONCATENATE(Table2[[#This Row],[Work Experience]],"years")</f>
        <v>5years</v>
      </c>
      <c r="K1454" t="str">
        <f>CONCATENATE(Table2[[#This Row],[Family Size2]],"members")</f>
        <v>2members</v>
      </c>
      <c r="L1454" t="str">
        <f>CONCATENATE(Table2[[#This Row],[Family Size2]],"members")</f>
        <v>2members</v>
      </c>
      <c r="M1454">
        <v>2</v>
      </c>
    </row>
    <row r="1455" spans="1:13">
      <c r="A1455">
        <v>1454</v>
      </c>
      <c r="B1455" t="s">
        <v>11</v>
      </c>
      <c r="C1455">
        <v>63</v>
      </c>
      <c r="D1455" t="str" cm="1">
        <f t="array" ref="D1455">_xlfn.IFS(Table2[[#This Row],[Age]]&lt;=11,"Gen A",Table2[[#This Row],[Age]]&lt;=27,"Gen Z",Table2[[#This Row],[Age]]&lt;=43,"Millenials",Table2[[#This Row],[Age]]&lt;=59,"Gen X",Table2[[#This Row],[Age]]&lt;=78,"Baby Boomers",Table2[[#This Row],[Age]]&lt;=96,"Silent",Table2[[#This Row],[Age]]&gt;=97,"Greatest")</f>
        <v>Baby Boomers</v>
      </c>
      <c r="E1455" s="1">
        <v>116095</v>
      </c>
      <c r="F1455">
        <v>8</v>
      </c>
      <c r="G1455" t="str" cm="1">
        <f t="array" ref="G1455">_xlfn.IFS(Table2[[#This Row],[Spending Score (1-100)]]&lt;=25,"Low",Table2[[#This Row],[Spending Score (1-100)]]&lt;=50,"Medium",Table2[[#This Row],[Spending Score (1-100)]]&lt;=75,"High",Table2[[#This Row],[Spending Score (1-100)]]&lt;=100,"Very High")</f>
        <v>Low</v>
      </c>
      <c r="H1455" t="s">
        <v>14</v>
      </c>
      <c r="I1455">
        <v>5</v>
      </c>
      <c r="J1455" t="str">
        <f>CONCATENATE(Table2[[#This Row],[Work Experience]],"years")</f>
        <v>5years</v>
      </c>
      <c r="K1455" t="str">
        <f>CONCATENATE(Table2[[#This Row],[Family Size2]],"members")</f>
        <v>1members</v>
      </c>
      <c r="L1455" t="str">
        <f>CONCATENATE(Table2[[#This Row],[Family Size2]],"members")</f>
        <v>1members</v>
      </c>
      <c r="M1455">
        <v>1</v>
      </c>
    </row>
    <row r="1456" spans="1:13">
      <c r="A1456">
        <v>1455</v>
      </c>
      <c r="B1456" t="s">
        <v>11</v>
      </c>
      <c r="C1456">
        <v>7</v>
      </c>
      <c r="D1456" t="str" cm="1">
        <f t="array" ref="D1456">_xlfn.IFS(Table2[[#This Row],[Age]]&lt;=11,"Gen A",Table2[[#This Row],[Age]]&lt;=27,"Gen Z",Table2[[#This Row],[Age]]&lt;=43,"Millenials",Table2[[#This Row],[Age]]&lt;=59,"Gen X",Table2[[#This Row],[Age]]&lt;=78,"Baby Boomers",Table2[[#This Row],[Age]]&lt;=96,"Silent",Table2[[#This Row],[Age]]&gt;=97,"Greatest")</f>
        <v>Gen A</v>
      </c>
      <c r="E1456" s="1">
        <v>135773</v>
      </c>
      <c r="F1456">
        <v>42</v>
      </c>
      <c r="G1456" t="str" cm="1">
        <f t="array" ref="G1456">_xlfn.IFS(Table2[[#This Row],[Spending Score (1-100)]]&lt;=25,"Low",Table2[[#This Row],[Spending Score (1-100)]]&lt;=50,"Medium",Table2[[#This Row],[Spending Score (1-100)]]&lt;=75,"High",Table2[[#This Row],[Spending Score (1-100)]]&lt;=100,"Very High")</f>
        <v>Medium</v>
      </c>
      <c r="H1456" t="s">
        <v>14</v>
      </c>
      <c r="I1456">
        <v>9</v>
      </c>
      <c r="J1456" t="str">
        <f>CONCATENATE(Table2[[#This Row],[Work Experience]],"years")</f>
        <v>9years</v>
      </c>
      <c r="K1456" t="str">
        <f>CONCATENATE(Table2[[#This Row],[Family Size2]],"members")</f>
        <v>5members</v>
      </c>
      <c r="L1456" t="str">
        <f>CONCATENATE(Table2[[#This Row],[Family Size2]],"members")</f>
        <v>5members</v>
      </c>
      <c r="M1456">
        <v>5</v>
      </c>
    </row>
    <row r="1457" spans="1:13">
      <c r="A1457">
        <v>1456</v>
      </c>
      <c r="B1457" t="s">
        <v>8</v>
      </c>
      <c r="C1457">
        <v>54</v>
      </c>
      <c r="D1457" t="str" cm="1">
        <f t="array" ref="D1457">_xlfn.IFS(Table2[[#This Row],[Age]]&lt;=11,"Gen A",Table2[[#This Row],[Age]]&lt;=27,"Gen Z",Table2[[#This Row],[Age]]&lt;=43,"Millenials",Table2[[#This Row],[Age]]&lt;=59,"Gen X",Table2[[#This Row],[Age]]&lt;=78,"Baby Boomers",Table2[[#This Row],[Age]]&lt;=96,"Silent",Table2[[#This Row],[Age]]&gt;=97,"Greatest")</f>
        <v>Gen X</v>
      </c>
      <c r="E1457" s="1">
        <v>136417</v>
      </c>
      <c r="F1457">
        <v>45</v>
      </c>
      <c r="G1457" t="str" cm="1">
        <f t="array" ref="G1457">_xlfn.IFS(Table2[[#This Row],[Spending Score (1-100)]]&lt;=25,"Low",Table2[[#This Row],[Spending Score (1-100)]]&lt;=50,"Medium",Table2[[#This Row],[Spending Score (1-100)]]&lt;=75,"High",Table2[[#This Row],[Spending Score (1-100)]]&lt;=100,"Very High")</f>
        <v>Medium</v>
      </c>
      <c r="H1457" t="s">
        <v>9</v>
      </c>
      <c r="I1457">
        <v>9</v>
      </c>
      <c r="J1457" t="str">
        <f>CONCATENATE(Table2[[#This Row],[Work Experience]],"years")</f>
        <v>9years</v>
      </c>
      <c r="K1457" t="str">
        <f>CONCATENATE(Table2[[#This Row],[Family Size2]],"members")</f>
        <v>6members</v>
      </c>
      <c r="L1457" t="str">
        <f>CONCATENATE(Table2[[#This Row],[Family Size2]],"members")</f>
        <v>6members</v>
      </c>
      <c r="M1457">
        <v>6</v>
      </c>
    </row>
    <row r="1458" spans="1:13">
      <c r="A1458">
        <v>1457</v>
      </c>
      <c r="B1458" t="s">
        <v>8</v>
      </c>
      <c r="C1458">
        <v>27</v>
      </c>
      <c r="D1458" t="str" cm="1">
        <f t="array" ref="D1458">_xlfn.IFS(Table2[[#This Row],[Age]]&lt;=11,"Gen A",Table2[[#This Row],[Age]]&lt;=27,"Gen Z",Table2[[#This Row],[Age]]&lt;=43,"Millenials",Table2[[#This Row],[Age]]&lt;=59,"Gen X",Table2[[#This Row],[Age]]&lt;=78,"Baby Boomers",Table2[[#This Row],[Age]]&lt;=96,"Silent",Table2[[#This Row],[Age]]&gt;=97,"Greatest")</f>
        <v>Gen Z</v>
      </c>
      <c r="E1458" s="1">
        <v>80783</v>
      </c>
      <c r="F1458">
        <v>82</v>
      </c>
      <c r="G1458" t="str" cm="1">
        <f t="array" ref="G1458">_xlfn.IFS(Table2[[#This Row],[Spending Score (1-100)]]&lt;=25,"Low",Table2[[#This Row],[Spending Score (1-100)]]&lt;=50,"Medium",Table2[[#This Row],[Spending Score (1-100)]]&lt;=75,"High",Table2[[#This Row],[Spending Score (1-100)]]&lt;=100,"Very High")</f>
        <v>Very High</v>
      </c>
      <c r="H1458" t="s">
        <v>14</v>
      </c>
      <c r="I1458">
        <v>9</v>
      </c>
      <c r="J1458" t="str">
        <f>CONCATENATE(Table2[[#This Row],[Work Experience]],"years")</f>
        <v>9years</v>
      </c>
      <c r="K1458" t="str">
        <f>CONCATENATE(Table2[[#This Row],[Family Size2]],"members")</f>
        <v>3members</v>
      </c>
      <c r="L1458" t="str">
        <f>CONCATENATE(Table2[[#This Row],[Family Size2]],"members")</f>
        <v>3members</v>
      </c>
      <c r="M1458">
        <v>3</v>
      </c>
    </row>
    <row r="1459" spans="1:13">
      <c r="A1459">
        <v>1458</v>
      </c>
      <c r="B1459" t="s">
        <v>8</v>
      </c>
      <c r="C1459">
        <v>28</v>
      </c>
      <c r="D1459" t="str" cm="1">
        <f t="array" ref="D1459">_xlfn.IFS(Table2[[#This Row],[Age]]&lt;=11,"Gen A",Table2[[#This Row],[Age]]&lt;=27,"Gen Z",Table2[[#This Row],[Age]]&lt;=43,"Millenials",Table2[[#This Row],[Age]]&lt;=59,"Gen X",Table2[[#This Row],[Age]]&lt;=78,"Baby Boomers",Table2[[#This Row],[Age]]&lt;=96,"Silent",Table2[[#This Row],[Age]]&gt;=97,"Greatest")</f>
        <v>Millenials</v>
      </c>
      <c r="E1459" s="1">
        <v>182580</v>
      </c>
      <c r="F1459">
        <v>60</v>
      </c>
      <c r="G1459" t="str" cm="1">
        <f t="array" ref="G1459">_xlfn.IFS(Table2[[#This Row],[Spending Score (1-100)]]&lt;=25,"Low",Table2[[#This Row],[Spending Score (1-100)]]&lt;=50,"Medium",Table2[[#This Row],[Spending Score (1-100)]]&lt;=75,"High",Table2[[#This Row],[Spending Score (1-100)]]&lt;=100,"Very High")</f>
        <v>High</v>
      </c>
      <c r="H1459" t="s">
        <v>15</v>
      </c>
      <c r="I1459">
        <v>6</v>
      </c>
      <c r="J1459" t="str">
        <f>CONCATENATE(Table2[[#This Row],[Work Experience]],"years")</f>
        <v>6years</v>
      </c>
      <c r="K1459" t="str">
        <f>CONCATENATE(Table2[[#This Row],[Family Size2]],"members")</f>
        <v>6members</v>
      </c>
      <c r="L1459" t="str">
        <f>CONCATENATE(Table2[[#This Row],[Family Size2]],"members")</f>
        <v>6members</v>
      </c>
      <c r="M1459">
        <v>6</v>
      </c>
    </row>
    <row r="1460" spans="1:13">
      <c r="A1460">
        <v>1459</v>
      </c>
      <c r="B1460" t="s">
        <v>11</v>
      </c>
      <c r="C1460">
        <v>84</v>
      </c>
      <c r="D1460" t="str" cm="1">
        <f t="array" ref="D1460">_xlfn.IFS(Table2[[#This Row],[Age]]&lt;=11,"Gen A",Table2[[#This Row],[Age]]&lt;=27,"Gen Z",Table2[[#This Row],[Age]]&lt;=43,"Millenials",Table2[[#This Row],[Age]]&lt;=59,"Gen X",Table2[[#This Row],[Age]]&lt;=78,"Baby Boomers",Table2[[#This Row],[Age]]&lt;=96,"Silent",Table2[[#This Row],[Age]]&gt;=97,"Greatest")</f>
        <v>Silent</v>
      </c>
      <c r="E1460" s="1">
        <v>143567</v>
      </c>
      <c r="F1460">
        <v>48</v>
      </c>
      <c r="G1460" t="str" cm="1">
        <f t="array" ref="G1460">_xlfn.IFS(Table2[[#This Row],[Spending Score (1-100)]]&lt;=25,"Low",Table2[[#This Row],[Spending Score (1-100)]]&lt;=50,"Medium",Table2[[#This Row],[Spending Score (1-100)]]&lt;=75,"High",Table2[[#This Row],[Spending Score (1-100)]]&lt;=100,"Very High")</f>
        <v>Medium</v>
      </c>
      <c r="H1460" t="s">
        <v>14</v>
      </c>
      <c r="I1460">
        <v>7</v>
      </c>
      <c r="J1460" t="str">
        <f>CONCATENATE(Table2[[#This Row],[Work Experience]],"years")</f>
        <v>7years</v>
      </c>
      <c r="K1460" t="str">
        <f>CONCATENATE(Table2[[#This Row],[Family Size2]],"members")</f>
        <v>2members</v>
      </c>
      <c r="L1460" t="str">
        <f>CONCATENATE(Table2[[#This Row],[Family Size2]],"members")</f>
        <v>2members</v>
      </c>
      <c r="M1460">
        <v>2</v>
      </c>
    </row>
    <row r="1461" spans="1:13">
      <c r="A1461">
        <v>1460</v>
      </c>
      <c r="B1461" t="s">
        <v>8</v>
      </c>
      <c r="C1461">
        <v>71</v>
      </c>
      <c r="D1461" t="str" cm="1">
        <f t="array" ref="D1461">_xlfn.IFS(Table2[[#This Row],[Age]]&lt;=11,"Gen A",Table2[[#This Row],[Age]]&lt;=27,"Gen Z",Table2[[#This Row],[Age]]&lt;=43,"Millenials",Table2[[#This Row],[Age]]&lt;=59,"Gen X",Table2[[#This Row],[Age]]&lt;=78,"Baby Boomers",Table2[[#This Row],[Age]]&lt;=96,"Silent",Table2[[#This Row],[Age]]&gt;=97,"Greatest")</f>
        <v>Baby Boomers</v>
      </c>
      <c r="E1461" s="1">
        <v>85908</v>
      </c>
      <c r="F1461">
        <v>85</v>
      </c>
      <c r="G1461" t="str" cm="1">
        <f t="array" ref="G1461">_xlfn.IFS(Table2[[#This Row],[Spending Score (1-100)]]&lt;=25,"Low",Table2[[#This Row],[Spending Score (1-100)]]&lt;=50,"Medium",Table2[[#This Row],[Spending Score (1-100)]]&lt;=75,"High",Table2[[#This Row],[Spending Score (1-100)]]&lt;=100,"Very High")</f>
        <v>Very High</v>
      </c>
      <c r="H1461" t="s">
        <v>13</v>
      </c>
      <c r="I1461">
        <v>5</v>
      </c>
      <c r="J1461" t="str">
        <f>CONCATENATE(Table2[[#This Row],[Work Experience]],"years")</f>
        <v>5years</v>
      </c>
      <c r="K1461" t="str">
        <f>CONCATENATE(Table2[[#This Row],[Family Size2]],"members")</f>
        <v>4members</v>
      </c>
      <c r="L1461" t="str">
        <f>CONCATENATE(Table2[[#This Row],[Family Size2]],"members")</f>
        <v>4members</v>
      </c>
      <c r="M1461">
        <v>4</v>
      </c>
    </row>
    <row r="1462" spans="1:13">
      <c r="A1462">
        <v>1461</v>
      </c>
      <c r="B1462" t="s">
        <v>11</v>
      </c>
      <c r="C1462">
        <v>88</v>
      </c>
      <c r="D1462" t="str" cm="1">
        <f t="array" ref="D1462">_xlfn.IFS(Table2[[#This Row],[Age]]&lt;=11,"Gen A",Table2[[#This Row],[Age]]&lt;=27,"Gen Z",Table2[[#This Row],[Age]]&lt;=43,"Millenials",Table2[[#This Row],[Age]]&lt;=59,"Gen X",Table2[[#This Row],[Age]]&lt;=78,"Baby Boomers",Table2[[#This Row],[Age]]&lt;=96,"Silent",Table2[[#This Row],[Age]]&gt;=97,"Greatest")</f>
        <v>Silent</v>
      </c>
      <c r="E1462" s="1">
        <v>139806</v>
      </c>
      <c r="F1462">
        <v>99</v>
      </c>
      <c r="G1462" t="str" cm="1">
        <f t="array" ref="G1462">_xlfn.IFS(Table2[[#This Row],[Spending Score (1-100)]]&lt;=25,"Low",Table2[[#This Row],[Spending Score (1-100)]]&lt;=50,"Medium",Table2[[#This Row],[Spending Score (1-100)]]&lt;=75,"High",Table2[[#This Row],[Spending Score (1-100)]]&lt;=100,"Very High")</f>
        <v>Very High</v>
      </c>
      <c r="H1462" t="s">
        <v>13</v>
      </c>
      <c r="I1462">
        <v>4</v>
      </c>
      <c r="J1462" t="str">
        <f>CONCATENATE(Table2[[#This Row],[Work Experience]],"years")</f>
        <v>4years</v>
      </c>
      <c r="K1462" t="str">
        <f>CONCATENATE(Table2[[#This Row],[Family Size2]],"members")</f>
        <v>4members</v>
      </c>
      <c r="L1462" t="str">
        <f>CONCATENATE(Table2[[#This Row],[Family Size2]],"members")</f>
        <v>4members</v>
      </c>
      <c r="M1462">
        <v>4</v>
      </c>
    </row>
    <row r="1463" spans="1:13">
      <c r="A1463">
        <v>1462</v>
      </c>
      <c r="B1463" t="s">
        <v>11</v>
      </c>
      <c r="C1463">
        <v>75</v>
      </c>
      <c r="D1463" t="str" cm="1">
        <f t="array" ref="D1463">_xlfn.IFS(Table2[[#This Row],[Age]]&lt;=11,"Gen A",Table2[[#This Row],[Age]]&lt;=27,"Gen Z",Table2[[#This Row],[Age]]&lt;=43,"Millenials",Table2[[#This Row],[Age]]&lt;=59,"Gen X",Table2[[#This Row],[Age]]&lt;=78,"Baby Boomers",Table2[[#This Row],[Age]]&lt;=96,"Silent",Table2[[#This Row],[Age]]&gt;=97,"Greatest")</f>
        <v>Baby Boomers</v>
      </c>
      <c r="E1463" s="1">
        <v>77269</v>
      </c>
      <c r="F1463">
        <v>24</v>
      </c>
      <c r="G1463" t="str" cm="1">
        <f t="array" ref="G1463">_xlfn.IFS(Table2[[#This Row],[Spending Score (1-100)]]&lt;=25,"Low",Table2[[#This Row],[Spending Score (1-100)]]&lt;=50,"Medium",Table2[[#This Row],[Spending Score (1-100)]]&lt;=75,"High",Table2[[#This Row],[Spending Score (1-100)]]&lt;=100,"Very High")</f>
        <v>Low</v>
      </c>
      <c r="H1463" t="s">
        <v>14</v>
      </c>
      <c r="I1463">
        <v>8</v>
      </c>
      <c r="J1463" t="str">
        <f>CONCATENATE(Table2[[#This Row],[Work Experience]],"years")</f>
        <v>8years</v>
      </c>
      <c r="K1463" t="str">
        <f>CONCATENATE(Table2[[#This Row],[Family Size2]],"members")</f>
        <v>1members</v>
      </c>
      <c r="L1463" t="str">
        <f>CONCATENATE(Table2[[#This Row],[Family Size2]],"members")</f>
        <v>1members</v>
      </c>
      <c r="M1463">
        <v>1</v>
      </c>
    </row>
    <row r="1464" spans="1:13">
      <c r="A1464">
        <v>1463</v>
      </c>
      <c r="B1464" t="s">
        <v>11</v>
      </c>
      <c r="C1464">
        <v>96</v>
      </c>
      <c r="D1464" t="str" cm="1">
        <f t="array" ref="D1464">_xlfn.IFS(Table2[[#This Row],[Age]]&lt;=11,"Gen A",Table2[[#This Row],[Age]]&lt;=27,"Gen Z",Table2[[#This Row],[Age]]&lt;=43,"Millenials",Table2[[#This Row],[Age]]&lt;=59,"Gen X",Table2[[#This Row],[Age]]&lt;=78,"Baby Boomers",Table2[[#This Row],[Age]]&lt;=96,"Silent",Table2[[#This Row],[Age]]&gt;=97,"Greatest")</f>
        <v>Silent</v>
      </c>
      <c r="E1464" s="1">
        <v>105968</v>
      </c>
      <c r="F1464">
        <v>65</v>
      </c>
      <c r="G1464" t="str" cm="1">
        <f t="array" ref="G1464">_xlfn.IFS(Table2[[#This Row],[Spending Score (1-100)]]&lt;=25,"Low",Table2[[#This Row],[Spending Score (1-100)]]&lt;=50,"Medium",Table2[[#This Row],[Spending Score (1-100)]]&lt;=75,"High",Table2[[#This Row],[Spending Score (1-100)]]&lt;=100,"Very High")</f>
        <v>High</v>
      </c>
      <c r="H1464" t="s">
        <v>10</v>
      </c>
      <c r="I1464">
        <v>4</v>
      </c>
      <c r="J1464" t="str">
        <f>CONCATENATE(Table2[[#This Row],[Work Experience]],"years")</f>
        <v>4years</v>
      </c>
      <c r="K1464" t="str">
        <f>CONCATENATE(Table2[[#This Row],[Family Size2]],"members")</f>
        <v>5members</v>
      </c>
      <c r="L1464" t="str">
        <f>CONCATENATE(Table2[[#This Row],[Family Size2]],"members")</f>
        <v>5members</v>
      </c>
      <c r="M1464">
        <v>5</v>
      </c>
    </row>
    <row r="1465" spans="1:13">
      <c r="A1465">
        <v>1464</v>
      </c>
      <c r="B1465" t="s">
        <v>11</v>
      </c>
      <c r="C1465">
        <v>83</v>
      </c>
      <c r="D1465" t="str" cm="1">
        <f t="array" ref="D1465">_xlfn.IFS(Table2[[#This Row],[Age]]&lt;=11,"Gen A",Table2[[#This Row],[Age]]&lt;=27,"Gen Z",Table2[[#This Row],[Age]]&lt;=43,"Millenials",Table2[[#This Row],[Age]]&lt;=59,"Gen X",Table2[[#This Row],[Age]]&lt;=78,"Baby Boomers",Table2[[#This Row],[Age]]&lt;=96,"Silent",Table2[[#This Row],[Age]]&gt;=97,"Greatest")</f>
        <v>Silent</v>
      </c>
      <c r="E1465" s="1">
        <v>125660</v>
      </c>
      <c r="F1465">
        <v>19</v>
      </c>
      <c r="G1465" t="str" cm="1">
        <f t="array" ref="G1465">_xlfn.IFS(Table2[[#This Row],[Spending Score (1-100)]]&lt;=25,"Low",Table2[[#This Row],[Spending Score (1-100)]]&lt;=50,"Medium",Table2[[#This Row],[Spending Score (1-100)]]&lt;=75,"High",Table2[[#This Row],[Spending Score (1-100)]]&lt;=100,"Very High")</f>
        <v>Low</v>
      </c>
      <c r="H1465" t="s">
        <v>10</v>
      </c>
      <c r="I1465">
        <v>10</v>
      </c>
      <c r="J1465" t="str">
        <f>CONCATENATE(Table2[[#This Row],[Work Experience]],"years")</f>
        <v>10years</v>
      </c>
      <c r="K1465" t="str">
        <f>CONCATENATE(Table2[[#This Row],[Family Size2]],"members")</f>
        <v>4members</v>
      </c>
      <c r="L1465" t="str">
        <f>CONCATENATE(Table2[[#This Row],[Family Size2]],"members")</f>
        <v>4members</v>
      </c>
      <c r="M1465">
        <v>4</v>
      </c>
    </row>
    <row r="1466" spans="1:13">
      <c r="A1466">
        <v>1465</v>
      </c>
      <c r="B1466" t="s">
        <v>11</v>
      </c>
      <c r="C1466">
        <v>86</v>
      </c>
      <c r="D1466" t="str" cm="1">
        <f t="array" ref="D1466">_xlfn.IFS(Table2[[#This Row],[Age]]&lt;=11,"Gen A",Table2[[#This Row],[Age]]&lt;=27,"Gen Z",Table2[[#This Row],[Age]]&lt;=43,"Millenials",Table2[[#This Row],[Age]]&lt;=59,"Gen X",Table2[[#This Row],[Age]]&lt;=78,"Baby Boomers",Table2[[#This Row],[Age]]&lt;=96,"Silent",Table2[[#This Row],[Age]]&gt;=97,"Greatest")</f>
        <v>Silent</v>
      </c>
      <c r="E1466" s="1">
        <v>98444</v>
      </c>
      <c r="F1466">
        <v>76</v>
      </c>
      <c r="G1466" t="str" cm="1">
        <f t="array" ref="G1466">_xlfn.IFS(Table2[[#This Row],[Spending Score (1-100)]]&lt;=25,"Low",Table2[[#This Row],[Spending Score (1-100)]]&lt;=50,"Medium",Table2[[#This Row],[Spending Score (1-100)]]&lt;=75,"High",Table2[[#This Row],[Spending Score (1-100)]]&lt;=100,"Very High")</f>
        <v>Very High</v>
      </c>
      <c r="H1466" t="s">
        <v>13</v>
      </c>
      <c r="I1466">
        <v>7</v>
      </c>
      <c r="J1466" t="str">
        <f>CONCATENATE(Table2[[#This Row],[Work Experience]],"years")</f>
        <v>7years</v>
      </c>
      <c r="K1466" t="str">
        <f>CONCATENATE(Table2[[#This Row],[Family Size2]],"members")</f>
        <v>4members</v>
      </c>
      <c r="L1466" t="str">
        <f>CONCATENATE(Table2[[#This Row],[Family Size2]],"members")</f>
        <v>4members</v>
      </c>
      <c r="M1466">
        <v>4</v>
      </c>
    </row>
    <row r="1467" spans="1:13">
      <c r="A1467">
        <v>1466</v>
      </c>
      <c r="B1467" t="s">
        <v>8</v>
      </c>
      <c r="C1467">
        <v>60</v>
      </c>
      <c r="D1467" t="str" cm="1">
        <f t="array" ref="D1467">_xlfn.IFS(Table2[[#This Row],[Age]]&lt;=11,"Gen A",Table2[[#This Row],[Age]]&lt;=27,"Gen Z",Table2[[#This Row],[Age]]&lt;=43,"Millenials",Table2[[#This Row],[Age]]&lt;=59,"Gen X",Table2[[#This Row],[Age]]&lt;=78,"Baby Boomers",Table2[[#This Row],[Age]]&lt;=96,"Silent",Table2[[#This Row],[Age]]&gt;=97,"Greatest")</f>
        <v>Baby Boomers</v>
      </c>
      <c r="E1467" s="1">
        <v>179503</v>
      </c>
      <c r="F1467">
        <v>9</v>
      </c>
      <c r="G1467" t="str" cm="1">
        <f t="array" ref="G1467">_xlfn.IFS(Table2[[#This Row],[Spending Score (1-100)]]&lt;=25,"Low",Table2[[#This Row],[Spending Score (1-100)]]&lt;=50,"Medium",Table2[[#This Row],[Spending Score (1-100)]]&lt;=75,"High",Table2[[#This Row],[Spending Score (1-100)]]&lt;=100,"Very High")</f>
        <v>Low</v>
      </c>
      <c r="H1467" t="s">
        <v>14</v>
      </c>
      <c r="I1467">
        <v>4</v>
      </c>
      <c r="J1467" t="str">
        <f>CONCATENATE(Table2[[#This Row],[Work Experience]],"years")</f>
        <v>4years</v>
      </c>
      <c r="K1467" t="str">
        <f>CONCATENATE(Table2[[#This Row],[Family Size2]],"members")</f>
        <v>3members</v>
      </c>
      <c r="L1467" t="str">
        <f>CONCATENATE(Table2[[#This Row],[Family Size2]],"members")</f>
        <v>3members</v>
      </c>
      <c r="M1467">
        <v>3</v>
      </c>
    </row>
    <row r="1468" spans="1:13">
      <c r="A1468">
        <v>1467</v>
      </c>
      <c r="B1468" t="s">
        <v>11</v>
      </c>
      <c r="C1468">
        <v>5</v>
      </c>
      <c r="D1468" t="str" cm="1">
        <f t="array" ref="D1468">_xlfn.IFS(Table2[[#This Row],[Age]]&lt;=11,"Gen A",Table2[[#This Row],[Age]]&lt;=27,"Gen Z",Table2[[#This Row],[Age]]&lt;=43,"Millenials",Table2[[#This Row],[Age]]&lt;=59,"Gen X",Table2[[#This Row],[Age]]&lt;=78,"Baby Boomers",Table2[[#This Row],[Age]]&lt;=96,"Silent",Table2[[#This Row],[Age]]&gt;=97,"Greatest")</f>
        <v>Gen A</v>
      </c>
      <c r="E1468" s="1">
        <v>60575</v>
      </c>
      <c r="F1468">
        <v>14</v>
      </c>
      <c r="G1468" t="str" cm="1">
        <f t="array" ref="G1468">_xlfn.IFS(Table2[[#This Row],[Spending Score (1-100)]]&lt;=25,"Low",Table2[[#This Row],[Spending Score (1-100)]]&lt;=50,"Medium",Table2[[#This Row],[Spending Score (1-100)]]&lt;=75,"High",Table2[[#This Row],[Spending Score (1-100)]]&lt;=100,"Very High")</f>
        <v>Low</v>
      </c>
      <c r="H1468" t="s">
        <v>10</v>
      </c>
      <c r="I1468">
        <v>5</v>
      </c>
      <c r="J1468" t="str">
        <f>CONCATENATE(Table2[[#This Row],[Work Experience]],"years")</f>
        <v>5years</v>
      </c>
      <c r="K1468" t="str">
        <f>CONCATENATE(Table2[[#This Row],[Family Size2]],"members")</f>
        <v>2members</v>
      </c>
      <c r="L1468" t="str">
        <f>CONCATENATE(Table2[[#This Row],[Family Size2]],"members")</f>
        <v>2members</v>
      </c>
      <c r="M1468">
        <v>2</v>
      </c>
    </row>
    <row r="1469" spans="1:13">
      <c r="A1469">
        <v>1468</v>
      </c>
      <c r="B1469" t="s">
        <v>11</v>
      </c>
      <c r="C1469">
        <v>65</v>
      </c>
      <c r="D1469" t="str" cm="1">
        <f t="array" ref="D1469">_xlfn.IFS(Table2[[#This Row],[Age]]&lt;=11,"Gen A",Table2[[#This Row],[Age]]&lt;=27,"Gen Z",Table2[[#This Row],[Age]]&lt;=43,"Millenials",Table2[[#This Row],[Age]]&lt;=59,"Gen X",Table2[[#This Row],[Age]]&lt;=78,"Baby Boomers",Table2[[#This Row],[Age]]&lt;=96,"Silent",Table2[[#This Row],[Age]]&gt;=97,"Greatest")</f>
        <v>Baby Boomers</v>
      </c>
      <c r="E1469" s="1">
        <v>75685</v>
      </c>
      <c r="F1469">
        <v>19</v>
      </c>
      <c r="G1469" t="str" cm="1">
        <f t="array" ref="G1469">_xlfn.IFS(Table2[[#This Row],[Spending Score (1-100)]]&lt;=25,"Low",Table2[[#This Row],[Spending Score (1-100)]]&lt;=50,"Medium",Table2[[#This Row],[Spending Score (1-100)]]&lt;=75,"High",Table2[[#This Row],[Spending Score (1-100)]]&lt;=100,"Very High")</f>
        <v>Low</v>
      </c>
      <c r="H1469" t="s">
        <v>18</v>
      </c>
      <c r="I1469">
        <v>7</v>
      </c>
      <c r="J1469" t="str">
        <f>CONCATENATE(Table2[[#This Row],[Work Experience]],"years")</f>
        <v>7years</v>
      </c>
      <c r="K1469" t="str">
        <f>CONCATENATE(Table2[[#This Row],[Family Size2]],"members")</f>
        <v>3members</v>
      </c>
      <c r="L1469" t="str">
        <f>CONCATENATE(Table2[[#This Row],[Family Size2]],"members")</f>
        <v>3members</v>
      </c>
      <c r="M1469">
        <v>3</v>
      </c>
    </row>
    <row r="1470" spans="1:13">
      <c r="A1470">
        <v>1469</v>
      </c>
      <c r="B1470" t="s">
        <v>11</v>
      </c>
      <c r="C1470">
        <v>49</v>
      </c>
      <c r="D1470" t="str" cm="1">
        <f t="array" ref="D1470">_xlfn.IFS(Table2[[#This Row],[Age]]&lt;=11,"Gen A",Table2[[#This Row],[Age]]&lt;=27,"Gen Z",Table2[[#This Row],[Age]]&lt;=43,"Millenials",Table2[[#This Row],[Age]]&lt;=59,"Gen X",Table2[[#This Row],[Age]]&lt;=78,"Baby Boomers",Table2[[#This Row],[Age]]&lt;=96,"Silent",Table2[[#This Row],[Age]]&gt;=97,"Greatest")</f>
        <v>Gen X</v>
      </c>
      <c r="E1470" s="1">
        <v>85374</v>
      </c>
      <c r="F1470">
        <v>45</v>
      </c>
      <c r="G1470" t="str" cm="1">
        <f t="array" ref="G1470">_xlfn.IFS(Table2[[#This Row],[Spending Score (1-100)]]&lt;=25,"Low",Table2[[#This Row],[Spending Score (1-100)]]&lt;=50,"Medium",Table2[[#This Row],[Spending Score (1-100)]]&lt;=75,"High",Table2[[#This Row],[Spending Score (1-100)]]&lt;=100,"Very High")</f>
        <v>Medium</v>
      </c>
      <c r="H1470" t="s">
        <v>14</v>
      </c>
      <c r="I1470">
        <v>8</v>
      </c>
      <c r="J1470" t="str">
        <f>CONCATENATE(Table2[[#This Row],[Work Experience]],"years")</f>
        <v>8years</v>
      </c>
      <c r="K1470" t="str">
        <f>CONCATENATE(Table2[[#This Row],[Family Size2]],"members")</f>
        <v>5members</v>
      </c>
      <c r="L1470" t="str">
        <f>CONCATENATE(Table2[[#This Row],[Family Size2]],"members")</f>
        <v>5members</v>
      </c>
      <c r="M1470">
        <v>5</v>
      </c>
    </row>
    <row r="1471" spans="1:13">
      <c r="A1471">
        <v>1470</v>
      </c>
      <c r="B1471" t="s">
        <v>11</v>
      </c>
      <c r="C1471">
        <v>78</v>
      </c>
      <c r="D1471" t="str" cm="1">
        <f t="array" ref="D1471">_xlfn.IFS(Table2[[#This Row],[Age]]&lt;=11,"Gen A",Table2[[#This Row],[Age]]&lt;=27,"Gen Z",Table2[[#This Row],[Age]]&lt;=43,"Millenials",Table2[[#This Row],[Age]]&lt;=59,"Gen X",Table2[[#This Row],[Age]]&lt;=78,"Baby Boomers",Table2[[#This Row],[Age]]&lt;=96,"Silent",Table2[[#This Row],[Age]]&gt;=97,"Greatest")</f>
        <v>Baby Boomers</v>
      </c>
      <c r="E1471" s="1">
        <v>128642</v>
      </c>
      <c r="F1471">
        <v>19</v>
      </c>
      <c r="G1471" t="str" cm="1">
        <f t="array" ref="G1471">_xlfn.IFS(Table2[[#This Row],[Spending Score (1-100)]]&lt;=25,"Low",Table2[[#This Row],[Spending Score (1-100)]]&lt;=50,"Medium",Table2[[#This Row],[Spending Score (1-100)]]&lt;=75,"High",Table2[[#This Row],[Spending Score (1-100)]]&lt;=100,"Very High")</f>
        <v>Low</v>
      </c>
      <c r="H1471" t="s">
        <v>18</v>
      </c>
      <c r="I1471">
        <v>5</v>
      </c>
      <c r="J1471" t="str">
        <f>CONCATENATE(Table2[[#This Row],[Work Experience]],"years")</f>
        <v>5years</v>
      </c>
      <c r="K1471" t="str">
        <f>CONCATENATE(Table2[[#This Row],[Family Size2]],"members")</f>
        <v>6members</v>
      </c>
      <c r="L1471" t="str">
        <f>CONCATENATE(Table2[[#This Row],[Family Size2]],"members")</f>
        <v>6members</v>
      </c>
      <c r="M1471">
        <v>6</v>
      </c>
    </row>
    <row r="1472" spans="1:13">
      <c r="A1472">
        <v>1471</v>
      </c>
      <c r="B1472" t="s">
        <v>8</v>
      </c>
      <c r="C1472">
        <v>25</v>
      </c>
      <c r="D1472" t="str" cm="1">
        <f t="array" ref="D1472">_xlfn.IFS(Table2[[#This Row],[Age]]&lt;=11,"Gen A",Table2[[#This Row],[Age]]&lt;=27,"Gen Z",Table2[[#This Row],[Age]]&lt;=43,"Millenials",Table2[[#This Row],[Age]]&lt;=59,"Gen X",Table2[[#This Row],[Age]]&lt;=78,"Baby Boomers",Table2[[#This Row],[Age]]&lt;=96,"Silent",Table2[[#This Row],[Age]]&gt;=97,"Greatest")</f>
        <v>Gen Z</v>
      </c>
      <c r="E1472" s="1">
        <v>182292</v>
      </c>
      <c r="F1472">
        <v>78</v>
      </c>
      <c r="G1472" t="str" cm="1">
        <f t="array" ref="G1472">_xlfn.IFS(Table2[[#This Row],[Spending Score (1-100)]]&lt;=25,"Low",Table2[[#This Row],[Spending Score (1-100)]]&lt;=50,"Medium",Table2[[#This Row],[Spending Score (1-100)]]&lt;=75,"High",Table2[[#This Row],[Spending Score (1-100)]]&lt;=100,"Very High")</f>
        <v>Very High</v>
      </c>
      <c r="H1472" t="s">
        <v>14</v>
      </c>
      <c r="I1472">
        <v>7</v>
      </c>
      <c r="J1472" t="str">
        <f>CONCATENATE(Table2[[#This Row],[Work Experience]],"years")</f>
        <v>7years</v>
      </c>
      <c r="K1472" t="str">
        <f>CONCATENATE(Table2[[#This Row],[Family Size2]],"members")</f>
        <v>5members</v>
      </c>
      <c r="L1472" t="str">
        <f>CONCATENATE(Table2[[#This Row],[Family Size2]],"members")</f>
        <v>5members</v>
      </c>
      <c r="M1472">
        <v>5</v>
      </c>
    </row>
    <row r="1473" spans="1:13">
      <c r="A1473">
        <v>1472</v>
      </c>
      <c r="B1473" t="s">
        <v>11</v>
      </c>
      <c r="C1473">
        <v>5</v>
      </c>
      <c r="D1473" t="str" cm="1">
        <f t="array" ref="D1473">_xlfn.IFS(Table2[[#This Row],[Age]]&lt;=11,"Gen A",Table2[[#This Row],[Age]]&lt;=27,"Gen Z",Table2[[#This Row],[Age]]&lt;=43,"Millenials",Table2[[#This Row],[Age]]&lt;=59,"Gen X",Table2[[#This Row],[Age]]&lt;=78,"Baby Boomers",Table2[[#This Row],[Age]]&lt;=96,"Silent",Table2[[#This Row],[Age]]&gt;=97,"Greatest")</f>
        <v>Gen A</v>
      </c>
      <c r="E1473" s="1">
        <v>124702</v>
      </c>
      <c r="F1473">
        <v>94</v>
      </c>
      <c r="G1473" t="str" cm="1">
        <f t="array" ref="G1473">_xlfn.IFS(Table2[[#This Row],[Spending Score (1-100)]]&lt;=25,"Low",Table2[[#This Row],[Spending Score (1-100)]]&lt;=50,"Medium",Table2[[#This Row],[Spending Score (1-100)]]&lt;=75,"High",Table2[[#This Row],[Spending Score (1-100)]]&lt;=100,"Very High")</f>
        <v>Very High</v>
      </c>
      <c r="H1473" t="s">
        <v>14</v>
      </c>
      <c r="I1473">
        <v>10</v>
      </c>
      <c r="J1473" t="str">
        <f>CONCATENATE(Table2[[#This Row],[Work Experience]],"years")</f>
        <v>10years</v>
      </c>
      <c r="K1473" t="str">
        <f>CONCATENATE(Table2[[#This Row],[Family Size2]],"members")</f>
        <v>3members</v>
      </c>
      <c r="L1473" t="str">
        <f>CONCATENATE(Table2[[#This Row],[Family Size2]],"members")</f>
        <v>3members</v>
      </c>
      <c r="M1473">
        <v>3</v>
      </c>
    </row>
    <row r="1474" spans="1:13">
      <c r="A1474">
        <v>1473</v>
      </c>
      <c r="B1474" t="s">
        <v>11</v>
      </c>
      <c r="C1474">
        <v>58</v>
      </c>
      <c r="D1474" t="str" cm="1">
        <f t="array" ref="D1474">_xlfn.IFS(Table2[[#This Row],[Age]]&lt;=11,"Gen A",Table2[[#This Row],[Age]]&lt;=27,"Gen Z",Table2[[#This Row],[Age]]&lt;=43,"Millenials",Table2[[#This Row],[Age]]&lt;=59,"Gen X",Table2[[#This Row],[Age]]&lt;=78,"Baby Boomers",Table2[[#This Row],[Age]]&lt;=96,"Silent",Table2[[#This Row],[Age]]&gt;=97,"Greatest")</f>
        <v>Gen X</v>
      </c>
      <c r="E1474" s="1">
        <v>127833</v>
      </c>
      <c r="F1474">
        <v>2</v>
      </c>
      <c r="G1474" t="str" cm="1">
        <f t="array" ref="G1474">_xlfn.IFS(Table2[[#This Row],[Spending Score (1-100)]]&lt;=25,"Low",Table2[[#This Row],[Spending Score (1-100)]]&lt;=50,"Medium",Table2[[#This Row],[Spending Score (1-100)]]&lt;=75,"High",Table2[[#This Row],[Spending Score (1-100)]]&lt;=100,"Very High")</f>
        <v>Low</v>
      </c>
      <c r="H1474" t="s">
        <v>14</v>
      </c>
      <c r="I1474">
        <v>7</v>
      </c>
      <c r="J1474" t="str">
        <f>CONCATENATE(Table2[[#This Row],[Work Experience]],"years")</f>
        <v>7years</v>
      </c>
      <c r="K1474" t="str">
        <f>CONCATENATE(Table2[[#This Row],[Family Size2]],"members")</f>
        <v>7members</v>
      </c>
      <c r="L1474" t="str">
        <f>CONCATENATE(Table2[[#This Row],[Family Size2]],"members")</f>
        <v>7members</v>
      </c>
      <c r="M1474">
        <v>7</v>
      </c>
    </row>
    <row r="1475" spans="1:13">
      <c r="A1475">
        <v>1474</v>
      </c>
      <c r="B1475" t="s">
        <v>11</v>
      </c>
      <c r="C1475">
        <v>80</v>
      </c>
      <c r="D1475" t="str" cm="1">
        <f t="array" ref="D1475">_xlfn.IFS(Table2[[#This Row],[Age]]&lt;=11,"Gen A",Table2[[#This Row],[Age]]&lt;=27,"Gen Z",Table2[[#This Row],[Age]]&lt;=43,"Millenials",Table2[[#This Row],[Age]]&lt;=59,"Gen X",Table2[[#This Row],[Age]]&lt;=78,"Baby Boomers",Table2[[#This Row],[Age]]&lt;=96,"Silent",Table2[[#This Row],[Age]]&gt;=97,"Greatest")</f>
        <v>Silent</v>
      </c>
      <c r="E1475" s="1">
        <v>178866</v>
      </c>
      <c r="F1475">
        <v>97</v>
      </c>
      <c r="G1475" t="str" cm="1">
        <f t="array" ref="G1475">_xlfn.IFS(Table2[[#This Row],[Spending Score (1-100)]]&lt;=25,"Low",Table2[[#This Row],[Spending Score (1-100)]]&lt;=50,"Medium",Table2[[#This Row],[Spending Score (1-100)]]&lt;=75,"High",Table2[[#This Row],[Spending Score (1-100)]]&lt;=100,"Very High")</f>
        <v>Very High</v>
      </c>
      <c r="H1475" t="s">
        <v>14</v>
      </c>
      <c r="I1475">
        <v>8</v>
      </c>
      <c r="J1475" t="str">
        <f>CONCATENATE(Table2[[#This Row],[Work Experience]],"years")</f>
        <v>8years</v>
      </c>
      <c r="K1475" t="str">
        <f>CONCATENATE(Table2[[#This Row],[Family Size2]],"members")</f>
        <v>4members</v>
      </c>
      <c r="L1475" t="str">
        <f>CONCATENATE(Table2[[#This Row],[Family Size2]],"members")</f>
        <v>4members</v>
      </c>
      <c r="M1475">
        <v>4</v>
      </c>
    </row>
    <row r="1476" spans="1:13">
      <c r="A1476">
        <v>1475</v>
      </c>
      <c r="B1476" t="s">
        <v>11</v>
      </c>
      <c r="C1476">
        <v>94</v>
      </c>
      <c r="D1476" t="str" cm="1">
        <f t="array" ref="D1476">_xlfn.IFS(Table2[[#This Row],[Age]]&lt;=11,"Gen A",Table2[[#This Row],[Age]]&lt;=27,"Gen Z",Table2[[#This Row],[Age]]&lt;=43,"Millenials",Table2[[#This Row],[Age]]&lt;=59,"Gen X",Table2[[#This Row],[Age]]&lt;=78,"Baby Boomers",Table2[[#This Row],[Age]]&lt;=96,"Silent",Table2[[#This Row],[Age]]&gt;=97,"Greatest")</f>
        <v>Silent</v>
      </c>
      <c r="E1476" s="1">
        <v>183643</v>
      </c>
      <c r="F1476">
        <v>51</v>
      </c>
      <c r="G1476" t="str" cm="1">
        <f t="array" ref="G1476">_xlfn.IFS(Table2[[#This Row],[Spending Score (1-100)]]&lt;=25,"Low",Table2[[#This Row],[Spending Score (1-100)]]&lt;=50,"Medium",Table2[[#This Row],[Spending Score (1-100)]]&lt;=75,"High",Table2[[#This Row],[Spending Score (1-100)]]&lt;=100,"Very High")</f>
        <v>High</v>
      </c>
      <c r="H1476" t="s">
        <v>14</v>
      </c>
      <c r="I1476">
        <v>5</v>
      </c>
      <c r="J1476" t="str">
        <f>CONCATENATE(Table2[[#This Row],[Work Experience]],"years")</f>
        <v>5years</v>
      </c>
      <c r="K1476" t="str">
        <f>CONCATENATE(Table2[[#This Row],[Family Size2]],"members")</f>
        <v>5members</v>
      </c>
      <c r="L1476" t="str">
        <f>CONCATENATE(Table2[[#This Row],[Family Size2]],"members")</f>
        <v>5members</v>
      </c>
      <c r="M1476">
        <v>5</v>
      </c>
    </row>
    <row r="1477" spans="1:13">
      <c r="A1477">
        <v>1476</v>
      </c>
      <c r="B1477" t="s">
        <v>8</v>
      </c>
      <c r="C1477">
        <v>62</v>
      </c>
      <c r="D1477" t="str" cm="1">
        <f t="array" ref="D1477">_xlfn.IFS(Table2[[#This Row],[Age]]&lt;=11,"Gen A",Table2[[#This Row],[Age]]&lt;=27,"Gen Z",Table2[[#This Row],[Age]]&lt;=43,"Millenials",Table2[[#This Row],[Age]]&lt;=59,"Gen X",Table2[[#This Row],[Age]]&lt;=78,"Baby Boomers",Table2[[#This Row],[Age]]&lt;=96,"Silent",Table2[[#This Row],[Age]]&gt;=97,"Greatest")</f>
        <v>Baby Boomers</v>
      </c>
      <c r="E1477" s="1">
        <v>113306</v>
      </c>
      <c r="F1477">
        <v>4</v>
      </c>
      <c r="G1477" t="str" cm="1">
        <f t="array" ref="G1477">_xlfn.IFS(Table2[[#This Row],[Spending Score (1-100)]]&lt;=25,"Low",Table2[[#This Row],[Spending Score (1-100)]]&lt;=50,"Medium",Table2[[#This Row],[Spending Score (1-100)]]&lt;=75,"High",Table2[[#This Row],[Spending Score (1-100)]]&lt;=100,"Very High")</f>
        <v>Low</v>
      </c>
      <c r="H1477" t="s">
        <v>15</v>
      </c>
      <c r="I1477">
        <v>5</v>
      </c>
      <c r="J1477" t="str">
        <f>CONCATENATE(Table2[[#This Row],[Work Experience]],"years")</f>
        <v>5years</v>
      </c>
      <c r="K1477" t="str">
        <f>CONCATENATE(Table2[[#This Row],[Family Size2]],"members")</f>
        <v>6members</v>
      </c>
      <c r="L1477" t="str">
        <f>CONCATENATE(Table2[[#This Row],[Family Size2]],"members")</f>
        <v>6members</v>
      </c>
      <c r="M1477">
        <v>6</v>
      </c>
    </row>
    <row r="1478" spans="1:13">
      <c r="A1478">
        <v>1477</v>
      </c>
      <c r="B1478" t="s">
        <v>8</v>
      </c>
      <c r="C1478">
        <v>20</v>
      </c>
      <c r="D1478" t="str" cm="1">
        <f t="array" ref="D1478">_xlfn.IFS(Table2[[#This Row],[Age]]&lt;=11,"Gen A",Table2[[#This Row],[Age]]&lt;=27,"Gen Z",Table2[[#This Row],[Age]]&lt;=43,"Millenials",Table2[[#This Row],[Age]]&lt;=59,"Gen X",Table2[[#This Row],[Age]]&lt;=78,"Baby Boomers",Table2[[#This Row],[Age]]&lt;=96,"Silent",Table2[[#This Row],[Age]]&gt;=97,"Greatest")</f>
        <v>Gen Z</v>
      </c>
      <c r="E1478" s="1">
        <v>84008</v>
      </c>
      <c r="F1478">
        <v>77</v>
      </c>
      <c r="G1478" t="str" cm="1">
        <f t="array" ref="G1478">_xlfn.IFS(Table2[[#This Row],[Spending Score (1-100)]]&lt;=25,"Low",Table2[[#This Row],[Spending Score (1-100)]]&lt;=50,"Medium",Table2[[#This Row],[Spending Score (1-100)]]&lt;=75,"High",Table2[[#This Row],[Spending Score (1-100)]]&lt;=100,"Very High")</f>
        <v>Very High</v>
      </c>
      <c r="H1478" t="s">
        <v>14</v>
      </c>
      <c r="I1478">
        <v>8</v>
      </c>
      <c r="J1478" t="str">
        <f>CONCATENATE(Table2[[#This Row],[Work Experience]],"years")</f>
        <v>8years</v>
      </c>
      <c r="K1478" t="str">
        <f>CONCATENATE(Table2[[#This Row],[Family Size2]],"members")</f>
        <v>4members</v>
      </c>
      <c r="L1478" t="str">
        <f>CONCATENATE(Table2[[#This Row],[Family Size2]],"members")</f>
        <v>4members</v>
      </c>
      <c r="M1478">
        <v>4</v>
      </c>
    </row>
    <row r="1479" spans="1:13">
      <c r="A1479">
        <v>1478</v>
      </c>
      <c r="B1479" t="s">
        <v>8</v>
      </c>
      <c r="C1479">
        <v>85</v>
      </c>
      <c r="D1479" t="str" cm="1">
        <f t="array" ref="D1479">_xlfn.IFS(Table2[[#This Row],[Age]]&lt;=11,"Gen A",Table2[[#This Row],[Age]]&lt;=27,"Gen Z",Table2[[#This Row],[Age]]&lt;=43,"Millenials",Table2[[#This Row],[Age]]&lt;=59,"Gen X",Table2[[#This Row],[Age]]&lt;=78,"Baby Boomers",Table2[[#This Row],[Age]]&lt;=96,"Silent",Table2[[#This Row],[Age]]&gt;=97,"Greatest")</f>
        <v>Silent</v>
      </c>
      <c r="E1479" s="1">
        <v>85758</v>
      </c>
      <c r="F1479">
        <v>35</v>
      </c>
      <c r="G1479" t="str" cm="1">
        <f t="array" ref="G1479">_xlfn.IFS(Table2[[#This Row],[Spending Score (1-100)]]&lt;=25,"Low",Table2[[#This Row],[Spending Score (1-100)]]&lt;=50,"Medium",Table2[[#This Row],[Spending Score (1-100)]]&lt;=75,"High",Table2[[#This Row],[Spending Score (1-100)]]&lt;=100,"Very High")</f>
        <v>Medium</v>
      </c>
      <c r="H1479" t="s">
        <v>12</v>
      </c>
      <c r="I1479">
        <v>10</v>
      </c>
      <c r="J1479" t="str">
        <f>CONCATENATE(Table2[[#This Row],[Work Experience]],"years")</f>
        <v>10years</v>
      </c>
      <c r="K1479" t="str">
        <f>CONCATENATE(Table2[[#This Row],[Family Size2]],"members")</f>
        <v>4members</v>
      </c>
      <c r="L1479" t="str">
        <f>CONCATENATE(Table2[[#This Row],[Family Size2]],"members")</f>
        <v>4members</v>
      </c>
      <c r="M1479">
        <v>4</v>
      </c>
    </row>
    <row r="1480" spans="1:13">
      <c r="A1480">
        <v>1479</v>
      </c>
      <c r="B1480" t="s">
        <v>11</v>
      </c>
      <c r="C1480">
        <v>72</v>
      </c>
      <c r="D1480" t="str" cm="1">
        <f t="array" ref="D1480">_xlfn.IFS(Table2[[#This Row],[Age]]&lt;=11,"Gen A",Table2[[#This Row],[Age]]&lt;=27,"Gen Z",Table2[[#This Row],[Age]]&lt;=43,"Millenials",Table2[[#This Row],[Age]]&lt;=59,"Gen X",Table2[[#This Row],[Age]]&lt;=78,"Baby Boomers",Table2[[#This Row],[Age]]&lt;=96,"Silent",Table2[[#This Row],[Age]]&gt;=97,"Greatest")</f>
        <v>Baby Boomers</v>
      </c>
      <c r="E1480" s="1">
        <v>63128</v>
      </c>
      <c r="F1480">
        <v>45</v>
      </c>
      <c r="G1480" t="str" cm="1">
        <f t="array" ref="G1480">_xlfn.IFS(Table2[[#This Row],[Spending Score (1-100)]]&lt;=25,"Low",Table2[[#This Row],[Spending Score (1-100)]]&lt;=50,"Medium",Table2[[#This Row],[Spending Score (1-100)]]&lt;=75,"High",Table2[[#This Row],[Spending Score (1-100)]]&lt;=100,"Very High")</f>
        <v>Medium</v>
      </c>
      <c r="H1480" t="s">
        <v>10</v>
      </c>
      <c r="I1480">
        <v>8</v>
      </c>
      <c r="J1480" t="str">
        <f>CONCATENATE(Table2[[#This Row],[Work Experience]],"years")</f>
        <v>8years</v>
      </c>
      <c r="K1480" t="str">
        <f>CONCATENATE(Table2[[#This Row],[Family Size2]],"members")</f>
        <v>7members</v>
      </c>
      <c r="L1480" t="str">
        <f>CONCATENATE(Table2[[#This Row],[Family Size2]],"members")</f>
        <v>7members</v>
      </c>
      <c r="M1480">
        <v>7</v>
      </c>
    </row>
    <row r="1481" spans="1:13">
      <c r="A1481">
        <v>1480</v>
      </c>
      <c r="B1481" t="s">
        <v>8</v>
      </c>
      <c r="C1481">
        <v>95</v>
      </c>
      <c r="D1481" t="str" cm="1">
        <f t="array" ref="D1481">_xlfn.IFS(Table2[[#This Row],[Age]]&lt;=11,"Gen A",Table2[[#This Row],[Age]]&lt;=27,"Gen Z",Table2[[#This Row],[Age]]&lt;=43,"Millenials",Table2[[#This Row],[Age]]&lt;=59,"Gen X",Table2[[#This Row],[Age]]&lt;=78,"Baby Boomers",Table2[[#This Row],[Age]]&lt;=96,"Silent",Table2[[#This Row],[Age]]&gt;=97,"Greatest")</f>
        <v>Silent</v>
      </c>
      <c r="E1481" s="1">
        <v>70174</v>
      </c>
      <c r="F1481">
        <v>6</v>
      </c>
      <c r="G1481" t="str" cm="1">
        <f t="array" ref="G1481">_xlfn.IFS(Table2[[#This Row],[Spending Score (1-100)]]&lt;=25,"Low",Table2[[#This Row],[Spending Score (1-100)]]&lt;=50,"Medium",Table2[[#This Row],[Spending Score (1-100)]]&lt;=75,"High",Table2[[#This Row],[Spending Score (1-100)]]&lt;=100,"Very High")</f>
        <v>Low</v>
      </c>
      <c r="H1481" t="s">
        <v>15</v>
      </c>
      <c r="I1481">
        <v>10</v>
      </c>
      <c r="J1481" t="str">
        <f>CONCATENATE(Table2[[#This Row],[Work Experience]],"years")</f>
        <v>10years</v>
      </c>
      <c r="K1481" t="str">
        <f>CONCATENATE(Table2[[#This Row],[Family Size2]],"members")</f>
        <v>6members</v>
      </c>
      <c r="L1481" t="str">
        <f>CONCATENATE(Table2[[#This Row],[Family Size2]],"members")</f>
        <v>6members</v>
      </c>
      <c r="M1481">
        <v>6</v>
      </c>
    </row>
    <row r="1482" spans="1:13">
      <c r="A1482">
        <v>1481</v>
      </c>
      <c r="B1482" t="s">
        <v>11</v>
      </c>
      <c r="C1482">
        <v>97</v>
      </c>
      <c r="D1482" t="str" cm="1">
        <f t="array" ref="D1482">_xlfn.IFS(Table2[[#This Row],[Age]]&lt;=11,"Gen A",Table2[[#This Row],[Age]]&lt;=27,"Gen Z",Table2[[#This Row],[Age]]&lt;=43,"Millenials",Table2[[#This Row],[Age]]&lt;=59,"Gen X",Table2[[#This Row],[Age]]&lt;=78,"Baby Boomers",Table2[[#This Row],[Age]]&lt;=96,"Silent",Table2[[#This Row],[Age]]&gt;=97,"Greatest")</f>
        <v>Greatest</v>
      </c>
      <c r="E1482" s="1">
        <v>170133</v>
      </c>
      <c r="F1482">
        <v>42</v>
      </c>
      <c r="G1482" t="str" cm="1">
        <f t="array" ref="G1482">_xlfn.IFS(Table2[[#This Row],[Spending Score (1-100)]]&lt;=25,"Low",Table2[[#This Row],[Spending Score (1-100)]]&lt;=50,"Medium",Table2[[#This Row],[Spending Score (1-100)]]&lt;=75,"High",Table2[[#This Row],[Spending Score (1-100)]]&lt;=100,"Very High")</f>
        <v>Medium</v>
      </c>
      <c r="H1482" t="s">
        <v>10</v>
      </c>
      <c r="I1482">
        <v>5</v>
      </c>
      <c r="J1482" t="str">
        <f>CONCATENATE(Table2[[#This Row],[Work Experience]],"years")</f>
        <v>5years</v>
      </c>
      <c r="K1482" t="str">
        <f>CONCATENATE(Table2[[#This Row],[Family Size2]],"members")</f>
        <v>5members</v>
      </c>
      <c r="L1482" t="str">
        <f>CONCATENATE(Table2[[#This Row],[Family Size2]],"members")</f>
        <v>5members</v>
      </c>
      <c r="M1482">
        <v>5</v>
      </c>
    </row>
    <row r="1483" spans="1:13">
      <c r="A1483">
        <v>1482</v>
      </c>
      <c r="B1483" t="s">
        <v>11</v>
      </c>
      <c r="C1483">
        <v>25</v>
      </c>
      <c r="D1483" t="str" cm="1">
        <f t="array" ref="D1483">_xlfn.IFS(Table2[[#This Row],[Age]]&lt;=11,"Gen A",Table2[[#This Row],[Age]]&lt;=27,"Gen Z",Table2[[#This Row],[Age]]&lt;=43,"Millenials",Table2[[#This Row],[Age]]&lt;=59,"Gen X",Table2[[#This Row],[Age]]&lt;=78,"Baby Boomers",Table2[[#This Row],[Age]]&lt;=96,"Silent",Table2[[#This Row],[Age]]&gt;=97,"Greatest")</f>
        <v>Gen Z</v>
      </c>
      <c r="E1483" s="1">
        <v>165978</v>
      </c>
      <c r="F1483">
        <v>42</v>
      </c>
      <c r="G1483" t="str" cm="1">
        <f t="array" ref="G1483">_xlfn.IFS(Table2[[#This Row],[Spending Score (1-100)]]&lt;=25,"Low",Table2[[#This Row],[Spending Score (1-100)]]&lt;=50,"Medium",Table2[[#This Row],[Spending Score (1-100)]]&lt;=75,"High",Table2[[#This Row],[Spending Score (1-100)]]&lt;=100,"Very High")</f>
        <v>Medium</v>
      </c>
      <c r="H1483" t="s">
        <v>14</v>
      </c>
      <c r="I1483">
        <v>7</v>
      </c>
      <c r="J1483" t="str">
        <f>CONCATENATE(Table2[[#This Row],[Work Experience]],"years")</f>
        <v>7years</v>
      </c>
      <c r="K1483" t="str">
        <f>CONCATENATE(Table2[[#This Row],[Family Size2]],"members")</f>
        <v>3members</v>
      </c>
      <c r="L1483" t="str">
        <f>CONCATENATE(Table2[[#This Row],[Family Size2]],"members")</f>
        <v>3members</v>
      </c>
      <c r="M1483">
        <v>3</v>
      </c>
    </row>
    <row r="1484" spans="1:13">
      <c r="A1484">
        <v>1483</v>
      </c>
      <c r="B1484" t="s">
        <v>11</v>
      </c>
      <c r="C1484">
        <v>17</v>
      </c>
      <c r="D1484" t="str" cm="1">
        <f t="array" ref="D1484">_xlfn.IFS(Table2[[#This Row],[Age]]&lt;=11,"Gen A",Table2[[#This Row],[Age]]&lt;=27,"Gen Z",Table2[[#This Row],[Age]]&lt;=43,"Millenials",Table2[[#This Row],[Age]]&lt;=59,"Gen X",Table2[[#This Row],[Age]]&lt;=78,"Baby Boomers",Table2[[#This Row],[Age]]&lt;=96,"Silent",Table2[[#This Row],[Age]]&gt;=97,"Greatest")</f>
        <v>Gen Z</v>
      </c>
      <c r="E1484" s="1">
        <v>149727</v>
      </c>
      <c r="F1484">
        <v>78</v>
      </c>
      <c r="G1484" t="str" cm="1">
        <f t="array" ref="G1484">_xlfn.IFS(Table2[[#This Row],[Spending Score (1-100)]]&lt;=25,"Low",Table2[[#This Row],[Spending Score (1-100)]]&lt;=50,"Medium",Table2[[#This Row],[Spending Score (1-100)]]&lt;=75,"High",Table2[[#This Row],[Spending Score (1-100)]]&lt;=100,"Very High")</f>
        <v>Very High</v>
      </c>
      <c r="H1484" t="s">
        <v>14</v>
      </c>
      <c r="I1484">
        <v>7</v>
      </c>
      <c r="J1484" t="str">
        <f>CONCATENATE(Table2[[#This Row],[Work Experience]],"years")</f>
        <v>7years</v>
      </c>
      <c r="K1484" t="str">
        <f>CONCATENATE(Table2[[#This Row],[Family Size2]],"members")</f>
        <v>3members</v>
      </c>
      <c r="L1484" t="str">
        <f>CONCATENATE(Table2[[#This Row],[Family Size2]],"members")</f>
        <v>3members</v>
      </c>
      <c r="M1484">
        <v>3</v>
      </c>
    </row>
    <row r="1485" spans="1:13">
      <c r="A1485">
        <v>1484</v>
      </c>
      <c r="B1485" t="s">
        <v>11</v>
      </c>
      <c r="C1485">
        <v>19</v>
      </c>
      <c r="D1485" t="str" cm="1">
        <f t="array" ref="D1485">_xlfn.IFS(Table2[[#This Row],[Age]]&lt;=11,"Gen A",Table2[[#This Row],[Age]]&lt;=27,"Gen Z",Table2[[#This Row],[Age]]&lt;=43,"Millenials",Table2[[#This Row],[Age]]&lt;=59,"Gen X",Table2[[#This Row],[Age]]&lt;=78,"Baby Boomers",Table2[[#This Row],[Age]]&lt;=96,"Silent",Table2[[#This Row],[Age]]&gt;=97,"Greatest")</f>
        <v>Gen Z</v>
      </c>
      <c r="E1485" s="1">
        <v>147052</v>
      </c>
      <c r="F1485">
        <v>86</v>
      </c>
      <c r="G1485" t="str" cm="1">
        <f t="array" ref="G1485">_xlfn.IFS(Table2[[#This Row],[Spending Score (1-100)]]&lt;=25,"Low",Table2[[#This Row],[Spending Score (1-100)]]&lt;=50,"Medium",Table2[[#This Row],[Spending Score (1-100)]]&lt;=75,"High",Table2[[#This Row],[Spending Score (1-100)]]&lt;=100,"Very High")</f>
        <v>Very High</v>
      </c>
      <c r="H1485" t="s">
        <v>19</v>
      </c>
      <c r="I1485">
        <v>9</v>
      </c>
      <c r="J1485" t="str">
        <f>CONCATENATE(Table2[[#This Row],[Work Experience]],"years")</f>
        <v>9years</v>
      </c>
      <c r="K1485" t="str">
        <f>CONCATENATE(Table2[[#This Row],[Family Size2]],"members")</f>
        <v>4members</v>
      </c>
      <c r="L1485" t="str">
        <f>CONCATENATE(Table2[[#This Row],[Family Size2]],"members")</f>
        <v>4members</v>
      </c>
      <c r="M1485">
        <v>4</v>
      </c>
    </row>
    <row r="1486" spans="1:13">
      <c r="A1486">
        <v>1485</v>
      </c>
      <c r="B1486" t="s">
        <v>11</v>
      </c>
      <c r="C1486">
        <v>59</v>
      </c>
      <c r="D1486" t="str" cm="1">
        <f t="array" ref="D1486">_xlfn.IFS(Table2[[#This Row],[Age]]&lt;=11,"Gen A",Table2[[#This Row],[Age]]&lt;=27,"Gen Z",Table2[[#This Row],[Age]]&lt;=43,"Millenials",Table2[[#This Row],[Age]]&lt;=59,"Gen X",Table2[[#This Row],[Age]]&lt;=78,"Baby Boomers",Table2[[#This Row],[Age]]&lt;=96,"Silent",Table2[[#This Row],[Age]]&gt;=97,"Greatest")</f>
        <v>Gen X</v>
      </c>
      <c r="E1486" s="1">
        <v>113389</v>
      </c>
      <c r="F1486">
        <v>79</v>
      </c>
      <c r="G1486" t="str" cm="1">
        <f t="array" ref="G1486">_xlfn.IFS(Table2[[#This Row],[Spending Score (1-100)]]&lt;=25,"Low",Table2[[#This Row],[Spending Score (1-100)]]&lt;=50,"Medium",Table2[[#This Row],[Spending Score (1-100)]]&lt;=75,"High",Table2[[#This Row],[Spending Score (1-100)]]&lt;=100,"Very High")</f>
        <v>Very High</v>
      </c>
      <c r="H1486" t="s">
        <v>16</v>
      </c>
      <c r="I1486">
        <v>4</v>
      </c>
      <c r="J1486" t="str">
        <f>CONCATENATE(Table2[[#This Row],[Work Experience]],"years")</f>
        <v>4years</v>
      </c>
      <c r="K1486" t="str">
        <f>CONCATENATE(Table2[[#This Row],[Family Size2]],"members")</f>
        <v>6members</v>
      </c>
      <c r="L1486" t="str">
        <f>CONCATENATE(Table2[[#This Row],[Family Size2]],"members")</f>
        <v>6members</v>
      </c>
      <c r="M1486">
        <v>6</v>
      </c>
    </row>
    <row r="1487" spans="1:13">
      <c r="A1487">
        <v>1486</v>
      </c>
      <c r="B1487" t="s">
        <v>8</v>
      </c>
      <c r="C1487">
        <v>30</v>
      </c>
      <c r="D1487" t="str" cm="1">
        <f t="array" ref="D1487">_xlfn.IFS(Table2[[#This Row],[Age]]&lt;=11,"Gen A",Table2[[#This Row],[Age]]&lt;=27,"Gen Z",Table2[[#This Row],[Age]]&lt;=43,"Millenials",Table2[[#This Row],[Age]]&lt;=59,"Gen X",Table2[[#This Row],[Age]]&lt;=78,"Baby Boomers",Table2[[#This Row],[Age]]&lt;=96,"Silent",Table2[[#This Row],[Age]]&gt;=97,"Greatest")</f>
        <v>Millenials</v>
      </c>
      <c r="E1487" s="1">
        <v>111690</v>
      </c>
      <c r="F1487">
        <v>73</v>
      </c>
      <c r="G1487" t="str" cm="1">
        <f t="array" ref="G1487">_xlfn.IFS(Table2[[#This Row],[Spending Score (1-100)]]&lt;=25,"Low",Table2[[#This Row],[Spending Score (1-100)]]&lt;=50,"Medium",Table2[[#This Row],[Spending Score (1-100)]]&lt;=75,"High",Table2[[#This Row],[Spending Score (1-100)]]&lt;=100,"Very High")</f>
        <v>High</v>
      </c>
      <c r="H1487" t="s">
        <v>13</v>
      </c>
      <c r="I1487">
        <v>10</v>
      </c>
      <c r="J1487" t="str">
        <f>CONCATENATE(Table2[[#This Row],[Work Experience]],"years")</f>
        <v>10years</v>
      </c>
      <c r="K1487" t="str">
        <f>CONCATENATE(Table2[[#This Row],[Family Size2]],"members")</f>
        <v>4members</v>
      </c>
      <c r="L1487" t="str">
        <f>CONCATENATE(Table2[[#This Row],[Family Size2]],"members")</f>
        <v>4members</v>
      </c>
      <c r="M1487">
        <v>4</v>
      </c>
    </row>
    <row r="1488" spans="1:13">
      <c r="A1488">
        <v>1487</v>
      </c>
      <c r="B1488" t="s">
        <v>11</v>
      </c>
      <c r="C1488">
        <v>63</v>
      </c>
      <c r="D1488" t="str" cm="1">
        <f t="array" ref="D1488">_xlfn.IFS(Table2[[#This Row],[Age]]&lt;=11,"Gen A",Table2[[#This Row],[Age]]&lt;=27,"Gen Z",Table2[[#This Row],[Age]]&lt;=43,"Millenials",Table2[[#This Row],[Age]]&lt;=59,"Gen X",Table2[[#This Row],[Age]]&lt;=78,"Baby Boomers",Table2[[#This Row],[Age]]&lt;=96,"Silent",Table2[[#This Row],[Age]]&gt;=97,"Greatest")</f>
        <v>Baby Boomers</v>
      </c>
      <c r="E1488" s="1">
        <v>184830</v>
      </c>
      <c r="F1488">
        <v>60</v>
      </c>
      <c r="G1488" t="str" cm="1">
        <f t="array" ref="G1488">_xlfn.IFS(Table2[[#This Row],[Spending Score (1-100)]]&lt;=25,"Low",Table2[[#This Row],[Spending Score (1-100)]]&lt;=50,"Medium",Table2[[#This Row],[Spending Score (1-100)]]&lt;=75,"High",Table2[[#This Row],[Spending Score (1-100)]]&lt;=100,"Very High")</f>
        <v>High</v>
      </c>
      <c r="H1488" t="s">
        <v>16</v>
      </c>
      <c r="I1488">
        <v>9</v>
      </c>
      <c r="J1488" t="str">
        <f>CONCATENATE(Table2[[#This Row],[Work Experience]],"years")</f>
        <v>9years</v>
      </c>
      <c r="K1488" t="str">
        <f>CONCATENATE(Table2[[#This Row],[Family Size2]],"members")</f>
        <v>3members</v>
      </c>
      <c r="L1488" t="str">
        <f>CONCATENATE(Table2[[#This Row],[Family Size2]],"members")</f>
        <v>3members</v>
      </c>
      <c r="M1488">
        <v>3</v>
      </c>
    </row>
    <row r="1489" spans="1:13">
      <c r="A1489">
        <v>1488</v>
      </c>
      <c r="B1489" t="s">
        <v>11</v>
      </c>
      <c r="C1489">
        <v>23</v>
      </c>
      <c r="D1489" t="str" cm="1">
        <f t="array" ref="D1489">_xlfn.IFS(Table2[[#This Row],[Age]]&lt;=11,"Gen A",Table2[[#This Row],[Age]]&lt;=27,"Gen Z",Table2[[#This Row],[Age]]&lt;=43,"Millenials",Table2[[#This Row],[Age]]&lt;=59,"Gen X",Table2[[#This Row],[Age]]&lt;=78,"Baby Boomers",Table2[[#This Row],[Age]]&lt;=96,"Silent",Table2[[#This Row],[Age]]&gt;=97,"Greatest")</f>
        <v>Gen Z</v>
      </c>
      <c r="E1489" s="1">
        <v>91549</v>
      </c>
      <c r="F1489">
        <v>23</v>
      </c>
      <c r="G1489" t="str" cm="1">
        <f t="array" ref="G1489">_xlfn.IFS(Table2[[#This Row],[Spending Score (1-100)]]&lt;=25,"Low",Table2[[#This Row],[Spending Score (1-100)]]&lt;=50,"Medium",Table2[[#This Row],[Spending Score (1-100)]]&lt;=75,"High",Table2[[#This Row],[Spending Score (1-100)]]&lt;=100,"Very High")</f>
        <v>Low</v>
      </c>
      <c r="H1489" t="s">
        <v>14</v>
      </c>
      <c r="I1489">
        <v>4</v>
      </c>
      <c r="J1489" t="str">
        <f>CONCATENATE(Table2[[#This Row],[Work Experience]],"years")</f>
        <v>4years</v>
      </c>
      <c r="K1489" t="str">
        <f>CONCATENATE(Table2[[#This Row],[Family Size2]],"members")</f>
        <v>3members</v>
      </c>
      <c r="L1489" t="str">
        <f>CONCATENATE(Table2[[#This Row],[Family Size2]],"members")</f>
        <v>3members</v>
      </c>
      <c r="M1489">
        <v>3</v>
      </c>
    </row>
    <row r="1490" spans="1:13">
      <c r="A1490">
        <v>1489</v>
      </c>
      <c r="B1490" t="s">
        <v>11</v>
      </c>
      <c r="C1490">
        <v>97</v>
      </c>
      <c r="D1490" t="str" cm="1">
        <f t="array" ref="D1490">_xlfn.IFS(Table2[[#This Row],[Age]]&lt;=11,"Gen A",Table2[[#This Row],[Age]]&lt;=27,"Gen Z",Table2[[#This Row],[Age]]&lt;=43,"Millenials",Table2[[#This Row],[Age]]&lt;=59,"Gen X",Table2[[#This Row],[Age]]&lt;=78,"Baby Boomers",Table2[[#This Row],[Age]]&lt;=96,"Silent",Table2[[#This Row],[Age]]&gt;=97,"Greatest")</f>
        <v>Greatest</v>
      </c>
      <c r="E1490" s="1">
        <v>94629</v>
      </c>
      <c r="F1490">
        <v>17</v>
      </c>
      <c r="G1490" t="str" cm="1">
        <f t="array" ref="G1490">_xlfn.IFS(Table2[[#This Row],[Spending Score (1-100)]]&lt;=25,"Low",Table2[[#This Row],[Spending Score (1-100)]]&lt;=50,"Medium",Table2[[#This Row],[Spending Score (1-100)]]&lt;=75,"High",Table2[[#This Row],[Spending Score (1-100)]]&lt;=100,"Very High")</f>
        <v>Low</v>
      </c>
      <c r="H1490" t="s">
        <v>18</v>
      </c>
      <c r="I1490">
        <v>6</v>
      </c>
      <c r="J1490" t="str">
        <f>CONCATENATE(Table2[[#This Row],[Work Experience]],"years")</f>
        <v>6years</v>
      </c>
      <c r="K1490" t="str">
        <f>CONCATENATE(Table2[[#This Row],[Family Size2]],"members")</f>
        <v>3members</v>
      </c>
      <c r="L1490" t="str">
        <f>CONCATENATE(Table2[[#This Row],[Family Size2]],"members")</f>
        <v>3members</v>
      </c>
      <c r="M1490">
        <v>3</v>
      </c>
    </row>
    <row r="1491" spans="1:13">
      <c r="A1491">
        <v>1490</v>
      </c>
      <c r="B1491" t="s">
        <v>11</v>
      </c>
      <c r="C1491">
        <v>97</v>
      </c>
      <c r="D1491" t="str" cm="1">
        <f t="array" ref="D1491">_xlfn.IFS(Table2[[#This Row],[Age]]&lt;=11,"Gen A",Table2[[#This Row],[Age]]&lt;=27,"Gen Z",Table2[[#This Row],[Age]]&lt;=43,"Millenials",Table2[[#This Row],[Age]]&lt;=59,"Gen X",Table2[[#This Row],[Age]]&lt;=78,"Baby Boomers",Table2[[#This Row],[Age]]&lt;=96,"Silent",Table2[[#This Row],[Age]]&gt;=97,"Greatest")</f>
        <v>Greatest</v>
      </c>
      <c r="E1491" s="1">
        <v>167558</v>
      </c>
      <c r="F1491">
        <v>99</v>
      </c>
      <c r="G1491" t="str" cm="1">
        <f t="array" ref="G1491">_xlfn.IFS(Table2[[#This Row],[Spending Score (1-100)]]&lt;=25,"Low",Table2[[#This Row],[Spending Score (1-100)]]&lt;=50,"Medium",Table2[[#This Row],[Spending Score (1-100)]]&lt;=75,"High",Table2[[#This Row],[Spending Score (1-100)]]&lt;=100,"Very High")</f>
        <v>Very High</v>
      </c>
      <c r="H1491" t="s">
        <v>14</v>
      </c>
      <c r="I1491">
        <v>4</v>
      </c>
      <c r="J1491" t="str">
        <f>CONCATENATE(Table2[[#This Row],[Work Experience]],"years")</f>
        <v>4years</v>
      </c>
      <c r="K1491" t="str">
        <f>CONCATENATE(Table2[[#This Row],[Family Size2]],"members")</f>
        <v>7members</v>
      </c>
      <c r="L1491" t="str">
        <f>CONCATENATE(Table2[[#This Row],[Family Size2]],"members")</f>
        <v>7members</v>
      </c>
      <c r="M1491">
        <v>7</v>
      </c>
    </row>
    <row r="1492" spans="1:13">
      <c r="A1492">
        <v>1491</v>
      </c>
      <c r="B1492" t="s">
        <v>8</v>
      </c>
      <c r="C1492">
        <v>94</v>
      </c>
      <c r="D1492" t="str" cm="1">
        <f t="array" ref="D1492">_xlfn.IFS(Table2[[#This Row],[Age]]&lt;=11,"Gen A",Table2[[#This Row],[Age]]&lt;=27,"Gen Z",Table2[[#This Row],[Age]]&lt;=43,"Millenials",Table2[[#This Row],[Age]]&lt;=59,"Gen X",Table2[[#This Row],[Age]]&lt;=78,"Baby Boomers",Table2[[#This Row],[Age]]&lt;=96,"Silent",Table2[[#This Row],[Age]]&gt;=97,"Greatest")</f>
        <v>Silent</v>
      </c>
      <c r="E1492" s="1">
        <v>119189</v>
      </c>
      <c r="F1492">
        <v>57</v>
      </c>
      <c r="G1492" t="str" cm="1">
        <f t="array" ref="G1492">_xlfn.IFS(Table2[[#This Row],[Spending Score (1-100)]]&lt;=25,"Low",Table2[[#This Row],[Spending Score (1-100)]]&lt;=50,"Medium",Table2[[#This Row],[Spending Score (1-100)]]&lt;=75,"High",Table2[[#This Row],[Spending Score (1-100)]]&lt;=100,"Very High")</f>
        <v>High</v>
      </c>
      <c r="H1492" t="s">
        <v>14</v>
      </c>
      <c r="I1492">
        <v>9</v>
      </c>
      <c r="J1492" t="str">
        <f>CONCATENATE(Table2[[#This Row],[Work Experience]],"years")</f>
        <v>9years</v>
      </c>
      <c r="K1492" t="str">
        <f>CONCATENATE(Table2[[#This Row],[Family Size2]],"members")</f>
        <v>3members</v>
      </c>
      <c r="L1492" t="str">
        <f>CONCATENATE(Table2[[#This Row],[Family Size2]],"members")</f>
        <v>3members</v>
      </c>
      <c r="M1492">
        <v>3</v>
      </c>
    </row>
    <row r="1493" spans="1:13">
      <c r="A1493">
        <v>1492</v>
      </c>
      <c r="B1493" t="s">
        <v>11</v>
      </c>
      <c r="C1493">
        <v>28</v>
      </c>
      <c r="D1493" t="str" cm="1">
        <f t="array" ref="D1493">_xlfn.IFS(Table2[[#This Row],[Age]]&lt;=11,"Gen A",Table2[[#This Row],[Age]]&lt;=27,"Gen Z",Table2[[#This Row],[Age]]&lt;=43,"Millenials",Table2[[#This Row],[Age]]&lt;=59,"Gen X",Table2[[#This Row],[Age]]&lt;=78,"Baby Boomers",Table2[[#This Row],[Age]]&lt;=96,"Silent",Table2[[#This Row],[Age]]&gt;=97,"Greatest")</f>
        <v>Millenials</v>
      </c>
      <c r="E1493" s="1">
        <v>96207</v>
      </c>
      <c r="F1493">
        <v>67</v>
      </c>
      <c r="G1493" t="str" cm="1">
        <f t="array" ref="G1493">_xlfn.IFS(Table2[[#This Row],[Spending Score (1-100)]]&lt;=25,"Low",Table2[[#This Row],[Spending Score (1-100)]]&lt;=50,"Medium",Table2[[#This Row],[Spending Score (1-100)]]&lt;=75,"High",Table2[[#This Row],[Spending Score (1-100)]]&lt;=100,"Very High")</f>
        <v>High</v>
      </c>
      <c r="H1493" t="s">
        <v>14</v>
      </c>
      <c r="I1493">
        <v>5</v>
      </c>
      <c r="J1493" t="str">
        <f>CONCATENATE(Table2[[#This Row],[Work Experience]],"years")</f>
        <v>5years</v>
      </c>
      <c r="K1493" t="str">
        <f>CONCATENATE(Table2[[#This Row],[Family Size2]],"members")</f>
        <v>5members</v>
      </c>
      <c r="L1493" t="str">
        <f>CONCATENATE(Table2[[#This Row],[Family Size2]],"members")</f>
        <v>5members</v>
      </c>
      <c r="M1493">
        <v>5</v>
      </c>
    </row>
    <row r="1494" spans="1:13">
      <c r="A1494">
        <v>1493</v>
      </c>
      <c r="B1494" t="s">
        <v>8</v>
      </c>
      <c r="C1494">
        <v>21</v>
      </c>
      <c r="D1494" t="str" cm="1">
        <f t="array" ref="D1494">_xlfn.IFS(Table2[[#This Row],[Age]]&lt;=11,"Gen A",Table2[[#This Row],[Age]]&lt;=27,"Gen Z",Table2[[#This Row],[Age]]&lt;=43,"Millenials",Table2[[#This Row],[Age]]&lt;=59,"Gen X",Table2[[#This Row],[Age]]&lt;=78,"Baby Boomers",Table2[[#This Row],[Age]]&lt;=96,"Silent",Table2[[#This Row],[Age]]&gt;=97,"Greatest")</f>
        <v>Gen Z</v>
      </c>
      <c r="E1494" s="1">
        <v>85339</v>
      </c>
      <c r="F1494">
        <v>6</v>
      </c>
      <c r="G1494" t="str" cm="1">
        <f t="array" ref="G1494">_xlfn.IFS(Table2[[#This Row],[Spending Score (1-100)]]&lt;=25,"Low",Table2[[#This Row],[Spending Score (1-100)]]&lt;=50,"Medium",Table2[[#This Row],[Spending Score (1-100)]]&lt;=75,"High",Table2[[#This Row],[Spending Score (1-100)]]&lt;=100,"Very High")</f>
        <v>Low</v>
      </c>
      <c r="H1494" t="s">
        <v>16</v>
      </c>
      <c r="I1494">
        <v>4</v>
      </c>
      <c r="J1494" t="str">
        <f>CONCATENATE(Table2[[#This Row],[Work Experience]],"years")</f>
        <v>4years</v>
      </c>
      <c r="K1494" t="str">
        <f>CONCATENATE(Table2[[#This Row],[Family Size2]],"members")</f>
        <v>7members</v>
      </c>
      <c r="L1494" t="str">
        <f>CONCATENATE(Table2[[#This Row],[Family Size2]],"members")</f>
        <v>7members</v>
      </c>
      <c r="M1494">
        <v>7</v>
      </c>
    </row>
    <row r="1495" spans="1:13">
      <c r="A1495">
        <v>1494</v>
      </c>
      <c r="B1495" t="s">
        <v>11</v>
      </c>
      <c r="C1495">
        <v>25</v>
      </c>
      <c r="D1495" t="str" cm="1">
        <f t="array" ref="D1495">_xlfn.IFS(Table2[[#This Row],[Age]]&lt;=11,"Gen A",Table2[[#This Row],[Age]]&lt;=27,"Gen Z",Table2[[#This Row],[Age]]&lt;=43,"Millenials",Table2[[#This Row],[Age]]&lt;=59,"Gen X",Table2[[#This Row],[Age]]&lt;=78,"Baby Boomers",Table2[[#This Row],[Age]]&lt;=96,"Silent",Table2[[#This Row],[Age]]&gt;=97,"Greatest")</f>
        <v>Gen Z</v>
      </c>
      <c r="E1495" s="1">
        <v>111942</v>
      </c>
      <c r="F1495">
        <v>7</v>
      </c>
      <c r="G1495" t="str" cm="1">
        <f t="array" ref="G1495">_xlfn.IFS(Table2[[#This Row],[Spending Score (1-100)]]&lt;=25,"Low",Table2[[#This Row],[Spending Score (1-100)]]&lt;=50,"Medium",Table2[[#This Row],[Spending Score (1-100)]]&lt;=75,"High",Table2[[#This Row],[Spending Score (1-100)]]&lt;=100,"Very High")</f>
        <v>Low</v>
      </c>
      <c r="H1495" t="s">
        <v>14</v>
      </c>
      <c r="I1495">
        <v>5</v>
      </c>
      <c r="J1495" t="str">
        <f>CONCATENATE(Table2[[#This Row],[Work Experience]],"years")</f>
        <v>5years</v>
      </c>
      <c r="K1495" t="str">
        <f>CONCATENATE(Table2[[#This Row],[Family Size2]],"members")</f>
        <v>5members</v>
      </c>
      <c r="L1495" t="str">
        <f>CONCATENATE(Table2[[#This Row],[Family Size2]],"members")</f>
        <v>5members</v>
      </c>
      <c r="M1495">
        <v>5</v>
      </c>
    </row>
    <row r="1496" spans="1:13">
      <c r="A1496">
        <v>1495</v>
      </c>
      <c r="B1496" t="s">
        <v>11</v>
      </c>
      <c r="C1496">
        <v>48</v>
      </c>
      <c r="D1496" t="str" cm="1">
        <f t="array" ref="D1496">_xlfn.IFS(Table2[[#This Row],[Age]]&lt;=11,"Gen A",Table2[[#This Row],[Age]]&lt;=27,"Gen Z",Table2[[#This Row],[Age]]&lt;=43,"Millenials",Table2[[#This Row],[Age]]&lt;=59,"Gen X",Table2[[#This Row],[Age]]&lt;=78,"Baby Boomers",Table2[[#This Row],[Age]]&lt;=96,"Silent",Table2[[#This Row],[Age]]&gt;=97,"Greatest")</f>
        <v>Gen X</v>
      </c>
      <c r="E1496" s="1">
        <v>157003</v>
      </c>
      <c r="F1496">
        <v>45</v>
      </c>
      <c r="G1496" t="str" cm="1">
        <f t="array" ref="G1496">_xlfn.IFS(Table2[[#This Row],[Spending Score (1-100)]]&lt;=25,"Low",Table2[[#This Row],[Spending Score (1-100)]]&lt;=50,"Medium",Table2[[#This Row],[Spending Score (1-100)]]&lt;=75,"High",Table2[[#This Row],[Spending Score (1-100)]]&lt;=100,"Very High")</f>
        <v>Medium</v>
      </c>
      <c r="H1496" t="s">
        <v>10</v>
      </c>
      <c r="I1496">
        <v>5</v>
      </c>
      <c r="J1496" t="str">
        <f>CONCATENATE(Table2[[#This Row],[Work Experience]],"years")</f>
        <v>5years</v>
      </c>
      <c r="K1496" t="str">
        <f>CONCATENATE(Table2[[#This Row],[Family Size2]],"members")</f>
        <v>4members</v>
      </c>
      <c r="L1496" t="str">
        <f>CONCATENATE(Table2[[#This Row],[Family Size2]],"members")</f>
        <v>4members</v>
      </c>
      <c r="M1496">
        <v>4</v>
      </c>
    </row>
    <row r="1497" spans="1:13">
      <c r="A1497">
        <v>1496</v>
      </c>
      <c r="B1497" t="s">
        <v>11</v>
      </c>
      <c r="C1497">
        <v>53</v>
      </c>
      <c r="D1497" t="str" cm="1">
        <f t="array" ref="D1497">_xlfn.IFS(Table2[[#This Row],[Age]]&lt;=11,"Gen A",Table2[[#This Row],[Age]]&lt;=27,"Gen Z",Table2[[#This Row],[Age]]&lt;=43,"Millenials",Table2[[#This Row],[Age]]&lt;=59,"Gen X",Table2[[#This Row],[Age]]&lt;=78,"Baby Boomers",Table2[[#This Row],[Age]]&lt;=96,"Silent",Table2[[#This Row],[Age]]&gt;=97,"Greatest")</f>
        <v>Gen X</v>
      </c>
      <c r="E1497" s="1">
        <v>117123</v>
      </c>
      <c r="F1497">
        <v>23</v>
      </c>
      <c r="G1497" t="str" cm="1">
        <f t="array" ref="G1497">_xlfn.IFS(Table2[[#This Row],[Spending Score (1-100)]]&lt;=25,"Low",Table2[[#This Row],[Spending Score (1-100)]]&lt;=50,"Medium",Table2[[#This Row],[Spending Score (1-100)]]&lt;=75,"High",Table2[[#This Row],[Spending Score (1-100)]]&lt;=100,"Very High")</f>
        <v>Low</v>
      </c>
      <c r="H1497" t="s">
        <v>14</v>
      </c>
      <c r="I1497">
        <v>9</v>
      </c>
      <c r="J1497" t="str">
        <f>CONCATENATE(Table2[[#This Row],[Work Experience]],"years")</f>
        <v>9years</v>
      </c>
      <c r="K1497" t="str">
        <f>CONCATENATE(Table2[[#This Row],[Family Size2]],"members")</f>
        <v>7members</v>
      </c>
      <c r="L1497" t="str">
        <f>CONCATENATE(Table2[[#This Row],[Family Size2]],"members")</f>
        <v>7members</v>
      </c>
      <c r="M1497">
        <v>7</v>
      </c>
    </row>
    <row r="1498" spans="1:13">
      <c r="A1498">
        <v>1497</v>
      </c>
      <c r="B1498" t="s">
        <v>11</v>
      </c>
      <c r="C1498">
        <v>97</v>
      </c>
      <c r="D1498" t="str" cm="1">
        <f t="array" ref="D1498">_xlfn.IFS(Table2[[#This Row],[Age]]&lt;=11,"Gen A",Table2[[#This Row],[Age]]&lt;=27,"Gen Z",Table2[[#This Row],[Age]]&lt;=43,"Millenials",Table2[[#This Row],[Age]]&lt;=59,"Gen X",Table2[[#This Row],[Age]]&lt;=78,"Baby Boomers",Table2[[#This Row],[Age]]&lt;=96,"Silent",Table2[[#This Row],[Age]]&gt;=97,"Greatest")</f>
        <v>Greatest</v>
      </c>
      <c r="E1498" s="1">
        <v>172747</v>
      </c>
      <c r="F1498">
        <v>76</v>
      </c>
      <c r="G1498" t="str" cm="1">
        <f t="array" ref="G1498">_xlfn.IFS(Table2[[#This Row],[Spending Score (1-100)]]&lt;=25,"Low",Table2[[#This Row],[Spending Score (1-100)]]&lt;=50,"Medium",Table2[[#This Row],[Spending Score (1-100)]]&lt;=75,"High",Table2[[#This Row],[Spending Score (1-100)]]&lt;=100,"Very High")</f>
        <v>Very High</v>
      </c>
      <c r="H1498" t="s">
        <v>14</v>
      </c>
      <c r="I1498">
        <v>7</v>
      </c>
      <c r="J1498" t="str">
        <f>CONCATENATE(Table2[[#This Row],[Work Experience]],"years")</f>
        <v>7years</v>
      </c>
      <c r="K1498" t="str">
        <f>CONCATENATE(Table2[[#This Row],[Family Size2]],"members")</f>
        <v>2members</v>
      </c>
      <c r="L1498" t="str">
        <f>CONCATENATE(Table2[[#This Row],[Family Size2]],"members")</f>
        <v>2members</v>
      </c>
      <c r="M1498">
        <v>2</v>
      </c>
    </row>
    <row r="1499" spans="1:13">
      <c r="A1499">
        <v>1498</v>
      </c>
      <c r="B1499" t="s">
        <v>8</v>
      </c>
      <c r="C1499">
        <v>33</v>
      </c>
      <c r="D1499" t="str" cm="1">
        <f t="array" ref="D1499">_xlfn.IFS(Table2[[#This Row],[Age]]&lt;=11,"Gen A",Table2[[#This Row],[Age]]&lt;=27,"Gen Z",Table2[[#This Row],[Age]]&lt;=43,"Millenials",Table2[[#This Row],[Age]]&lt;=59,"Gen X",Table2[[#This Row],[Age]]&lt;=78,"Baby Boomers",Table2[[#This Row],[Age]]&lt;=96,"Silent",Table2[[#This Row],[Age]]&gt;=97,"Greatest")</f>
        <v>Millenials</v>
      </c>
      <c r="E1499" s="1">
        <v>157358</v>
      </c>
      <c r="F1499">
        <v>52</v>
      </c>
      <c r="G1499" t="str" cm="1">
        <f t="array" ref="G1499">_xlfn.IFS(Table2[[#This Row],[Spending Score (1-100)]]&lt;=25,"Low",Table2[[#This Row],[Spending Score (1-100)]]&lt;=50,"Medium",Table2[[#This Row],[Spending Score (1-100)]]&lt;=75,"High",Table2[[#This Row],[Spending Score (1-100)]]&lt;=100,"Very High")</f>
        <v>High</v>
      </c>
      <c r="H1499" t="s">
        <v>9</v>
      </c>
      <c r="I1499">
        <v>7</v>
      </c>
      <c r="J1499" t="str">
        <f>CONCATENATE(Table2[[#This Row],[Work Experience]],"years")</f>
        <v>7years</v>
      </c>
      <c r="K1499" t="str">
        <f>CONCATENATE(Table2[[#This Row],[Family Size2]],"members")</f>
        <v>4members</v>
      </c>
      <c r="L1499" t="str">
        <f>CONCATENATE(Table2[[#This Row],[Family Size2]],"members")</f>
        <v>4members</v>
      </c>
      <c r="M1499">
        <v>4</v>
      </c>
    </row>
    <row r="1500" spans="1:13">
      <c r="A1500">
        <v>1499</v>
      </c>
      <c r="B1500" t="s">
        <v>8</v>
      </c>
      <c r="C1500">
        <v>5</v>
      </c>
      <c r="D1500" t="str" cm="1">
        <f t="array" ref="D1500">_xlfn.IFS(Table2[[#This Row],[Age]]&lt;=11,"Gen A",Table2[[#This Row],[Age]]&lt;=27,"Gen Z",Table2[[#This Row],[Age]]&lt;=43,"Millenials",Table2[[#This Row],[Age]]&lt;=59,"Gen X",Table2[[#This Row],[Age]]&lt;=78,"Baby Boomers",Table2[[#This Row],[Age]]&lt;=96,"Silent",Table2[[#This Row],[Age]]&gt;=97,"Greatest")</f>
        <v>Gen A</v>
      </c>
      <c r="E1500" s="1">
        <v>156655</v>
      </c>
      <c r="F1500">
        <v>20</v>
      </c>
      <c r="G1500" t="str" cm="1">
        <f t="array" ref="G1500">_xlfn.IFS(Table2[[#This Row],[Spending Score (1-100)]]&lt;=25,"Low",Table2[[#This Row],[Spending Score (1-100)]]&lt;=50,"Medium",Table2[[#This Row],[Spending Score (1-100)]]&lt;=75,"High",Table2[[#This Row],[Spending Score (1-100)]]&lt;=100,"Very High")</f>
        <v>Low</v>
      </c>
      <c r="H1500" t="s">
        <v>13</v>
      </c>
      <c r="I1500">
        <v>4</v>
      </c>
      <c r="J1500" t="str">
        <f>CONCATENATE(Table2[[#This Row],[Work Experience]],"years")</f>
        <v>4years</v>
      </c>
      <c r="K1500" t="str">
        <f>CONCATENATE(Table2[[#This Row],[Family Size2]],"members")</f>
        <v>5members</v>
      </c>
      <c r="L1500" t="str">
        <f>CONCATENATE(Table2[[#This Row],[Family Size2]],"members")</f>
        <v>5members</v>
      </c>
      <c r="M1500">
        <v>5</v>
      </c>
    </row>
    <row r="1501" spans="1:13">
      <c r="A1501">
        <v>1500</v>
      </c>
      <c r="B1501" t="s">
        <v>8</v>
      </c>
      <c r="C1501">
        <v>72</v>
      </c>
      <c r="D1501" t="str" cm="1">
        <f t="array" ref="D1501">_xlfn.IFS(Table2[[#This Row],[Age]]&lt;=11,"Gen A",Table2[[#This Row],[Age]]&lt;=27,"Gen Z",Table2[[#This Row],[Age]]&lt;=43,"Millenials",Table2[[#This Row],[Age]]&lt;=59,"Gen X",Table2[[#This Row],[Age]]&lt;=78,"Baby Boomers",Table2[[#This Row],[Age]]&lt;=96,"Silent",Table2[[#This Row],[Age]]&gt;=97,"Greatest")</f>
        <v>Baby Boomers</v>
      </c>
      <c r="E1501" s="1">
        <v>166043</v>
      </c>
      <c r="F1501">
        <v>93</v>
      </c>
      <c r="G1501" t="str" cm="1">
        <f t="array" ref="G1501">_xlfn.IFS(Table2[[#This Row],[Spending Score (1-100)]]&lt;=25,"Low",Table2[[#This Row],[Spending Score (1-100)]]&lt;=50,"Medium",Table2[[#This Row],[Spending Score (1-100)]]&lt;=75,"High",Table2[[#This Row],[Spending Score (1-100)]]&lt;=100,"Very High")</f>
        <v>Very High</v>
      </c>
      <c r="H1501" t="s">
        <v>16</v>
      </c>
      <c r="I1501">
        <v>7</v>
      </c>
      <c r="J1501" t="str">
        <f>CONCATENATE(Table2[[#This Row],[Work Experience]],"years")</f>
        <v>7years</v>
      </c>
      <c r="K1501" t="str">
        <f>CONCATENATE(Table2[[#This Row],[Family Size2]],"members")</f>
        <v>6members</v>
      </c>
      <c r="L1501" t="str">
        <f>CONCATENATE(Table2[[#This Row],[Family Size2]],"members")</f>
        <v>6members</v>
      </c>
      <c r="M1501">
        <v>6</v>
      </c>
    </row>
    <row r="1502" spans="1:13">
      <c r="A1502">
        <v>1501</v>
      </c>
      <c r="B1502" t="s">
        <v>8</v>
      </c>
      <c r="C1502">
        <v>40</v>
      </c>
      <c r="D1502" t="str" cm="1">
        <f t="array" ref="D1502">_xlfn.IFS(Table2[[#This Row],[Age]]&lt;=11,"Gen A",Table2[[#This Row],[Age]]&lt;=27,"Gen Z",Table2[[#This Row],[Age]]&lt;=43,"Millenials",Table2[[#This Row],[Age]]&lt;=59,"Gen X",Table2[[#This Row],[Age]]&lt;=78,"Baby Boomers",Table2[[#This Row],[Age]]&lt;=96,"Silent",Table2[[#This Row],[Age]]&gt;=97,"Greatest")</f>
        <v>Millenials</v>
      </c>
      <c r="E1502" s="1">
        <v>67768</v>
      </c>
      <c r="F1502">
        <v>15</v>
      </c>
      <c r="G1502" t="str" cm="1">
        <f t="array" ref="G1502">_xlfn.IFS(Table2[[#This Row],[Spending Score (1-100)]]&lt;=25,"Low",Table2[[#This Row],[Spending Score (1-100)]]&lt;=50,"Medium",Table2[[#This Row],[Spending Score (1-100)]]&lt;=75,"High",Table2[[#This Row],[Spending Score (1-100)]]&lt;=100,"Very High")</f>
        <v>Low</v>
      </c>
      <c r="H1502" t="s">
        <v>16</v>
      </c>
      <c r="I1502">
        <v>10</v>
      </c>
      <c r="J1502" t="str">
        <f>CONCATENATE(Table2[[#This Row],[Work Experience]],"years")</f>
        <v>10years</v>
      </c>
      <c r="K1502" t="str">
        <f>CONCATENATE(Table2[[#This Row],[Family Size2]],"members")</f>
        <v>6members</v>
      </c>
      <c r="L1502" t="str">
        <f>CONCATENATE(Table2[[#This Row],[Family Size2]],"members")</f>
        <v>6members</v>
      </c>
      <c r="M1502">
        <v>6</v>
      </c>
    </row>
    <row r="1503" spans="1:13">
      <c r="A1503">
        <v>1502</v>
      </c>
      <c r="B1503" t="s">
        <v>8</v>
      </c>
      <c r="C1503">
        <v>34</v>
      </c>
      <c r="D1503" t="str" cm="1">
        <f t="array" ref="D1503">_xlfn.IFS(Table2[[#This Row],[Age]]&lt;=11,"Gen A",Table2[[#This Row],[Age]]&lt;=27,"Gen Z",Table2[[#This Row],[Age]]&lt;=43,"Millenials",Table2[[#This Row],[Age]]&lt;=59,"Gen X",Table2[[#This Row],[Age]]&lt;=78,"Baby Boomers",Table2[[#This Row],[Age]]&lt;=96,"Silent",Table2[[#This Row],[Age]]&gt;=97,"Greatest")</f>
        <v>Millenials</v>
      </c>
      <c r="E1503" s="1">
        <v>171353</v>
      </c>
      <c r="F1503">
        <v>34</v>
      </c>
      <c r="G1503" t="str" cm="1">
        <f t="array" ref="G1503">_xlfn.IFS(Table2[[#This Row],[Spending Score (1-100)]]&lt;=25,"Low",Table2[[#This Row],[Spending Score (1-100)]]&lt;=50,"Medium",Table2[[#This Row],[Spending Score (1-100)]]&lt;=75,"High",Table2[[#This Row],[Spending Score (1-100)]]&lt;=100,"Very High")</f>
        <v>Medium</v>
      </c>
      <c r="H1503" t="s">
        <v>16</v>
      </c>
      <c r="I1503">
        <v>8</v>
      </c>
      <c r="J1503" t="str">
        <f>CONCATENATE(Table2[[#This Row],[Work Experience]],"years")</f>
        <v>8years</v>
      </c>
      <c r="K1503" t="str">
        <f>CONCATENATE(Table2[[#This Row],[Family Size2]],"members")</f>
        <v>4members</v>
      </c>
      <c r="L1503" t="str">
        <f>CONCATENATE(Table2[[#This Row],[Family Size2]],"members")</f>
        <v>4members</v>
      </c>
      <c r="M1503">
        <v>4</v>
      </c>
    </row>
    <row r="1504" spans="1:13">
      <c r="A1504">
        <v>1503</v>
      </c>
      <c r="B1504" t="s">
        <v>11</v>
      </c>
      <c r="C1504">
        <v>63</v>
      </c>
      <c r="D1504" t="str" cm="1">
        <f t="array" ref="D1504">_xlfn.IFS(Table2[[#This Row],[Age]]&lt;=11,"Gen A",Table2[[#This Row],[Age]]&lt;=27,"Gen Z",Table2[[#This Row],[Age]]&lt;=43,"Millenials",Table2[[#This Row],[Age]]&lt;=59,"Gen X",Table2[[#This Row],[Age]]&lt;=78,"Baby Boomers",Table2[[#This Row],[Age]]&lt;=96,"Silent",Table2[[#This Row],[Age]]&gt;=97,"Greatest")</f>
        <v>Baby Boomers</v>
      </c>
      <c r="E1504" s="1">
        <v>116971</v>
      </c>
      <c r="F1504">
        <v>76</v>
      </c>
      <c r="G1504" t="str" cm="1">
        <f t="array" ref="G1504">_xlfn.IFS(Table2[[#This Row],[Spending Score (1-100)]]&lt;=25,"Low",Table2[[#This Row],[Spending Score (1-100)]]&lt;=50,"Medium",Table2[[#This Row],[Spending Score (1-100)]]&lt;=75,"High",Table2[[#This Row],[Spending Score (1-100)]]&lt;=100,"Very High")</f>
        <v>Very High</v>
      </c>
      <c r="H1504" t="s">
        <v>15</v>
      </c>
      <c r="I1504">
        <v>7</v>
      </c>
      <c r="J1504" t="str">
        <f>CONCATENATE(Table2[[#This Row],[Work Experience]],"years")</f>
        <v>7years</v>
      </c>
      <c r="K1504" t="str">
        <f>CONCATENATE(Table2[[#This Row],[Family Size2]],"members")</f>
        <v>5members</v>
      </c>
      <c r="L1504" t="str">
        <f>CONCATENATE(Table2[[#This Row],[Family Size2]],"members")</f>
        <v>5members</v>
      </c>
      <c r="M1504">
        <v>5</v>
      </c>
    </row>
    <row r="1505" spans="1:13">
      <c r="A1505">
        <v>1504</v>
      </c>
      <c r="B1505" t="s">
        <v>11</v>
      </c>
      <c r="C1505">
        <v>85</v>
      </c>
      <c r="D1505" t="str" cm="1">
        <f t="array" ref="D1505">_xlfn.IFS(Table2[[#This Row],[Age]]&lt;=11,"Gen A",Table2[[#This Row],[Age]]&lt;=27,"Gen Z",Table2[[#This Row],[Age]]&lt;=43,"Millenials",Table2[[#This Row],[Age]]&lt;=59,"Gen X",Table2[[#This Row],[Age]]&lt;=78,"Baby Boomers",Table2[[#This Row],[Age]]&lt;=96,"Silent",Table2[[#This Row],[Age]]&gt;=97,"Greatest")</f>
        <v>Silent</v>
      </c>
      <c r="E1505" s="1">
        <v>97822</v>
      </c>
      <c r="F1505">
        <v>38</v>
      </c>
      <c r="G1505" t="str" cm="1">
        <f t="array" ref="G1505">_xlfn.IFS(Table2[[#This Row],[Spending Score (1-100)]]&lt;=25,"Low",Table2[[#This Row],[Spending Score (1-100)]]&lt;=50,"Medium",Table2[[#This Row],[Spending Score (1-100)]]&lt;=75,"High",Table2[[#This Row],[Spending Score (1-100)]]&lt;=100,"Very High")</f>
        <v>Medium</v>
      </c>
      <c r="H1505" t="s">
        <v>16</v>
      </c>
      <c r="I1505">
        <v>5</v>
      </c>
      <c r="J1505" t="str">
        <f>CONCATENATE(Table2[[#This Row],[Work Experience]],"years")</f>
        <v>5years</v>
      </c>
      <c r="K1505" t="str">
        <f>CONCATENATE(Table2[[#This Row],[Family Size2]],"members")</f>
        <v>3members</v>
      </c>
      <c r="L1505" t="str">
        <f>CONCATENATE(Table2[[#This Row],[Family Size2]],"members")</f>
        <v>3members</v>
      </c>
      <c r="M1505">
        <v>3</v>
      </c>
    </row>
    <row r="1506" spans="1:13">
      <c r="A1506">
        <v>1505</v>
      </c>
      <c r="B1506" t="s">
        <v>11</v>
      </c>
      <c r="C1506">
        <v>86</v>
      </c>
      <c r="D1506" t="str" cm="1">
        <f t="array" ref="D1506">_xlfn.IFS(Table2[[#This Row],[Age]]&lt;=11,"Gen A",Table2[[#This Row],[Age]]&lt;=27,"Gen Z",Table2[[#This Row],[Age]]&lt;=43,"Millenials",Table2[[#This Row],[Age]]&lt;=59,"Gen X",Table2[[#This Row],[Age]]&lt;=78,"Baby Boomers",Table2[[#This Row],[Age]]&lt;=96,"Silent",Table2[[#This Row],[Age]]&gt;=97,"Greatest")</f>
        <v>Silent</v>
      </c>
      <c r="E1506" s="1">
        <v>117203</v>
      </c>
      <c r="F1506">
        <v>83</v>
      </c>
      <c r="G1506" t="str" cm="1">
        <f t="array" ref="G1506">_xlfn.IFS(Table2[[#This Row],[Spending Score (1-100)]]&lt;=25,"Low",Table2[[#This Row],[Spending Score (1-100)]]&lt;=50,"Medium",Table2[[#This Row],[Spending Score (1-100)]]&lt;=75,"High",Table2[[#This Row],[Spending Score (1-100)]]&lt;=100,"Very High")</f>
        <v>Very High</v>
      </c>
      <c r="H1506" t="s">
        <v>9</v>
      </c>
      <c r="I1506">
        <v>10</v>
      </c>
      <c r="J1506" t="str">
        <f>CONCATENATE(Table2[[#This Row],[Work Experience]],"years")</f>
        <v>10years</v>
      </c>
      <c r="K1506" t="str">
        <f>CONCATENATE(Table2[[#This Row],[Family Size2]],"members")</f>
        <v>3members</v>
      </c>
      <c r="L1506" t="str">
        <f>CONCATENATE(Table2[[#This Row],[Family Size2]],"members")</f>
        <v>3members</v>
      </c>
      <c r="M1506">
        <v>3</v>
      </c>
    </row>
    <row r="1507" spans="1:13">
      <c r="A1507">
        <v>1506</v>
      </c>
      <c r="B1507" t="s">
        <v>11</v>
      </c>
      <c r="C1507">
        <v>63</v>
      </c>
      <c r="D1507" t="str" cm="1">
        <f t="array" ref="D1507">_xlfn.IFS(Table2[[#This Row],[Age]]&lt;=11,"Gen A",Table2[[#This Row],[Age]]&lt;=27,"Gen Z",Table2[[#This Row],[Age]]&lt;=43,"Millenials",Table2[[#This Row],[Age]]&lt;=59,"Gen X",Table2[[#This Row],[Age]]&lt;=78,"Baby Boomers",Table2[[#This Row],[Age]]&lt;=96,"Silent",Table2[[#This Row],[Age]]&gt;=97,"Greatest")</f>
        <v>Baby Boomers</v>
      </c>
      <c r="E1507" s="1">
        <v>88720</v>
      </c>
      <c r="F1507">
        <v>100</v>
      </c>
      <c r="G1507" t="str" cm="1">
        <f t="array" ref="G1507">_xlfn.IFS(Table2[[#This Row],[Spending Score (1-100)]]&lt;=25,"Low",Table2[[#This Row],[Spending Score (1-100)]]&lt;=50,"Medium",Table2[[#This Row],[Spending Score (1-100)]]&lt;=75,"High",Table2[[#This Row],[Spending Score (1-100)]]&lt;=100,"Very High")</f>
        <v>Very High</v>
      </c>
      <c r="H1507" t="s">
        <v>14</v>
      </c>
      <c r="I1507">
        <v>10</v>
      </c>
      <c r="J1507" t="str">
        <f>CONCATENATE(Table2[[#This Row],[Work Experience]],"years")</f>
        <v>10years</v>
      </c>
      <c r="K1507" t="str">
        <f>CONCATENATE(Table2[[#This Row],[Family Size2]],"members")</f>
        <v>1members</v>
      </c>
      <c r="L1507" t="str">
        <f>CONCATENATE(Table2[[#This Row],[Family Size2]],"members")</f>
        <v>1members</v>
      </c>
      <c r="M1507">
        <v>1</v>
      </c>
    </row>
    <row r="1508" spans="1:13">
      <c r="A1508">
        <v>1507</v>
      </c>
      <c r="B1508" t="s">
        <v>11</v>
      </c>
      <c r="C1508">
        <v>9</v>
      </c>
      <c r="D1508" t="str" cm="1">
        <f t="array" ref="D1508">_xlfn.IFS(Table2[[#This Row],[Age]]&lt;=11,"Gen A",Table2[[#This Row],[Age]]&lt;=27,"Gen Z",Table2[[#This Row],[Age]]&lt;=43,"Millenials",Table2[[#This Row],[Age]]&lt;=59,"Gen X",Table2[[#This Row],[Age]]&lt;=78,"Baby Boomers",Table2[[#This Row],[Age]]&lt;=96,"Silent",Table2[[#This Row],[Age]]&gt;=97,"Greatest")</f>
        <v>Gen A</v>
      </c>
      <c r="E1508" s="1">
        <v>173233</v>
      </c>
      <c r="F1508">
        <v>18</v>
      </c>
      <c r="G1508" t="str" cm="1">
        <f t="array" ref="G1508">_xlfn.IFS(Table2[[#This Row],[Spending Score (1-100)]]&lt;=25,"Low",Table2[[#This Row],[Spending Score (1-100)]]&lt;=50,"Medium",Table2[[#This Row],[Spending Score (1-100)]]&lt;=75,"High",Table2[[#This Row],[Spending Score (1-100)]]&lt;=100,"Very High")</f>
        <v>Low</v>
      </c>
      <c r="H1508" t="s">
        <v>19</v>
      </c>
      <c r="I1508">
        <v>5</v>
      </c>
      <c r="J1508" t="str">
        <f>CONCATENATE(Table2[[#This Row],[Work Experience]],"years")</f>
        <v>5years</v>
      </c>
      <c r="K1508" t="str">
        <f>CONCATENATE(Table2[[#This Row],[Family Size2]],"members")</f>
        <v>1members</v>
      </c>
      <c r="L1508" t="str">
        <f>CONCATENATE(Table2[[#This Row],[Family Size2]],"members")</f>
        <v>1members</v>
      </c>
      <c r="M1508">
        <v>1</v>
      </c>
    </row>
    <row r="1509" spans="1:13">
      <c r="A1509">
        <v>1508</v>
      </c>
      <c r="B1509" t="s">
        <v>11</v>
      </c>
      <c r="C1509">
        <v>76</v>
      </c>
      <c r="D1509" t="str" cm="1">
        <f t="array" ref="D1509">_xlfn.IFS(Table2[[#This Row],[Age]]&lt;=11,"Gen A",Table2[[#This Row],[Age]]&lt;=27,"Gen Z",Table2[[#This Row],[Age]]&lt;=43,"Millenials",Table2[[#This Row],[Age]]&lt;=59,"Gen X",Table2[[#This Row],[Age]]&lt;=78,"Baby Boomers",Table2[[#This Row],[Age]]&lt;=96,"Silent",Table2[[#This Row],[Age]]&gt;=97,"Greatest")</f>
        <v>Baby Boomers</v>
      </c>
      <c r="E1509" s="1">
        <v>139447</v>
      </c>
      <c r="F1509">
        <v>36</v>
      </c>
      <c r="G1509" t="str" cm="1">
        <f t="array" ref="G1509">_xlfn.IFS(Table2[[#This Row],[Spending Score (1-100)]]&lt;=25,"Low",Table2[[#This Row],[Spending Score (1-100)]]&lt;=50,"Medium",Table2[[#This Row],[Spending Score (1-100)]]&lt;=75,"High",Table2[[#This Row],[Spending Score (1-100)]]&lt;=100,"Very High")</f>
        <v>Medium</v>
      </c>
      <c r="H1509" t="s">
        <v>14</v>
      </c>
      <c r="I1509">
        <v>8</v>
      </c>
      <c r="J1509" t="str">
        <f>CONCATENATE(Table2[[#This Row],[Work Experience]],"years")</f>
        <v>8years</v>
      </c>
      <c r="K1509" t="str">
        <f>CONCATENATE(Table2[[#This Row],[Family Size2]],"members")</f>
        <v>7members</v>
      </c>
      <c r="L1509" t="str">
        <f>CONCATENATE(Table2[[#This Row],[Family Size2]],"members")</f>
        <v>7members</v>
      </c>
      <c r="M1509">
        <v>7</v>
      </c>
    </row>
    <row r="1510" spans="1:13">
      <c r="A1510">
        <v>1509</v>
      </c>
      <c r="B1510" t="s">
        <v>8</v>
      </c>
      <c r="C1510">
        <v>19</v>
      </c>
      <c r="D1510" t="str" cm="1">
        <f t="array" ref="D1510">_xlfn.IFS(Table2[[#This Row],[Age]]&lt;=11,"Gen A",Table2[[#This Row],[Age]]&lt;=27,"Gen Z",Table2[[#This Row],[Age]]&lt;=43,"Millenials",Table2[[#This Row],[Age]]&lt;=59,"Gen X",Table2[[#This Row],[Age]]&lt;=78,"Baby Boomers",Table2[[#This Row],[Age]]&lt;=96,"Silent",Table2[[#This Row],[Age]]&gt;=97,"Greatest")</f>
        <v>Gen Z</v>
      </c>
      <c r="E1510" s="1">
        <v>179269</v>
      </c>
      <c r="F1510">
        <v>93</v>
      </c>
      <c r="G1510" t="str" cm="1">
        <f t="array" ref="G1510">_xlfn.IFS(Table2[[#This Row],[Spending Score (1-100)]]&lt;=25,"Low",Table2[[#This Row],[Spending Score (1-100)]]&lt;=50,"Medium",Table2[[#This Row],[Spending Score (1-100)]]&lt;=75,"High",Table2[[#This Row],[Spending Score (1-100)]]&lt;=100,"Very High")</f>
        <v>Very High</v>
      </c>
      <c r="H1510" t="s">
        <v>13</v>
      </c>
      <c r="I1510">
        <v>6</v>
      </c>
      <c r="J1510" t="str">
        <f>CONCATENATE(Table2[[#This Row],[Work Experience]],"years")</f>
        <v>6years</v>
      </c>
      <c r="K1510" t="str">
        <f>CONCATENATE(Table2[[#This Row],[Family Size2]],"members")</f>
        <v>3members</v>
      </c>
      <c r="L1510" t="str">
        <f>CONCATENATE(Table2[[#This Row],[Family Size2]],"members")</f>
        <v>3members</v>
      </c>
      <c r="M1510">
        <v>3</v>
      </c>
    </row>
    <row r="1511" spans="1:13">
      <c r="A1511">
        <v>1510</v>
      </c>
      <c r="B1511" t="s">
        <v>11</v>
      </c>
      <c r="C1511">
        <v>84</v>
      </c>
      <c r="D1511" t="str" cm="1">
        <f t="array" ref="D1511">_xlfn.IFS(Table2[[#This Row],[Age]]&lt;=11,"Gen A",Table2[[#This Row],[Age]]&lt;=27,"Gen Z",Table2[[#This Row],[Age]]&lt;=43,"Millenials",Table2[[#This Row],[Age]]&lt;=59,"Gen X",Table2[[#This Row],[Age]]&lt;=78,"Baby Boomers",Table2[[#This Row],[Age]]&lt;=96,"Silent",Table2[[#This Row],[Age]]&gt;=97,"Greatest")</f>
        <v>Silent</v>
      </c>
      <c r="E1511" s="1">
        <v>136254</v>
      </c>
      <c r="F1511">
        <v>90</v>
      </c>
      <c r="G1511" t="str" cm="1">
        <f t="array" ref="G1511">_xlfn.IFS(Table2[[#This Row],[Spending Score (1-100)]]&lt;=25,"Low",Table2[[#This Row],[Spending Score (1-100)]]&lt;=50,"Medium",Table2[[#This Row],[Spending Score (1-100)]]&lt;=75,"High",Table2[[#This Row],[Spending Score (1-100)]]&lt;=100,"Very High")</f>
        <v>Very High</v>
      </c>
      <c r="H1511" t="s">
        <v>10</v>
      </c>
      <c r="I1511">
        <v>5</v>
      </c>
      <c r="J1511" t="str">
        <f>CONCATENATE(Table2[[#This Row],[Work Experience]],"years")</f>
        <v>5years</v>
      </c>
      <c r="K1511" t="str">
        <f>CONCATENATE(Table2[[#This Row],[Family Size2]],"members")</f>
        <v>6members</v>
      </c>
      <c r="L1511" t="str">
        <f>CONCATENATE(Table2[[#This Row],[Family Size2]],"members")</f>
        <v>6members</v>
      </c>
      <c r="M1511">
        <v>6</v>
      </c>
    </row>
    <row r="1512" spans="1:13">
      <c r="A1512">
        <v>1511</v>
      </c>
      <c r="B1512" t="s">
        <v>8</v>
      </c>
      <c r="C1512">
        <v>38</v>
      </c>
      <c r="D1512" t="str" cm="1">
        <f t="array" ref="D1512">_xlfn.IFS(Table2[[#This Row],[Age]]&lt;=11,"Gen A",Table2[[#This Row],[Age]]&lt;=27,"Gen Z",Table2[[#This Row],[Age]]&lt;=43,"Millenials",Table2[[#This Row],[Age]]&lt;=59,"Gen X",Table2[[#This Row],[Age]]&lt;=78,"Baby Boomers",Table2[[#This Row],[Age]]&lt;=96,"Silent",Table2[[#This Row],[Age]]&gt;=97,"Greatest")</f>
        <v>Millenials</v>
      </c>
      <c r="E1512" s="1">
        <v>174594</v>
      </c>
      <c r="F1512">
        <v>56</v>
      </c>
      <c r="G1512" t="str" cm="1">
        <f t="array" ref="G1512">_xlfn.IFS(Table2[[#This Row],[Spending Score (1-100)]]&lt;=25,"Low",Table2[[#This Row],[Spending Score (1-100)]]&lt;=50,"Medium",Table2[[#This Row],[Spending Score (1-100)]]&lt;=75,"High",Table2[[#This Row],[Spending Score (1-100)]]&lt;=100,"Very High")</f>
        <v>High</v>
      </c>
      <c r="H1512" t="s">
        <v>15</v>
      </c>
      <c r="I1512">
        <v>8</v>
      </c>
      <c r="J1512" t="str">
        <f>CONCATENATE(Table2[[#This Row],[Work Experience]],"years")</f>
        <v>8years</v>
      </c>
      <c r="K1512" t="str">
        <f>CONCATENATE(Table2[[#This Row],[Family Size2]],"members")</f>
        <v>2members</v>
      </c>
      <c r="L1512" t="str">
        <f>CONCATENATE(Table2[[#This Row],[Family Size2]],"members")</f>
        <v>2members</v>
      </c>
      <c r="M1512">
        <v>2</v>
      </c>
    </row>
    <row r="1513" spans="1:13">
      <c r="A1513">
        <v>1512</v>
      </c>
      <c r="B1513" t="s">
        <v>11</v>
      </c>
      <c r="C1513">
        <v>1</v>
      </c>
      <c r="D1513" t="str" cm="1">
        <f t="array" ref="D1513">_xlfn.IFS(Table2[[#This Row],[Age]]&lt;=11,"Gen A",Table2[[#This Row],[Age]]&lt;=27,"Gen Z",Table2[[#This Row],[Age]]&lt;=43,"Millenials",Table2[[#This Row],[Age]]&lt;=59,"Gen X",Table2[[#This Row],[Age]]&lt;=78,"Baby Boomers",Table2[[#This Row],[Age]]&lt;=96,"Silent",Table2[[#This Row],[Age]]&gt;=97,"Greatest")</f>
        <v>Gen A</v>
      </c>
      <c r="E1513" s="1">
        <v>100429</v>
      </c>
      <c r="F1513">
        <v>19</v>
      </c>
      <c r="G1513" t="str" cm="1">
        <f t="array" ref="G1513">_xlfn.IFS(Table2[[#This Row],[Spending Score (1-100)]]&lt;=25,"Low",Table2[[#This Row],[Spending Score (1-100)]]&lt;=50,"Medium",Table2[[#This Row],[Spending Score (1-100)]]&lt;=75,"High",Table2[[#This Row],[Spending Score (1-100)]]&lt;=100,"Very High")</f>
        <v>Low</v>
      </c>
      <c r="H1513" t="s">
        <v>13</v>
      </c>
      <c r="I1513">
        <v>9</v>
      </c>
      <c r="J1513" t="str">
        <f>CONCATENATE(Table2[[#This Row],[Work Experience]],"years")</f>
        <v>9years</v>
      </c>
      <c r="K1513" t="str">
        <f>CONCATENATE(Table2[[#This Row],[Family Size2]],"members")</f>
        <v>1members</v>
      </c>
      <c r="L1513" t="str">
        <f>CONCATENATE(Table2[[#This Row],[Family Size2]],"members")</f>
        <v>1members</v>
      </c>
      <c r="M1513">
        <v>1</v>
      </c>
    </row>
    <row r="1514" spans="1:13">
      <c r="A1514">
        <v>1513</v>
      </c>
      <c r="B1514" t="s">
        <v>11</v>
      </c>
      <c r="C1514">
        <v>30</v>
      </c>
      <c r="D1514" t="str" cm="1">
        <f t="array" ref="D1514">_xlfn.IFS(Table2[[#This Row],[Age]]&lt;=11,"Gen A",Table2[[#This Row],[Age]]&lt;=27,"Gen Z",Table2[[#This Row],[Age]]&lt;=43,"Millenials",Table2[[#This Row],[Age]]&lt;=59,"Gen X",Table2[[#This Row],[Age]]&lt;=78,"Baby Boomers",Table2[[#This Row],[Age]]&lt;=96,"Silent",Table2[[#This Row],[Age]]&gt;=97,"Greatest")</f>
        <v>Millenials</v>
      </c>
      <c r="E1514" s="1">
        <v>73107</v>
      </c>
      <c r="F1514">
        <v>48</v>
      </c>
      <c r="G1514" t="str" cm="1">
        <f t="array" ref="G1514">_xlfn.IFS(Table2[[#This Row],[Spending Score (1-100)]]&lt;=25,"Low",Table2[[#This Row],[Spending Score (1-100)]]&lt;=50,"Medium",Table2[[#This Row],[Spending Score (1-100)]]&lt;=75,"High",Table2[[#This Row],[Spending Score (1-100)]]&lt;=100,"Very High")</f>
        <v>Medium</v>
      </c>
      <c r="H1514" t="s">
        <v>14</v>
      </c>
      <c r="I1514">
        <v>9</v>
      </c>
      <c r="J1514" t="str">
        <f>CONCATENATE(Table2[[#This Row],[Work Experience]],"years")</f>
        <v>9years</v>
      </c>
      <c r="K1514" t="str">
        <f>CONCATENATE(Table2[[#This Row],[Family Size2]],"members")</f>
        <v>1members</v>
      </c>
      <c r="L1514" t="str">
        <f>CONCATENATE(Table2[[#This Row],[Family Size2]],"members")</f>
        <v>1members</v>
      </c>
      <c r="M1514">
        <v>1</v>
      </c>
    </row>
    <row r="1515" spans="1:13">
      <c r="A1515">
        <v>1514</v>
      </c>
      <c r="B1515" t="s">
        <v>11</v>
      </c>
      <c r="C1515">
        <v>86</v>
      </c>
      <c r="D1515" t="str" cm="1">
        <f t="array" ref="D1515">_xlfn.IFS(Table2[[#This Row],[Age]]&lt;=11,"Gen A",Table2[[#This Row],[Age]]&lt;=27,"Gen Z",Table2[[#This Row],[Age]]&lt;=43,"Millenials",Table2[[#This Row],[Age]]&lt;=59,"Gen X",Table2[[#This Row],[Age]]&lt;=78,"Baby Boomers",Table2[[#This Row],[Age]]&lt;=96,"Silent",Table2[[#This Row],[Age]]&gt;=97,"Greatest")</f>
        <v>Silent</v>
      </c>
      <c r="E1515" s="1">
        <v>98344</v>
      </c>
      <c r="F1515">
        <v>25</v>
      </c>
      <c r="G1515" t="str" cm="1">
        <f t="array" ref="G1515">_xlfn.IFS(Table2[[#This Row],[Spending Score (1-100)]]&lt;=25,"Low",Table2[[#This Row],[Spending Score (1-100)]]&lt;=50,"Medium",Table2[[#This Row],[Spending Score (1-100)]]&lt;=75,"High",Table2[[#This Row],[Spending Score (1-100)]]&lt;=100,"Very High")</f>
        <v>Low</v>
      </c>
      <c r="H1515" t="s">
        <v>14</v>
      </c>
      <c r="I1515">
        <v>6</v>
      </c>
      <c r="J1515" t="str">
        <f>CONCATENATE(Table2[[#This Row],[Work Experience]],"years")</f>
        <v>6years</v>
      </c>
      <c r="K1515" t="str">
        <f>CONCATENATE(Table2[[#This Row],[Family Size2]],"members")</f>
        <v>6members</v>
      </c>
      <c r="L1515" t="str">
        <f>CONCATENATE(Table2[[#This Row],[Family Size2]],"members")</f>
        <v>6members</v>
      </c>
      <c r="M1515">
        <v>6</v>
      </c>
    </row>
    <row r="1516" spans="1:13">
      <c r="A1516">
        <v>1515</v>
      </c>
      <c r="B1516" t="s">
        <v>8</v>
      </c>
      <c r="C1516">
        <v>21</v>
      </c>
      <c r="D1516" t="str" cm="1">
        <f t="array" ref="D1516">_xlfn.IFS(Table2[[#This Row],[Age]]&lt;=11,"Gen A",Table2[[#This Row],[Age]]&lt;=27,"Gen Z",Table2[[#This Row],[Age]]&lt;=43,"Millenials",Table2[[#This Row],[Age]]&lt;=59,"Gen X",Table2[[#This Row],[Age]]&lt;=78,"Baby Boomers",Table2[[#This Row],[Age]]&lt;=96,"Silent",Table2[[#This Row],[Age]]&gt;=97,"Greatest")</f>
        <v>Gen Z</v>
      </c>
      <c r="E1516" s="1">
        <v>163509</v>
      </c>
      <c r="F1516">
        <v>21</v>
      </c>
      <c r="G1516" t="str" cm="1">
        <f t="array" ref="G1516">_xlfn.IFS(Table2[[#This Row],[Spending Score (1-100)]]&lt;=25,"Low",Table2[[#This Row],[Spending Score (1-100)]]&lt;=50,"Medium",Table2[[#This Row],[Spending Score (1-100)]]&lt;=75,"High",Table2[[#This Row],[Spending Score (1-100)]]&lt;=100,"Very High")</f>
        <v>Low</v>
      </c>
      <c r="H1516" t="s">
        <v>9</v>
      </c>
      <c r="I1516">
        <v>10</v>
      </c>
      <c r="J1516" t="str">
        <f>CONCATENATE(Table2[[#This Row],[Work Experience]],"years")</f>
        <v>10years</v>
      </c>
      <c r="K1516" t="str">
        <f>CONCATENATE(Table2[[#This Row],[Family Size2]],"members")</f>
        <v>1members</v>
      </c>
      <c r="L1516" t="str">
        <f>CONCATENATE(Table2[[#This Row],[Family Size2]],"members")</f>
        <v>1members</v>
      </c>
      <c r="M1516">
        <v>1</v>
      </c>
    </row>
    <row r="1517" spans="1:13">
      <c r="A1517">
        <v>1516</v>
      </c>
      <c r="B1517" t="s">
        <v>8</v>
      </c>
      <c r="C1517">
        <v>15</v>
      </c>
      <c r="D1517" t="str" cm="1">
        <f t="array" ref="D1517">_xlfn.IFS(Table2[[#This Row],[Age]]&lt;=11,"Gen A",Table2[[#This Row],[Age]]&lt;=27,"Gen Z",Table2[[#This Row],[Age]]&lt;=43,"Millenials",Table2[[#This Row],[Age]]&lt;=59,"Gen X",Table2[[#This Row],[Age]]&lt;=78,"Baby Boomers",Table2[[#This Row],[Age]]&lt;=96,"Silent",Table2[[#This Row],[Age]]&gt;=97,"Greatest")</f>
        <v>Gen Z</v>
      </c>
      <c r="E1517" s="1">
        <v>116204</v>
      </c>
      <c r="F1517">
        <v>16</v>
      </c>
      <c r="G1517" t="str" cm="1">
        <f t="array" ref="G1517">_xlfn.IFS(Table2[[#This Row],[Spending Score (1-100)]]&lt;=25,"Low",Table2[[#This Row],[Spending Score (1-100)]]&lt;=50,"Medium",Table2[[#This Row],[Spending Score (1-100)]]&lt;=75,"High",Table2[[#This Row],[Spending Score (1-100)]]&lt;=100,"Very High")</f>
        <v>Low</v>
      </c>
      <c r="H1517" t="s">
        <v>10</v>
      </c>
      <c r="I1517">
        <v>8</v>
      </c>
      <c r="J1517" t="str">
        <f>CONCATENATE(Table2[[#This Row],[Work Experience]],"years")</f>
        <v>8years</v>
      </c>
      <c r="K1517" t="str">
        <f>CONCATENATE(Table2[[#This Row],[Family Size2]],"members")</f>
        <v>2members</v>
      </c>
      <c r="L1517" t="str">
        <f>CONCATENATE(Table2[[#This Row],[Family Size2]],"members")</f>
        <v>2members</v>
      </c>
      <c r="M1517">
        <v>2</v>
      </c>
    </row>
    <row r="1518" spans="1:13">
      <c r="A1518">
        <v>1517</v>
      </c>
      <c r="B1518" t="s">
        <v>11</v>
      </c>
      <c r="C1518">
        <v>87</v>
      </c>
      <c r="D1518" t="str" cm="1">
        <f t="array" ref="D1518">_xlfn.IFS(Table2[[#This Row],[Age]]&lt;=11,"Gen A",Table2[[#This Row],[Age]]&lt;=27,"Gen Z",Table2[[#This Row],[Age]]&lt;=43,"Millenials",Table2[[#This Row],[Age]]&lt;=59,"Gen X",Table2[[#This Row],[Age]]&lt;=78,"Baby Boomers",Table2[[#This Row],[Age]]&lt;=96,"Silent",Table2[[#This Row],[Age]]&gt;=97,"Greatest")</f>
        <v>Silent</v>
      </c>
      <c r="E1518" s="1">
        <v>95853</v>
      </c>
      <c r="F1518">
        <v>53</v>
      </c>
      <c r="G1518" t="str" cm="1">
        <f t="array" ref="G1518">_xlfn.IFS(Table2[[#This Row],[Spending Score (1-100)]]&lt;=25,"Low",Table2[[#This Row],[Spending Score (1-100)]]&lt;=50,"Medium",Table2[[#This Row],[Spending Score (1-100)]]&lt;=75,"High",Table2[[#This Row],[Spending Score (1-100)]]&lt;=100,"Very High")</f>
        <v>High</v>
      </c>
      <c r="H1518" t="s">
        <v>9</v>
      </c>
      <c r="I1518">
        <v>9</v>
      </c>
      <c r="J1518" t="str">
        <f>CONCATENATE(Table2[[#This Row],[Work Experience]],"years")</f>
        <v>9years</v>
      </c>
      <c r="K1518" t="str">
        <f>CONCATENATE(Table2[[#This Row],[Family Size2]],"members")</f>
        <v>1members</v>
      </c>
      <c r="L1518" t="str">
        <f>CONCATENATE(Table2[[#This Row],[Family Size2]],"members")</f>
        <v>1members</v>
      </c>
      <c r="M1518">
        <v>1</v>
      </c>
    </row>
    <row r="1519" spans="1:13">
      <c r="A1519">
        <v>1518</v>
      </c>
      <c r="B1519" t="s">
        <v>8</v>
      </c>
      <c r="C1519">
        <v>40</v>
      </c>
      <c r="D1519" t="str" cm="1">
        <f t="array" ref="D1519">_xlfn.IFS(Table2[[#This Row],[Age]]&lt;=11,"Gen A",Table2[[#This Row],[Age]]&lt;=27,"Gen Z",Table2[[#This Row],[Age]]&lt;=43,"Millenials",Table2[[#This Row],[Age]]&lt;=59,"Gen X",Table2[[#This Row],[Age]]&lt;=78,"Baby Boomers",Table2[[#This Row],[Age]]&lt;=96,"Silent",Table2[[#This Row],[Age]]&gt;=97,"Greatest")</f>
        <v>Millenials</v>
      </c>
      <c r="E1519" s="1">
        <v>156411</v>
      </c>
      <c r="F1519">
        <v>70</v>
      </c>
      <c r="G1519" t="str" cm="1">
        <f t="array" ref="G1519">_xlfn.IFS(Table2[[#This Row],[Spending Score (1-100)]]&lt;=25,"Low",Table2[[#This Row],[Spending Score (1-100)]]&lt;=50,"Medium",Table2[[#This Row],[Spending Score (1-100)]]&lt;=75,"High",Table2[[#This Row],[Spending Score (1-100)]]&lt;=100,"Very High")</f>
        <v>High</v>
      </c>
      <c r="H1519" t="s">
        <v>14</v>
      </c>
      <c r="I1519">
        <v>6</v>
      </c>
      <c r="J1519" t="str">
        <f>CONCATENATE(Table2[[#This Row],[Work Experience]],"years")</f>
        <v>6years</v>
      </c>
      <c r="K1519" t="str">
        <f>CONCATENATE(Table2[[#This Row],[Family Size2]],"members")</f>
        <v>5members</v>
      </c>
      <c r="L1519" t="str">
        <f>CONCATENATE(Table2[[#This Row],[Family Size2]],"members")</f>
        <v>5members</v>
      </c>
      <c r="M1519">
        <v>5</v>
      </c>
    </row>
    <row r="1520" spans="1:13">
      <c r="A1520">
        <v>1519</v>
      </c>
      <c r="B1520" t="s">
        <v>8</v>
      </c>
      <c r="C1520">
        <v>2</v>
      </c>
      <c r="D1520" t="str" cm="1">
        <f t="array" ref="D1520">_xlfn.IFS(Table2[[#This Row],[Age]]&lt;=11,"Gen A",Table2[[#This Row],[Age]]&lt;=27,"Gen Z",Table2[[#This Row],[Age]]&lt;=43,"Millenials",Table2[[#This Row],[Age]]&lt;=59,"Gen X",Table2[[#This Row],[Age]]&lt;=78,"Baby Boomers",Table2[[#This Row],[Age]]&lt;=96,"Silent",Table2[[#This Row],[Age]]&gt;=97,"Greatest")</f>
        <v>Gen A</v>
      </c>
      <c r="E1520" s="1">
        <v>72889</v>
      </c>
      <c r="F1520">
        <v>36</v>
      </c>
      <c r="G1520" t="str" cm="1">
        <f t="array" ref="G1520">_xlfn.IFS(Table2[[#This Row],[Spending Score (1-100)]]&lt;=25,"Low",Table2[[#This Row],[Spending Score (1-100)]]&lt;=50,"Medium",Table2[[#This Row],[Spending Score (1-100)]]&lt;=75,"High",Table2[[#This Row],[Spending Score (1-100)]]&lt;=100,"Very High")</f>
        <v>Medium</v>
      </c>
      <c r="H1520" t="s">
        <v>17</v>
      </c>
      <c r="I1520">
        <v>5</v>
      </c>
      <c r="J1520" t="str">
        <f>CONCATENATE(Table2[[#This Row],[Work Experience]],"years")</f>
        <v>5years</v>
      </c>
      <c r="K1520" t="str">
        <f>CONCATENATE(Table2[[#This Row],[Family Size2]],"members")</f>
        <v>7members</v>
      </c>
      <c r="L1520" t="str">
        <f>CONCATENATE(Table2[[#This Row],[Family Size2]],"members")</f>
        <v>7members</v>
      </c>
      <c r="M1520">
        <v>7</v>
      </c>
    </row>
    <row r="1521" spans="1:13">
      <c r="A1521">
        <v>1520</v>
      </c>
      <c r="B1521" t="s">
        <v>11</v>
      </c>
      <c r="C1521">
        <v>63</v>
      </c>
      <c r="D1521" t="str" cm="1">
        <f t="array" ref="D1521">_xlfn.IFS(Table2[[#This Row],[Age]]&lt;=11,"Gen A",Table2[[#This Row],[Age]]&lt;=27,"Gen Z",Table2[[#This Row],[Age]]&lt;=43,"Millenials",Table2[[#This Row],[Age]]&lt;=59,"Gen X",Table2[[#This Row],[Age]]&lt;=78,"Baby Boomers",Table2[[#This Row],[Age]]&lt;=96,"Silent",Table2[[#This Row],[Age]]&gt;=97,"Greatest")</f>
        <v>Baby Boomers</v>
      </c>
      <c r="E1521" s="1">
        <v>106691</v>
      </c>
      <c r="F1521">
        <v>79</v>
      </c>
      <c r="G1521" t="str" cm="1">
        <f t="array" ref="G1521">_xlfn.IFS(Table2[[#This Row],[Spending Score (1-100)]]&lt;=25,"Low",Table2[[#This Row],[Spending Score (1-100)]]&lt;=50,"Medium",Table2[[#This Row],[Spending Score (1-100)]]&lt;=75,"High",Table2[[#This Row],[Spending Score (1-100)]]&lt;=100,"Very High")</f>
        <v>Very High</v>
      </c>
      <c r="H1521" t="s">
        <v>9</v>
      </c>
      <c r="I1521">
        <v>9</v>
      </c>
      <c r="J1521" t="str">
        <f>CONCATENATE(Table2[[#This Row],[Work Experience]],"years")</f>
        <v>9years</v>
      </c>
      <c r="K1521" t="str">
        <f>CONCATENATE(Table2[[#This Row],[Family Size2]],"members")</f>
        <v>3members</v>
      </c>
      <c r="L1521" t="str">
        <f>CONCATENATE(Table2[[#This Row],[Family Size2]],"members")</f>
        <v>3members</v>
      </c>
      <c r="M1521">
        <v>3</v>
      </c>
    </row>
    <row r="1522" spans="1:13">
      <c r="A1522">
        <v>1521</v>
      </c>
      <c r="B1522" t="s">
        <v>8</v>
      </c>
      <c r="C1522">
        <v>26</v>
      </c>
      <c r="D1522" t="str" cm="1">
        <f t="array" ref="D1522">_xlfn.IFS(Table2[[#This Row],[Age]]&lt;=11,"Gen A",Table2[[#This Row],[Age]]&lt;=27,"Gen Z",Table2[[#This Row],[Age]]&lt;=43,"Millenials",Table2[[#This Row],[Age]]&lt;=59,"Gen X",Table2[[#This Row],[Age]]&lt;=78,"Baby Boomers",Table2[[#This Row],[Age]]&lt;=96,"Silent",Table2[[#This Row],[Age]]&gt;=97,"Greatest")</f>
        <v>Gen Z</v>
      </c>
      <c r="E1522" s="1">
        <v>144832</v>
      </c>
      <c r="F1522">
        <v>42</v>
      </c>
      <c r="G1522" t="str" cm="1">
        <f t="array" ref="G1522">_xlfn.IFS(Table2[[#This Row],[Spending Score (1-100)]]&lt;=25,"Low",Table2[[#This Row],[Spending Score (1-100)]]&lt;=50,"Medium",Table2[[#This Row],[Spending Score (1-100)]]&lt;=75,"High",Table2[[#This Row],[Spending Score (1-100)]]&lt;=100,"Very High")</f>
        <v>Medium</v>
      </c>
      <c r="H1522" t="s">
        <v>14</v>
      </c>
      <c r="I1522">
        <v>5</v>
      </c>
      <c r="J1522" t="str">
        <f>CONCATENATE(Table2[[#This Row],[Work Experience]],"years")</f>
        <v>5years</v>
      </c>
      <c r="K1522" t="str">
        <f>CONCATENATE(Table2[[#This Row],[Family Size2]],"members")</f>
        <v>3members</v>
      </c>
      <c r="L1522" t="str">
        <f>CONCATENATE(Table2[[#This Row],[Family Size2]],"members")</f>
        <v>3members</v>
      </c>
      <c r="M1522">
        <v>3</v>
      </c>
    </row>
    <row r="1523" spans="1:13">
      <c r="A1523">
        <v>1522</v>
      </c>
      <c r="B1523" t="s">
        <v>8</v>
      </c>
      <c r="C1523">
        <v>29</v>
      </c>
      <c r="D1523" t="str" cm="1">
        <f t="array" ref="D1523">_xlfn.IFS(Table2[[#This Row],[Age]]&lt;=11,"Gen A",Table2[[#This Row],[Age]]&lt;=27,"Gen Z",Table2[[#This Row],[Age]]&lt;=43,"Millenials",Table2[[#This Row],[Age]]&lt;=59,"Gen X",Table2[[#This Row],[Age]]&lt;=78,"Baby Boomers",Table2[[#This Row],[Age]]&lt;=96,"Silent",Table2[[#This Row],[Age]]&gt;=97,"Greatest")</f>
        <v>Millenials</v>
      </c>
      <c r="E1523" s="1">
        <v>132297</v>
      </c>
      <c r="F1523">
        <v>53</v>
      </c>
      <c r="G1523" t="str" cm="1">
        <f t="array" ref="G1523">_xlfn.IFS(Table2[[#This Row],[Spending Score (1-100)]]&lt;=25,"Low",Table2[[#This Row],[Spending Score (1-100)]]&lt;=50,"Medium",Table2[[#This Row],[Spending Score (1-100)]]&lt;=75,"High",Table2[[#This Row],[Spending Score (1-100)]]&lt;=100,"Very High")</f>
        <v>High</v>
      </c>
      <c r="H1523" t="s">
        <v>13</v>
      </c>
      <c r="I1523">
        <v>8</v>
      </c>
      <c r="J1523" t="str">
        <f>CONCATENATE(Table2[[#This Row],[Work Experience]],"years")</f>
        <v>8years</v>
      </c>
      <c r="K1523" t="str">
        <f>CONCATENATE(Table2[[#This Row],[Family Size2]],"members")</f>
        <v>1members</v>
      </c>
      <c r="L1523" t="str">
        <f>CONCATENATE(Table2[[#This Row],[Family Size2]],"members")</f>
        <v>1members</v>
      </c>
      <c r="M1523">
        <v>1</v>
      </c>
    </row>
    <row r="1524" spans="1:13">
      <c r="A1524">
        <v>1523</v>
      </c>
      <c r="B1524" t="s">
        <v>11</v>
      </c>
      <c r="C1524">
        <v>7</v>
      </c>
      <c r="D1524" t="str" cm="1">
        <f t="array" ref="D1524">_xlfn.IFS(Table2[[#This Row],[Age]]&lt;=11,"Gen A",Table2[[#This Row],[Age]]&lt;=27,"Gen Z",Table2[[#This Row],[Age]]&lt;=43,"Millenials",Table2[[#This Row],[Age]]&lt;=59,"Gen X",Table2[[#This Row],[Age]]&lt;=78,"Baby Boomers",Table2[[#This Row],[Age]]&lt;=96,"Silent",Table2[[#This Row],[Age]]&gt;=97,"Greatest")</f>
        <v>Gen A</v>
      </c>
      <c r="E1524" s="1">
        <v>170345</v>
      </c>
      <c r="F1524">
        <v>3</v>
      </c>
      <c r="G1524" t="str" cm="1">
        <f t="array" ref="G1524">_xlfn.IFS(Table2[[#This Row],[Spending Score (1-100)]]&lt;=25,"Low",Table2[[#This Row],[Spending Score (1-100)]]&lt;=50,"Medium",Table2[[#This Row],[Spending Score (1-100)]]&lt;=75,"High",Table2[[#This Row],[Spending Score (1-100)]]&lt;=100,"Very High")</f>
        <v>Low</v>
      </c>
      <c r="H1524" t="s">
        <v>15</v>
      </c>
      <c r="I1524">
        <v>9</v>
      </c>
      <c r="J1524" t="str">
        <f>CONCATENATE(Table2[[#This Row],[Work Experience]],"years")</f>
        <v>9years</v>
      </c>
      <c r="K1524" t="str">
        <f>CONCATENATE(Table2[[#This Row],[Family Size2]],"members")</f>
        <v>5members</v>
      </c>
      <c r="L1524" t="str">
        <f>CONCATENATE(Table2[[#This Row],[Family Size2]],"members")</f>
        <v>5members</v>
      </c>
      <c r="M1524">
        <v>5</v>
      </c>
    </row>
    <row r="1525" spans="1:13">
      <c r="A1525">
        <v>1524</v>
      </c>
      <c r="B1525" t="s">
        <v>8</v>
      </c>
      <c r="C1525">
        <v>28</v>
      </c>
      <c r="D1525" t="str" cm="1">
        <f t="array" ref="D1525">_xlfn.IFS(Table2[[#This Row],[Age]]&lt;=11,"Gen A",Table2[[#This Row],[Age]]&lt;=27,"Gen Z",Table2[[#This Row],[Age]]&lt;=43,"Millenials",Table2[[#This Row],[Age]]&lt;=59,"Gen X",Table2[[#This Row],[Age]]&lt;=78,"Baby Boomers",Table2[[#This Row],[Age]]&lt;=96,"Silent",Table2[[#This Row],[Age]]&gt;=97,"Greatest")</f>
        <v>Millenials</v>
      </c>
      <c r="E1525" s="1">
        <v>157383</v>
      </c>
      <c r="F1525">
        <v>13</v>
      </c>
      <c r="G1525" t="str" cm="1">
        <f t="array" ref="G1525">_xlfn.IFS(Table2[[#This Row],[Spending Score (1-100)]]&lt;=25,"Low",Table2[[#This Row],[Spending Score (1-100)]]&lt;=50,"Medium",Table2[[#This Row],[Spending Score (1-100)]]&lt;=75,"High",Table2[[#This Row],[Spending Score (1-100)]]&lt;=100,"Very High")</f>
        <v>Low</v>
      </c>
      <c r="H1525" t="s">
        <v>12</v>
      </c>
      <c r="I1525">
        <v>8</v>
      </c>
      <c r="J1525" t="str">
        <f>CONCATENATE(Table2[[#This Row],[Work Experience]],"years")</f>
        <v>8years</v>
      </c>
      <c r="K1525" t="str">
        <f>CONCATENATE(Table2[[#This Row],[Family Size2]],"members")</f>
        <v>2members</v>
      </c>
      <c r="L1525" t="str">
        <f>CONCATENATE(Table2[[#This Row],[Family Size2]],"members")</f>
        <v>2members</v>
      </c>
      <c r="M1525">
        <v>2</v>
      </c>
    </row>
    <row r="1526" spans="1:13">
      <c r="A1526">
        <v>1525</v>
      </c>
      <c r="B1526" t="s">
        <v>11</v>
      </c>
      <c r="C1526">
        <v>99</v>
      </c>
      <c r="D1526" t="str" cm="1">
        <f t="array" ref="D1526">_xlfn.IFS(Table2[[#This Row],[Age]]&lt;=11,"Gen A",Table2[[#This Row],[Age]]&lt;=27,"Gen Z",Table2[[#This Row],[Age]]&lt;=43,"Millenials",Table2[[#This Row],[Age]]&lt;=59,"Gen X",Table2[[#This Row],[Age]]&lt;=78,"Baby Boomers",Table2[[#This Row],[Age]]&lt;=96,"Silent",Table2[[#This Row],[Age]]&gt;=97,"Greatest")</f>
        <v>Greatest</v>
      </c>
      <c r="E1526" s="1">
        <v>150782</v>
      </c>
      <c r="F1526">
        <v>18</v>
      </c>
      <c r="G1526" t="str" cm="1">
        <f t="array" ref="G1526">_xlfn.IFS(Table2[[#This Row],[Spending Score (1-100)]]&lt;=25,"Low",Table2[[#This Row],[Spending Score (1-100)]]&lt;=50,"Medium",Table2[[#This Row],[Spending Score (1-100)]]&lt;=75,"High",Table2[[#This Row],[Spending Score (1-100)]]&lt;=100,"Very High")</f>
        <v>Low</v>
      </c>
      <c r="H1526" t="s">
        <v>15</v>
      </c>
      <c r="I1526">
        <v>8</v>
      </c>
      <c r="J1526" t="str">
        <f>CONCATENATE(Table2[[#This Row],[Work Experience]],"years")</f>
        <v>8years</v>
      </c>
      <c r="K1526" t="str">
        <f>CONCATENATE(Table2[[#This Row],[Family Size2]],"members")</f>
        <v>2members</v>
      </c>
      <c r="L1526" t="str">
        <f>CONCATENATE(Table2[[#This Row],[Family Size2]],"members")</f>
        <v>2members</v>
      </c>
      <c r="M1526">
        <v>2</v>
      </c>
    </row>
    <row r="1527" spans="1:13">
      <c r="A1527">
        <v>1526</v>
      </c>
      <c r="B1527" t="s">
        <v>8</v>
      </c>
      <c r="C1527">
        <v>69</v>
      </c>
      <c r="D1527" t="str" cm="1">
        <f t="array" ref="D1527">_xlfn.IFS(Table2[[#This Row],[Age]]&lt;=11,"Gen A",Table2[[#This Row],[Age]]&lt;=27,"Gen Z",Table2[[#This Row],[Age]]&lt;=43,"Millenials",Table2[[#This Row],[Age]]&lt;=59,"Gen X",Table2[[#This Row],[Age]]&lt;=78,"Baby Boomers",Table2[[#This Row],[Age]]&lt;=96,"Silent",Table2[[#This Row],[Age]]&gt;=97,"Greatest")</f>
        <v>Baby Boomers</v>
      </c>
      <c r="E1527" s="1">
        <v>143987</v>
      </c>
      <c r="F1527">
        <v>87</v>
      </c>
      <c r="G1527" t="str" cm="1">
        <f t="array" ref="G1527">_xlfn.IFS(Table2[[#This Row],[Spending Score (1-100)]]&lt;=25,"Low",Table2[[#This Row],[Spending Score (1-100)]]&lt;=50,"Medium",Table2[[#This Row],[Spending Score (1-100)]]&lt;=75,"High",Table2[[#This Row],[Spending Score (1-100)]]&lt;=100,"Very High")</f>
        <v>Very High</v>
      </c>
      <c r="H1527" t="s">
        <v>9</v>
      </c>
      <c r="I1527">
        <v>10</v>
      </c>
      <c r="J1527" t="str">
        <f>CONCATENATE(Table2[[#This Row],[Work Experience]],"years")</f>
        <v>10years</v>
      </c>
      <c r="K1527" t="str">
        <f>CONCATENATE(Table2[[#This Row],[Family Size2]],"members")</f>
        <v>5members</v>
      </c>
      <c r="L1527" t="str">
        <f>CONCATENATE(Table2[[#This Row],[Family Size2]],"members")</f>
        <v>5members</v>
      </c>
      <c r="M1527">
        <v>5</v>
      </c>
    </row>
    <row r="1528" spans="1:13">
      <c r="A1528">
        <v>1527</v>
      </c>
      <c r="B1528" t="s">
        <v>11</v>
      </c>
      <c r="C1528">
        <v>13</v>
      </c>
      <c r="D1528" t="str" cm="1">
        <f t="array" ref="D1528">_xlfn.IFS(Table2[[#This Row],[Age]]&lt;=11,"Gen A",Table2[[#This Row],[Age]]&lt;=27,"Gen Z",Table2[[#This Row],[Age]]&lt;=43,"Millenials",Table2[[#This Row],[Age]]&lt;=59,"Gen X",Table2[[#This Row],[Age]]&lt;=78,"Baby Boomers",Table2[[#This Row],[Age]]&lt;=96,"Silent",Table2[[#This Row],[Age]]&gt;=97,"Greatest")</f>
        <v>Gen Z</v>
      </c>
      <c r="E1528" s="1">
        <v>129659</v>
      </c>
      <c r="F1528">
        <v>59</v>
      </c>
      <c r="G1528" t="str" cm="1">
        <f t="array" ref="G1528">_xlfn.IFS(Table2[[#This Row],[Spending Score (1-100)]]&lt;=25,"Low",Table2[[#This Row],[Spending Score (1-100)]]&lt;=50,"Medium",Table2[[#This Row],[Spending Score (1-100)]]&lt;=75,"High",Table2[[#This Row],[Spending Score (1-100)]]&lt;=100,"Very High")</f>
        <v>High</v>
      </c>
      <c r="H1528" t="s">
        <v>13</v>
      </c>
      <c r="I1528">
        <v>6</v>
      </c>
      <c r="J1528" t="str">
        <f>CONCATENATE(Table2[[#This Row],[Work Experience]],"years")</f>
        <v>6years</v>
      </c>
      <c r="K1528" t="str">
        <f>CONCATENATE(Table2[[#This Row],[Family Size2]],"members")</f>
        <v>7members</v>
      </c>
      <c r="L1528" t="str">
        <f>CONCATENATE(Table2[[#This Row],[Family Size2]],"members")</f>
        <v>7members</v>
      </c>
      <c r="M1528">
        <v>7</v>
      </c>
    </row>
    <row r="1529" spans="1:13">
      <c r="A1529">
        <v>1528</v>
      </c>
      <c r="B1529" t="s">
        <v>8</v>
      </c>
      <c r="C1529">
        <v>73</v>
      </c>
      <c r="D1529" t="str" cm="1">
        <f t="array" ref="D1529">_xlfn.IFS(Table2[[#This Row],[Age]]&lt;=11,"Gen A",Table2[[#This Row],[Age]]&lt;=27,"Gen Z",Table2[[#This Row],[Age]]&lt;=43,"Millenials",Table2[[#This Row],[Age]]&lt;=59,"Gen X",Table2[[#This Row],[Age]]&lt;=78,"Baby Boomers",Table2[[#This Row],[Age]]&lt;=96,"Silent",Table2[[#This Row],[Age]]&gt;=97,"Greatest")</f>
        <v>Baby Boomers</v>
      </c>
      <c r="E1529" s="1">
        <v>104826</v>
      </c>
      <c r="F1529">
        <v>36</v>
      </c>
      <c r="G1529" t="str" cm="1">
        <f t="array" ref="G1529">_xlfn.IFS(Table2[[#This Row],[Spending Score (1-100)]]&lt;=25,"Low",Table2[[#This Row],[Spending Score (1-100)]]&lt;=50,"Medium",Table2[[#This Row],[Spending Score (1-100)]]&lt;=75,"High",Table2[[#This Row],[Spending Score (1-100)]]&lt;=100,"Very High")</f>
        <v>Medium</v>
      </c>
      <c r="H1529" t="s">
        <v>9</v>
      </c>
      <c r="I1529">
        <v>5</v>
      </c>
      <c r="J1529" t="str">
        <f>CONCATENATE(Table2[[#This Row],[Work Experience]],"years")</f>
        <v>5years</v>
      </c>
      <c r="K1529" t="str">
        <f>CONCATENATE(Table2[[#This Row],[Family Size2]],"members")</f>
        <v>1members</v>
      </c>
      <c r="L1529" t="str">
        <f>CONCATENATE(Table2[[#This Row],[Family Size2]],"members")</f>
        <v>1members</v>
      </c>
      <c r="M1529">
        <v>1</v>
      </c>
    </row>
    <row r="1530" spans="1:13">
      <c r="A1530">
        <v>1529</v>
      </c>
      <c r="B1530" t="s">
        <v>11</v>
      </c>
      <c r="C1530">
        <v>4</v>
      </c>
      <c r="D1530" t="str" cm="1">
        <f t="array" ref="D1530">_xlfn.IFS(Table2[[#This Row],[Age]]&lt;=11,"Gen A",Table2[[#This Row],[Age]]&lt;=27,"Gen Z",Table2[[#This Row],[Age]]&lt;=43,"Millenials",Table2[[#This Row],[Age]]&lt;=59,"Gen X",Table2[[#This Row],[Age]]&lt;=78,"Baby Boomers",Table2[[#This Row],[Age]]&lt;=96,"Silent",Table2[[#This Row],[Age]]&gt;=97,"Greatest")</f>
        <v>Gen A</v>
      </c>
      <c r="E1530" s="1">
        <v>181471</v>
      </c>
      <c r="F1530">
        <v>59</v>
      </c>
      <c r="G1530" t="str" cm="1">
        <f t="array" ref="G1530">_xlfn.IFS(Table2[[#This Row],[Spending Score (1-100)]]&lt;=25,"Low",Table2[[#This Row],[Spending Score (1-100)]]&lt;=50,"Medium",Table2[[#This Row],[Spending Score (1-100)]]&lt;=75,"High",Table2[[#This Row],[Spending Score (1-100)]]&lt;=100,"Very High")</f>
        <v>High</v>
      </c>
      <c r="H1530" t="s">
        <v>9</v>
      </c>
      <c r="I1530">
        <v>10</v>
      </c>
      <c r="J1530" t="str">
        <f>CONCATENATE(Table2[[#This Row],[Work Experience]],"years")</f>
        <v>10years</v>
      </c>
      <c r="K1530" t="str">
        <f>CONCATENATE(Table2[[#This Row],[Family Size2]],"members")</f>
        <v>4members</v>
      </c>
      <c r="L1530" t="str">
        <f>CONCATENATE(Table2[[#This Row],[Family Size2]],"members")</f>
        <v>4members</v>
      </c>
      <c r="M1530">
        <v>4</v>
      </c>
    </row>
    <row r="1531" spans="1:13">
      <c r="A1531">
        <v>1530</v>
      </c>
      <c r="B1531" t="s">
        <v>11</v>
      </c>
      <c r="C1531">
        <v>42</v>
      </c>
      <c r="D1531" t="str" cm="1">
        <f t="array" ref="D1531">_xlfn.IFS(Table2[[#This Row],[Age]]&lt;=11,"Gen A",Table2[[#This Row],[Age]]&lt;=27,"Gen Z",Table2[[#This Row],[Age]]&lt;=43,"Millenials",Table2[[#This Row],[Age]]&lt;=59,"Gen X",Table2[[#This Row],[Age]]&lt;=78,"Baby Boomers",Table2[[#This Row],[Age]]&lt;=96,"Silent",Table2[[#This Row],[Age]]&gt;=97,"Greatest")</f>
        <v>Millenials</v>
      </c>
      <c r="E1531" s="1">
        <v>152547</v>
      </c>
      <c r="F1531">
        <v>56</v>
      </c>
      <c r="G1531" t="str" cm="1">
        <f t="array" ref="G1531">_xlfn.IFS(Table2[[#This Row],[Spending Score (1-100)]]&lt;=25,"Low",Table2[[#This Row],[Spending Score (1-100)]]&lt;=50,"Medium",Table2[[#This Row],[Spending Score (1-100)]]&lt;=75,"High",Table2[[#This Row],[Spending Score (1-100)]]&lt;=100,"Very High")</f>
        <v>High</v>
      </c>
      <c r="H1531" t="s">
        <v>14</v>
      </c>
      <c r="I1531">
        <v>7</v>
      </c>
      <c r="J1531" t="str">
        <f>CONCATENATE(Table2[[#This Row],[Work Experience]],"years")</f>
        <v>7years</v>
      </c>
      <c r="K1531" t="str">
        <f>CONCATENATE(Table2[[#This Row],[Family Size2]],"members")</f>
        <v>4members</v>
      </c>
      <c r="L1531" t="str">
        <f>CONCATENATE(Table2[[#This Row],[Family Size2]],"members")</f>
        <v>4members</v>
      </c>
      <c r="M1531">
        <v>4</v>
      </c>
    </row>
    <row r="1532" spans="1:13">
      <c r="A1532">
        <v>1531</v>
      </c>
      <c r="B1532" t="s">
        <v>8</v>
      </c>
      <c r="C1532">
        <v>43</v>
      </c>
      <c r="D1532" t="str" cm="1">
        <f t="array" ref="D1532">_xlfn.IFS(Table2[[#This Row],[Age]]&lt;=11,"Gen A",Table2[[#This Row],[Age]]&lt;=27,"Gen Z",Table2[[#This Row],[Age]]&lt;=43,"Millenials",Table2[[#This Row],[Age]]&lt;=59,"Gen X",Table2[[#This Row],[Age]]&lt;=78,"Baby Boomers",Table2[[#This Row],[Age]]&lt;=96,"Silent",Table2[[#This Row],[Age]]&gt;=97,"Greatest")</f>
        <v>Millenials</v>
      </c>
      <c r="E1532" s="1">
        <v>85347</v>
      </c>
      <c r="F1532">
        <v>9</v>
      </c>
      <c r="G1532" t="str" cm="1">
        <f t="array" ref="G1532">_xlfn.IFS(Table2[[#This Row],[Spending Score (1-100)]]&lt;=25,"Low",Table2[[#This Row],[Spending Score (1-100)]]&lt;=50,"Medium",Table2[[#This Row],[Spending Score (1-100)]]&lt;=75,"High",Table2[[#This Row],[Spending Score (1-100)]]&lt;=100,"Very High")</f>
        <v>Low</v>
      </c>
      <c r="H1532" t="s">
        <v>16</v>
      </c>
      <c r="I1532">
        <v>1</v>
      </c>
      <c r="J1532" t="str">
        <f>CONCATENATE(Table2[[#This Row],[Work Experience]],"years")</f>
        <v>1years</v>
      </c>
      <c r="K1532" t="str">
        <f>CONCATENATE(Table2[[#This Row],[Family Size2]],"members")</f>
        <v>1members</v>
      </c>
      <c r="L1532" t="str">
        <f>CONCATENATE(Table2[[#This Row],[Family Size2]],"members")</f>
        <v>1members</v>
      </c>
      <c r="M1532">
        <v>1</v>
      </c>
    </row>
    <row r="1533" spans="1:13">
      <c r="A1533">
        <v>1532</v>
      </c>
      <c r="B1533" t="s">
        <v>11</v>
      </c>
      <c r="C1533">
        <v>79</v>
      </c>
      <c r="D1533" t="str" cm="1">
        <f t="array" ref="D1533">_xlfn.IFS(Table2[[#This Row],[Age]]&lt;=11,"Gen A",Table2[[#This Row],[Age]]&lt;=27,"Gen Z",Table2[[#This Row],[Age]]&lt;=43,"Millenials",Table2[[#This Row],[Age]]&lt;=59,"Gen X",Table2[[#This Row],[Age]]&lt;=78,"Baby Boomers",Table2[[#This Row],[Age]]&lt;=96,"Silent",Table2[[#This Row],[Age]]&gt;=97,"Greatest")</f>
        <v>Silent</v>
      </c>
      <c r="E1533" s="1">
        <v>122828</v>
      </c>
      <c r="F1533">
        <v>32</v>
      </c>
      <c r="G1533" t="str" cm="1">
        <f t="array" ref="G1533">_xlfn.IFS(Table2[[#This Row],[Spending Score (1-100)]]&lt;=25,"Low",Table2[[#This Row],[Spending Score (1-100)]]&lt;=50,"Medium",Table2[[#This Row],[Spending Score (1-100)]]&lt;=75,"High",Table2[[#This Row],[Spending Score (1-100)]]&lt;=100,"Very High")</f>
        <v>Medium</v>
      </c>
      <c r="H1533" t="s">
        <v>15</v>
      </c>
      <c r="I1533">
        <v>0</v>
      </c>
      <c r="J1533" t="str">
        <f>CONCATENATE(Table2[[#This Row],[Work Experience]],"years")</f>
        <v>0years</v>
      </c>
      <c r="K1533" t="str">
        <f>CONCATENATE(Table2[[#This Row],[Family Size2]],"members")</f>
        <v>5members</v>
      </c>
      <c r="L1533" t="str">
        <f>CONCATENATE(Table2[[#This Row],[Family Size2]],"members")</f>
        <v>5members</v>
      </c>
      <c r="M1533">
        <v>5</v>
      </c>
    </row>
    <row r="1534" spans="1:13">
      <c r="A1534">
        <v>1533</v>
      </c>
      <c r="B1534" t="s">
        <v>8</v>
      </c>
      <c r="C1534">
        <v>18</v>
      </c>
      <c r="D1534" t="str" cm="1">
        <f t="array" ref="D1534">_xlfn.IFS(Table2[[#This Row],[Age]]&lt;=11,"Gen A",Table2[[#This Row],[Age]]&lt;=27,"Gen Z",Table2[[#This Row],[Age]]&lt;=43,"Millenials",Table2[[#This Row],[Age]]&lt;=59,"Gen X",Table2[[#This Row],[Age]]&lt;=78,"Baby Boomers",Table2[[#This Row],[Age]]&lt;=96,"Silent",Table2[[#This Row],[Age]]&gt;=97,"Greatest")</f>
        <v>Gen Z</v>
      </c>
      <c r="E1534" s="1">
        <v>107794</v>
      </c>
      <c r="F1534">
        <v>17</v>
      </c>
      <c r="G1534" t="str" cm="1">
        <f t="array" ref="G1534">_xlfn.IFS(Table2[[#This Row],[Spending Score (1-100)]]&lt;=25,"Low",Table2[[#This Row],[Spending Score (1-100)]]&lt;=50,"Medium",Table2[[#This Row],[Spending Score (1-100)]]&lt;=75,"High",Table2[[#This Row],[Spending Score (1-100)]]&lt;=100,"Very High")</f>
        <v>Low</v>
      </c>
      <c r="H1534" t="s">
        <v>10</v>
      </c>
      <c r="I1534">
        <v>0</v>
      </c>
      <c r="J1534" t="str">
        <f>CONCATENATE(Table2[[#This Row],[Work Experience]],"years")</f>
        <v>0years</v>
      </c>
      <c r="K1534" t="str">
        <f>CONCATENATE(Table2[[#This Row],[Family Size2]],"members")</f>
        <v>5members</v>
      </c>
      <c r="L1534" t="str">
        <f>CONCATENATE(Table2[[#This Row],[Family Size2]],"members")</f>
        <v>5members</v>
      </c>
      <c r="M1534">
        <v>5</v>
      </c>
    </row>
    <row r="1535" spans="1:13">
      <c r="A1535">
        <v>1534</v>
      </c>
      <c r="B1535" t="s">
        <v>8</v>
      </c>
      <c r="C1535">
        <v>39</v>
      </c>
      <c r="D1535" t="str" cm="1">
        <f t="array" ref="D1535">_xlfn.IFS(Table2[[#This Row],[Age]]&lt;=11,"Gen A",Table2[[#This Row],[Age]]&lt;=27,"Gen Z",Table2[[#This Row],[Age]]&lt;=43,"Millenials",Table2[[#This Row],[Age]]&lt;=59,"Gen X",Table2[[#This Row],[Age]]&lt;=78,"Baby Boomers",Table2[[#This Row],[Age]]&lt;=96,"Silent",Table2[[#This Row],[Age]]&gt;=97,"Greatest")</f>
        <v>Millenials</v>
      </c>
      <c r="E1535" s="1">
        <v>152566</v>
      </c>
      <c r="F1535">
        <v>11</v>
      </c>
      <c r="G1535" t="str" cm="1">
        <f t="array" ref="G1535">_xlfn.IFS(Table2[[#This Row],[Spending Score (1-100)]]&lt;=25,"Low",Table2[[#This Row],[Spending Score (1-100)]]&lt;=50,"Medium",Table2[[#This Row],[Spending Score (1-100)]]&lt;=75,"High",Table2[[#This Row],[Spending Score (1-100)]]&lt;=100,"Very High")</f>
        <v>Low</v>
      </c>
      <c r="H1535" t="s">
        <v>13</v>
      </c>
      <c r="I1535">
        <v>1</v>
      </c>
      <c r="J1535" t="str">
        <f>CONCATENATE(Table2[[#This Row],[Work Experience]],"years")</f>
        <v>1years</v>
      </c>
      <c r="K1535" t="str">
        <f>CONCATENATE(Table2[[#This Row],[Family Size2]],"members")</f>
        <v>7members</v>
      </c>
      <c r="L1535" t="str">
        <f>CONCATENATE(Table2[[#This Row],[Family Size2]],"members")</f>
        <v>7members</v>
      </c>
      <c r="M1535">
        <v>7</v>
      </c>
    </row>
    <row r="1536" spans="1:13">
      <c r="A1536">
        <v>1535</v>
      </c>
      <c r="B1536" t="s">
        <v>11</v>
      </c>
      <c r="C1536">
        <v>41</v>
      </c>
      <c r="D1536" t="str" cm="1">
        <f t="array" ref="D1536">_xlfn.IFS(Table2[[#This Row],[Age]]&lt;=11,"Gen A",Table2[[#This Row],[Age]]&lt;=27,"Gen Z",Table2[[#This Row],[Age]]&lt;=43,"Millenials",Table2[[#This Row],[Age]]&lt;=59,"Gen X",Table2[[#This Row],[Age]]&lt;=78,"Baby Boomers",Table2[[#This Row],[Age]]&lt;=96,"Silent",Table2[[#This Row],[Age]]&gt;=97,"Greatest")</f>
        <v>Millenials</v>
      </c>
      <c r="E1536" s="1">
        <v>91715</v>
      </c>
      <c r="F1536">
        <v>99</v>
      </c>
      <c r="G1536" t="str" cm="1">
        <f t="array" ref="G1536">_xlfn.IFS(Table2[[#This Row],[Spending Score (1-100)]]&lt;=25,"Low",Table2[[#This Row],[Spending Score (1-100)]]&lt;=50,"Medium",Table2[[#This Row],[Spending Score (1-100)]]&lt;=75,"High",Table2[[#This Row],[Spending Score (1-100)]]&lt;=100,"Very High")</f>
        <v>Very High</v>
      </c>
      <c r="H1536" t="s">
        <v>13</v>
      </c>
      <c r="I1536">
        <v>0</v>
      </c>
      <c r="J1536" t="str">
        <f>CONCATENATE(Table2[[#This Row],[Work Experience]],"years")</f>
        <v>0years</v>
      </c>
      <c r="K1536" t="str">
        <f>CONCATENATE(Table2[[#This Row],[Family Size2]],"members")</f>
        <v>3members</v>
      </c>
      <c r="L1536" t="str">
        <f>CONCATENATE(Table2[[#This Row],[Family Size2]],"members")</f>
        <v>3members</v>
      </c>
      <c r="M1536">
        <v>3</v>
      </c>
    </row>
    <row r="1537" spans="1:13">
      <c r="A1537">
        <v>1536</v>
      </c>
      <c r="B1537" t="s">
        <v>11</v>
      </c>
      <c r="C1537">
        <v>60</v>
      </c>
      <c r="D1537" t="str" cm="1">
        <f t="array" ref="D1537">_xlfn.IFS(Table2[[#This Row],[Age]]&lt;=11,"Gen A",Table2[[#This Row],[Age]]&lt;=27,"Gen Z",Table2[[#This Row],[Age]]&lt;=43,"Millenials",Table2[[#This Row],[Age]]&lt;=59,"Gen X",Table2[[#This Row],[Age]]&lt;=78,"Baby Boomers",Table2[[#This Row],[Age]]&lt;=96,"Silent",Table2[[#This Row],[Age]]&gt;=97,"Greatest")</f>
        <v>Baby Boomers</v>
      </c>
      <c r="E1537" s="1">
        <v>99222</v>
      </c>
      <c r="F1537">
        <v>48</v>
      </c>
      <c r="G1537" t="str" cm="1">
        <f t="array" ref="G1537">_xlfn.IFS(Table2[[#This Row],[Spending Score (1-100)]]&lt;=25,"Low",Table2[[#This Row],[Spending Score (1-100)]]&lt;=50,"Medium",Table2[[#This Row],[Spending Score (1-100)]]&lt;=75,"High",Table2[[#This Row],[Spending Score (1-100)]]&lt;=100,"Very High")</f>
        <v>Medium</v>
      </c>
      <c r="H1537" t="s">
        <v>14</v>
      </c>
      <c r="I1537">
        <v>1</v>
      </c>
      <c r="J1537" t="str">
        <f>CONCATENATE(Table2[[#This Row],[Work Experience]],"years")</f>
        <v>1years</v>
      </c>
      <c r="K1537" t="str">
        <f>CONCATENATE(Table2[[#This Row],[Family Size2]],"members")</f>
        <v>6members</v>
      </c>
      <c r="L1537" t="str">
        <f>CONCATENATE(Table2[[#This Row],[Family Size2]],"members")</f>
        <v>6members</v>
      </c>
      <c r="M1537">
        <v>6</v>
      </c>
    </row>
    <row r="1538" spans="1:13">
      <c r="A1538">
        <v>1537</v>
      </c>
      <c r="B1538" t="s">
        <v>11</v>
      </c>
      <c r="C1538">
        <v>39</v>
      </c>
      <c r="D1538" t="str" cm="1">
        <f t="array" ref="D1538">_xlfn.IFS(Table2[[#This Row],[Age]]&lt;=11,"Gen A",Table2[[#This Row],[Age]]&lt;=27,"Gen Z",Table2[[#This Row],[Age]]&lt;=43,"Millenials",Table2[[#This Row],[Age]]&lt;=59,"Gen X",Table2[[#This Row],[Age]]&lt;=78,"Baby Boomers",Table2[[#This Row],[Age]]&lt;=96,"Silent",Table2[[#This Row],[Age]]&gt;=97,"Greatest")</f>
        <v>Millenials</v>
      </c>
      <c r="E1538" s="1">
        <v>70280</v>
      </c>
      <c r="F1538">
        <v>99</v>
      </c>
      <c r="G1538" t="str" cm="1">
        <f t="array" ref="G1538">_xlfn.IFS(Table2[[#This Row],[Spending Score (1-100)]]&lt;=25,"Low",Table2[[#This Row],[Spending Score (1-100)]]&lt;=50,"Medium",Table2[[#This Row],[Spending Score (1-100)]]&lt;=75,"High",Table2[[#This Row],[Spending Score (1-100)]]&lt;=100,"Very High")</f>
        <v>Very High</v>
      </c>
      <c r="H1538" t="s">
        <v>10</v>
      </c>
      <c r="I1538">
        <v>0</v>
      </c>
      <c r="J1538" t="str">
        <f>CONCATENATE(Table2[[#This Row],[Work Experience]],"years")</f>
        <v>0years</v>
      </c>
      <c r="K1538" t="str">
        <f>CONCATENATE(Table2[[#This Row],[Family Size2]],"members")</f>
        <v>4members</v>
      </c>
      <c r="L1538" t="str">
        <f>CONCATENATE(Table2[[#This Row],[Family Size2]],"members")</f>
        <v>4members</v>
      </c>
      <c r="M1538">
        <v>4</v>
      </c>
    </row>
    <row r="1539" spans="1:13">
      <c r="A1539">
        <v>1538</v>
      </c>
      <c r="B1539" t="s">
        <v>11</v>
      </c>
      <c r="C1539">
        <v>90</v>
      </c>
      <c r="D1539" t="str" cm="1">
        <f t="array" ref="D1539">_xlfn.IFS(Table2[[#This Row],[Age]]&lt;=11,"Gen A",Table2[[#This Row],[Age]]&lt;=27,"Gen Z",Table2[[#This Row],[Age]]&lt;=43,"Millenials",Table2[[#This Row],[Age]]&lt;=59,"Gen X",Table2[[#This Row],[Age]]&lt;=78,"Baby Boomers",Table2[[#This Row],[Age]]&lt;=96,"Silent",Table2[[#This Row],[Age]]&gt;=97,"Greatest")</f>
        <v>Silent</v>
      </c>
      <c r="E1539" s="1">
        <v>70030</v>
      </c>
      <c r="F1539">
        <v>86</v>
      </c>
      <c r="G1539" t="str" cm="1">
        <f t="array" ref="G1539">_xlfn.IFS(Table2[[#This Row],[Spending Score (1-100)]]&lt;=25,"Low",Table2[[#This Row],[Spending Score (1-100)]]&lt;=50,"Medium",Table2[[#This Row],[Spending Score (1-100)]]&lt;=75,"High",Table2[[#This Row],[Spending Score (1-100)]]&lt;=100,"Very High")</f>
        <v>Very High</v>
      </c>
      <c r="H1539" t="s">
        <v>9</v>
      </c>
      <c r="I1539">
        <v>1</v>
      </c>
      <c r="J1539" t="str">
        <f>CONCATENATE(Table2[[#This Row],[Work Experience]],"years")</f>
        <v>1years</v>
      </c>
      <c r="K1539" t="str">
        <f>CONCATENATE(Table2[[#This Row],[Family Size2]],"members")</f>
        <v>2members</v>
      </c>
      <c r="L1539" t="str">
        <f>CONCATENATE(Table2[[#This Row],[Family Size2]],"members")</f>
        <v>2members</v>
      </c>
      <c r="M1539">
        <v>2</v>
      </c>
    </row>
    <row r="1540" spans="1:13">
      <c r="A1540">
        <v>1539</v>
      </c>
      <c r="B1540" t="s">
        <v>11</v>
      </c>
      <c r="C1540">
        <v>83</v>
      </c>
      <c r="D1540" t="str" cm="1">
        <f t="array" ref="D1540">_xlfn.IFS(Table2[[#This Row],[Age]]&lt;=11,"Gen A",Table2[[#This Row],[Age]]&lt;=27,"Gen Z",Table2[[#This Row],[Age]]&lt;=43,"Millenials",Table2[[#This Row],[Age]]&lt;=59,"Gen X",Table2[[#This Row],[Age]]&lt;=78,"Baby Boomers",Table2[[#This Row],[Age]]&lt;=96,"Silent",Table2[[#This Row],[Age]]&gt;=97,"Greatest")</f>
        <v>Silent</v>
      </c>
      <c r="E1540" s="1">
        <v>102083</v>
      </c>
      <c r="F1540">
        <v>24</v>
      </c>
      <c r="G1540" t="str" cm="1">
        <f t="array" ref="G1540">_xlfn.IFS(Table2[[#This Row],[Spending Score (1-100)]]&lt;=25,"Low",Table2[[#This Row],[Spending Score (1-100)]]&lt;=50,"Medium",Table2[[#This Row],[Spending Score (1-100)]]&lt;=75,"High",Table2[[#This Row],[Spending Score (1-100)]]&lt;=100,"Very High")</f>
        <v>Low</v>
      </c>
      <c r="H1540" t="s">
        <v>14</v>
      </c>
      <c r="I1540">
        <v>1</v>
      </c>
      <c r="J1540" t="str">
        <f>CONCATENATE(Table2[[#This Row],[Work Experience]],"years")</f>
        <v>1years</v>
      </c>
      <c r="K1540" t="str">
        <f>CONCATENATE(Table2[[#This Row],[Family Size2]],"members")</f>
        <v>1members</v>
      </c>
      <c r="L1540" t="str">
        <f>CONCATENATE(Table2[[#This Row],[Family Size2]],"members")</f>
        <v>1members</v>
      </c>
      <c r="M1540">
        <v>1</v>
      </c>
    </row>
    <row r="1541" spans="1:13">
      <c r="A1541">
        <v>1540</v>
      </c>
      <c r="B1541" t="s">
        <v>11</v>
      </c>
      <c r="C1541">
        <v>92</v>
      </c>
      <c r="D1541" t="str" cm="1">
        <f t="array" ref="D1541">_xlfn.IFS(Table2[[#This Row],[Age]]&lt;=11,"Gen A",Table2[[#This Row],[Age]]&lt;=27,"Gen Z",Table2[[#This Row],[Age]]&lt;=43,"Millenials",Table2[[#This Row],[Age]]&lt;=59,"Gen X",Table2[[#This Row],[Age]]&lt;=78,"Baby Boomers",Table2[[#This Row],[Age]]&lt;=96,"Silent",Table2[[#This Row],[Age]]&gt;=97,"Greatest")</f>
        <v>Silent</v>
      </c>
      <c r="E1541" s="1">
        <v>166163</v>
      </c>
      <c r="F1541">
        <v>87</v>
      </c>
      <c r="G1541" t="str" cm="1">
        <f t="array" ref="G1541">_xlfn.IFS(Table2[[#This Row],[Spending Score (1-100)]]&lt;=25,"Low",Table2[[#This Row],[Spending Score (1-100)]]&lt;=50,"Medium",Table2[[#This Row],[Spending Score (1-100)]]&lt;=75,"High",Table2[[#This Row],[Spending Score (1-100)]]&lt;=100,"Very High")</f>
        <v>Very High</v>
      </c>
      <c r="H1541" t="s">
        <v>10</v>
      </c>
      <c r="I1541">
        <v>8</v>
      </c>
      <c r="J1541" t="str">
        <f>CONCATENATE(Table2[[#This Row],[Work Experience]],"years")</f>
        <v>8years</v>
      </c>
      <c r="K1541" t="str">
        <f>CONCATENATE(Table2[[#This Row],[Family Size2]],"members")</f>
        <v>5members</v>
      </c>
      <c r="L1541" t="str">
        <f>CONCATENATE(Table2[[#This Row],[Family Size2]],"members")</f>
        <v>5members</v>
      </c>
      <c r="M1541">
        <v>5</v>
      </c>
    </row>
    <row r="1542" spans="1:13">
      <c r="A1542">
        <v>1541</v>
      </c>
      <c r="B1542" t="s">
        <v>11</v>
      </c>
      <c r="C1542">
        <v>6</v>
      </c>
      <c r="D1542" t="str" cm="1">
        <f t="array" ref="D1542">_xlfn.IFS(Table2[[#This Row],[Age]]&lt;=11,"Gen A",Table2[[#This Row],[Age]]&lt;=27,"Gen Z",Table2[[#This Row],[Age]]&lt;=43,"Millenials",Table2[[#This Row],[Age]]&lt;=59,"Gen X",Table2[[#This Row],[Age]]&lt;=78,"Baby Boomers",Table2[[#This Row],[Age]]&lt;=96,"Silent",Table2[[#This Row],[Age]]&gt;=97,"Greatest")</f>
        <v>Gen A</v>
      </c>
      <c r="E1542" s="1">
        <v>182871</v>
      </c>
      <c r="F1542">
        <v>27</v>
      </c>
      <c r="G1542" t="str" cm="1">
        <f t="array" ref="G1542">_xlfn.IFS(Table2[[#This Row],[Spending Score (1-100)]]&lt;=25,"Low",Table2[[#This Row],[Spending Score (1-100)]]&lt;=50,"Medium",Table2[[#This Row],[Spending Score (1-100)]]&lt;=75,"High",Table2[[#This Row],[Spending Score (1-100)]]&lt;=100,"Very High")</f>
        <v>Medium</v>
      </c>
      <c r="H1542" t="s">
        <v>10</v>
      </c>
      <c r="I1542">
        <v>8</v>
      </c>
      <c r="J1542" t="str">
        <f>CONCATENATE(Table2[[#This Row],[Work Experience]],"years")</f>
        <v>8years</v>
      </c>
      <c r="K1542" t="str">
        <f>CONCATENATE(Table2[[#This Row],[Family Size2]],"members")</f>
        <v>6members</v>
      </c>
      <c r="L1542" t="str">
        <f>CONCATENATE(Table2[[#This Row],[Family Size2]],"members")</f>
        <v>6members</v>
      </c>
      <c r="M1542">
        <v>6</v>
      </c>
    </row>
    <row r="1543" spans="1:13">
      <c r="A1543">
        <v>1542</v>
      </c>
      <c r="B1543" t="s">
        <v>8</v>
      </c>
      <c r="C1543">
        <v>50</v>
      </c>
      <c r="D1543" t="str" cm="1">
        <f t="array" ref="D1543">_xlfn.IFS(Table2[[#This Row],[Age]]&lt;=11,"Gen A",Table2[[#This Row],[Age]]&lt;=27,"Gen Z",Table2[[#This Row],[Age]]&lt;=43,"Millenials",Table2[[#This Row],[Age]]&lt;=59,"Gen X",Table2[[#This Row],[Age]]&lt;=78,"Baby Boomers",Table2[[#This Row],[Age]]&lt;=96,"Silent",Table2[[#This Row],[Age]]&gt;=97,"Greatest")</f>
        <v>Gen X</v>
      </c>
      <c r="E1543" s="1">
        <v>187545</v>
      </c>
      <c r="F1543">
        <v>61</v>
      </c>
      <c r="G1543" t="str" cm="1">
        <f t="array" ref="G1543">_xlfn.IFS(Table2[[#This Row],[Spending Score (1-100)]]&lt;=25,"Low",Table2[[#This Row],[Spending Score (1-100)]]&lt;=50,"Medium",Table2[[#This Row],[Spending Score (1-100)]]&lt;=75,"High",Table2[[#This Row],[Spending Score (1-100)]]&lt;=100,"Very High")</f>
        <v>High</v>
      </c>
      <c r="H1543" t="s">
        <v>15</v>
      </c>
      <c r="I1543">
        <v>4</v>
      </c>
      <c r="J1543" t="str">
        <f>CONCATENATE(Table2[[#This Row],[Work Experience]],"years")</f>
        <v>4years</v>
      </c>
      <c r="K1543" t="str">
        <f>CONCATENATE(Table2[[#This Row],[Family Size2]],"members")</f>
        <v>6members</v>
      </c>
      <c r="L1543" t="str">
        <f>CONCATENATE(Table2[[#This Row],[Family Size2]],"members")</f>
        <v>6members</v>
      </c>
      <c r="M1543">
        <v>6</v>
      </c>
    </row>
    <row r="1544" spans="1:13">
      <c r="A1544">
        <v>1543</v>
      </c>
      <c r="B1544" t="s">
        <v>8</v>
      </c>
      <c r="C1544">
        <v>90</v>
      </c>
      <c r="D1544" t="str" cm="1">
        <f t="array" ref="D1544">_xlfn.IFS(Table2[[#This Row],[Age]]&lt;=11,"Gen A",Table2[[#This Row],[Age]]&lt;=27,"Gen Z",Table2[[#This Row],[Age]]&lt;=43,"Millenials",Table2[[#This Row],[Age]]&lt;=59,"Gen X",Table2[[#This Row],[Age]]&lt;=78,"Baby Boomers",Table2[[#This Row],[Age]]&lt;=96,"Silent",Table2[[#This Row],[Age]]&gt;=97,"Greatest")</f>
        <v>Silent</v>
      </c>
      <c r="E1544" s="1">
        <v>182910</v>
      </c>
      <c r="F1544">
        <v>86</v>
      </c>
      <c r="G1544" t="str" cm="1">
        <f t="array" ref="G1544">_xlfn.IFS(Table2[[#This Row],[Spending Score (1-100)]]&lt;=25,"Low",Table2[[#This Row],[Spending Score (1-100)]]&lt;=50,"Medium",Table2[[#This Row],[Spending Score (1-100)]]&lt;=75,"High",Table2[[#This Row],[Spending Score (1-100)]]&lt;=100,"Very High")</f>
        <v>Very High</v>
      </c>
      <c r="H1544" t="s">
        <v>13</v>
      </c>
      <c r="I1544">
        <v>0</v>
      </c>
      <c r="J1544" t="str">
        <f>CONCATENATE(Table2[[#This Row],[Work Experience]],"years")</f>
        <v>0years</v>
      </c>
      <c r="K1544" t="str">
        <f>CONCATENATE(Table2[[#This Row],[Family Size2]],"members")</f>
        <v>1members</v>
      </c>
      <c r="L1544" t="str">
        <f>CONCATENATE(Table2[[#This Row],[Family Size2]],"members")</f>
        <v>1members</v>
      </c>
      <c r="M1544">
        <v>1</v>
      </c>
    </row>
    <row r="1545" spans="1:13">
      <c r="A1545">
        <v>1544</v>
      </c>
      <c r="B1545" t="s">
        <v>11</v>
      </c>
      <c r="C1545">
        <v>13</v>
      </c>
      <c r="D1545" t="str" cm="1">
        <f t="array" ref="D1545">_xlfn.IFS(Table2[[#This Row],[Age]]&lt;=11,"Gen A",Table2[[#This Row],[Age]]&lt;=27,"Gen Z",Table2[[#This Row],[Age]]&lt;=43,"Millenials",Table2[[#This Row],[Age]]&lt;=59,"Gen X",Table2[[#This Row],[Age]]&lt;=78,"Baby Boomers",Table2[[#This Row],[Age]]&lt;=96,"Silent",Table2[[#This Row],[Age]]&gt;=97,"Greatest")</f>
        <v>Gen Z</v>
      </c>
      <c r="E1545" s="1">
        <v>174530</v>
      </c>
      <c r="F1545">
        <v>30</v>
      </c>
      <c r="G1545" t="str" cm="1">
        <f t="array" ref="G1545">_xlfn.IFS(Table2[[#This Row],[Spending Score (1-100)]]&lt;=25,"Low",Table2[[#This Row],[Spending Score (1-100)]]&lt;=50,"Medium",Table2[[#This Row],[Spending Score (1-100)]]&lt;=75,"High",Table2[[#This Row],[Spending Score (1-100)]]&lt;=100,"Very High")</f>
        <v>Medium</v>
      </c>
      <c r="H1545" t="s">
        <v>12</v>
      </c>
      <c r="I1545">
        <v>1</v>
      </c>
      <c r="J1545" t="str">
        <f>CONCATENATE(Table2[[#This Row],[Work Experience]],"years")</f>
        <v>1years</v>
      </c>
      <c r="K1545" t="str">
        <f>CONCATENATE(Table2[[#This Row],[Family Size2]],"members")</f>
        <v>6members</v>
      </c>
      <c r="L1545" t="str">
        <f>CONCATENATE(Table2[[#This Row],[Family Size2]],"members")</f>
        <v>6members</v>
      </c>
      <c r="M1545">
        <v>6</v>
      </c>
    </row>
    <row r="1546" spans="1:13">
      <c r="A1546">
        <v>1545</v>
      </c>
      <c r="B1546" t="s">
        <v>11</v>
      </c>
      <c r="C1546">
        <v>27</v>
      </c>
      <c r="D1546" t="str" cm="1">
        <f t="array" ref="D1546">_xlfn.IFS(Table2[[#This Row],[Age]]&lt;=11,"Gen A",Table2[[#This Row],[Age]]&lt;=27,"Gen Z",Table2[[#This Row],[Age]]&lt;=43,"Millenials",Table2[[#This Row],[Age]]&lt;=59,"Gen X",Table2[[#This Row],[Age]]&lt;=78,"Baby Boomers",Table2[[#This Row],[Age]]&lt;=96,"Silent",Table2[[#This Row],[Age]]&gt;=97,"Greatest")</f>
        <v>Gen Z</v>
      </c>
      <c r="E1546" s="1">
        <v>115438</v>
      </c>
      <c r="F1546">
        <v>37</v>
      </c>
      <c r="G1546" t="str" cm="1">
        <f t="array" ref="G1546">_xlfn.IFS(Table2[[#This Row],[Spending Score (1-100)]]&lt;=25,"Low",Table2[[#This Row],[Spending Score (1-100)]]&lt;=50,"Medium",Table2[[#This Row],[Spending Score (1-100)]]&lt;=75,"High",Table2[[#This Row],[Spending Score (1-100)]]&lt;=100,"Very High")</f>
        <v>Medium</v>
      </c>
      <c r="H1546" t="s">
        <v>14</v>
      </c>
      <c r="I1546">
        <v>0</v>
      </c>
      <c r="J1546" t="str">
        <f>CONCATENATE(Table2[[#This Row],[Work Experience]],"years")</f>
        <v>0years</v>
      </c>
      <c r="K1546" t="str">
        <f>CONCATENATE(Table2[[#This Row],[Family Size2]],"members")</f>
        <v>6members</v>
      </c>
      <c r="L1546" t="str">
        <f>CONCATENATE(Table2[[#This Row],[Family Size2]],"members")</f>
        <v>6members</v>
      </c>
      <c r="M1546">
        <v>6</v>
      </c>
    </row>
    <row r="1547" spans="1:13">
      <c r="A1547">
        <v>1546</v>
      </c>
      <c r="B1547" t="s">
        <v>11</v>
      </c>
      <c r="C1547">
        <v>93</v>
      </c>
      <c r="D1547" t="str" cm="1">
        <f t="array" ref="D1547">_xlfn.IFS(Table2[[#This Row],[Age]]&lt;=11,"Gen A",Table2[[#This Row],[Age]]&lt;=27,"Gen Z",Table2[[#This Row],[Age]]&lt;=43,"Millenials",Table2[[#This Row],[Age]]&lt;=59,"Gen X",Table2[[#This Row],[Age]]&lt;=78,"Baby Boomers",Table2[[#This Row],[Age]]&lt;=96,"Silent",Table2[[#This Row],[Age]]&gt;=97,"Greatest")</f>
        <v>Silent</v>
      </c>
      <c r="E1547" s="1">
        <v>93964</v>
      </c>
      <c r="F1547">
        <v>80</v>
      </c>
      <c r="G1547" t="str" cm="1">
        <f t="array" ref="G1547">_xlfn.IFS(Table2[[#This Row],[Spending Score (1-100)]]&lt;=25,"Low",Table2[[#This Row],[Spending Score (1-100)]]&lt;=50,"Medium",Table2[[#This Row],[Spending Score (1-100)]]&lt;=75,"High",Table2[[#This Row],[Spending Score (1-100)]]&lt;=100,"Very High")</f>
        <v>Very High</v>
      </c>
      <c r="H1547" t="s">
        <v>14</v>
      </c>
      <c r="I1547">
        <v>4</v>
      </c>
      <c r="J1547" t="str">
        <f>CONCATENATE(Table2[[#This Row],[Work Experience]],"years")</f>
        <v>4years</v>
      </c>
      <c r="K1547" t="str">
        <f>CONCATENATE(Table2[[#This Row],[Family Size2]],"members")</f>
        <v>2members</v>
      </c>
      <c r="L1547" t="str">
        <f>CONCATENATE(Table2[[#This Row],[Family Size2]],"members")</f>
        <v>2members</v>
      </c>
      <c r="M1547">
        <v>2</v>
      </c>
    </row>
    <row r="1548" spans="1:13">
      <c r="A1548">
        <v>1547</v>
      </c>
      <c r="B1548" t="s">
        <v>11</v>
      </c>
      <c r="C1548">
        <v>61</v>
      </c>
      <c r="D1548" t="str" cm="1">
        <f t="array" ref="D1548">_xlfn.IFS(Table2[[#This Row],[Age]]&lt;=11,"Gen A",Table2[[#This Row],[Age]]&lt;=27,"Gen Z",Table2[[#This Row],[Age]]&lt;=43,"Millenials",Table2[[#This Row],[Age]]&lt;=59,"Gen X",Table2[[#This Row],[Age]]&lt;=78,"Baby Boomers",Table2[[#This Row],[Age]]&lt;=96,"Silent",Table2[[#This Row],[Age]]&gt;=97,"Greatest")</f>
        <v>Baby Boomers</v>
      </c>
      <c r="E1548" s="1">
        <v>180341</v>
      </c>
      <c r="F1548">
        <v>75</v>
      </c>
      <c r="G1548" t="str" cm="1">
        <f t="array" ref="G1548">_xlfn.IFS(Table2[[#This Row],[Spending Score (1-100)]]&lt;=25,"Low",Table2[[#This Row],[Spending Score (1-100)]]&lt;=50,"Medium",Table2[[#This Row],[Spending Score (1-100)]]&lt;=75,"High",Table2[[#This Row],[Spending Score (1-100)]]&lt;=100,"Very High")</f>
        <v>High</v>
      </c>
      <c r="H1548" t="s">
        <v>9</v>
      </c>
      <c r="I1548">
        <v>1</v>
      </c>
      <c r="J1548" t="str">
        <f>CONCATENATE(Table2[[#This Row],[Work Experience]],"years")</f>
        <v>1years</v>
      </c>
      <c r="K1548" t="str">
        <f>CONCATENATE(Table2[[#This Row],[Family Size2]],"members")</f>
        <v>3members</v>
      </c>
      <c r="L1548" t="str">
        <f>CONCATENATE(Table2[[#This Row],[Family Size2]],"members")</f>
        <v>3members</v>
      </c>
      <c r="M1548">
        <v>3</v>
      </c>
    </row>
    <row r="1549" spans="1:13">
      <c r="A1549">
        <v>1548</v>
      </c>
      <c r="B1549" t="s">
        <v>11</v>
      </c>
      <c r="C1549">
        <v>91</v>
      </c>
      <c r="D1549" t="str" cm="1">
        <f t="array" ref="D1549">_xlfn.IFS(Table2[[#This Row],[Age]]&lt;=11,"Gen A",Table2[[#This Row],[Age]]&lt;=27,"Gen Z",Table2[[#This Row],[Age]]&lt;=43,"Millenials",Table2[[#This Row],[Age]]&lt;=59,"Gen X",Table2[[#This Row],[Age]]&lt;=78,"Baby Boomers",Table2[[#This Row],[Age]]&lt;=96,"Silent",Table2[[#This Row],[Age]]&gt;=97,"Greatest")</f>
        <v>Silent</v>
      </c>
      <c r="E1549" s="1">
        <v>107323</v>
      </c>
      <c r="F1549">
        <v>1</v>
      </c>
      <c r="G1549" t="str" cm="1">
        <f t="array" ref="G1549">_xlfn.IFS(Table2[[#This Row],[Spending Score (1-100)]]&lt;=25,"Low",Table2[[#This Row],[Spending Score (1-100)]]&lt;=50,"Medium",Table2[[#This Row],[Spending Score (1-100)]]&lt;=75,"High",Table2[[#This Row],[Spending Score (1-100)]]&lt;=100,"Very High")</f>
        <v>Low</v>
      </c>
      <c r="H1549" t="s">
        <v>10</v>
      </c>
      <c r="I1549">
        <v>7</v>
      </c>
      <c r="J1549" t="str">
        <f>CONCATENATE(Table2[[#This Row],[Work Experience]],"years")</f>
        <v>7years</v>
      </c>
      <c r="K1549" t="str">
        <f>CONCATENATE(Table2[[#This Row],[Family Size2]],"members")</f>
        <v>7members</v>
      </c>
      <c r="L1549" t="str">
        <f>CONCATENATE(Table2[[#This Row],[Family Size2]],"members")</f>
        <v>7members</v>
      </c>
      <c r="M1549">
        <v>7</v>
      </c>
    </row>
    <row r="1550" spans="1:13">
      <c r="A1550">
        <v>1549</v>
      </c>
      <c r="B1550" t="s">
        <v>11</v>
      </c>
      <c r="C1550">
        <v>79</v>
      </c>
      <c r="D1550" t="str" cm="1">
        <f t="array" ref="D1550">_xlfn.IFS(Table2[[#This Row],[Age]]&lt;=11,"Gen A",Table2[[#This Row],[Age]]&lt;=27,"Gen Z",Table2[[#This Row],[Age]]&lt;=43,"Millenials",Table2[[#This Row],[Age]]&lt;=59,"Gen X",Table2[[#This Row],[Age]]&lt;=78,"Baby Boomers",Table2[[#This Row],[Age]]&lt;=96,"Silent",Table2[[#This Row],[Age]]&gt;=97,"Greatest")</f>
        <v>Silent</v>
      </c>
      <c r="E1550" s="1">
        <v>119435</v>
      </c>
      <c r="F1550">
        <v>55</v>
      </c>
      <c r="G1550" t="str" cm="1">
        <f t="array" ref="G1550">_xlfn.IFS(Table2[[#This Row],[Spending Score (1-100)]]&lt;=25,"Low",Table2[[#This Row],[Spending Score (1-100)]]&lt;=50,"Medium",Table2[[#This Row],[Spending Score (1-100)]]&lt;=75,"High",Table2[[#This Row],[Spending Score (1-100)]]&lt;=100,"Very High")</f>
        <v>High</v>
      </c>
      <c r="H1550" t="s">
        <v>13</v>
      </c>
      <c r="I1550">
        <v>0</v>
      </c>
      <c r="J1550" t="str">
        <f>CONCATENATE(Table2[[#This Row],[Work Experience]],"years")</f>
        <v>0years</v>
      </c>
      <c r="K1550" t="str">
        <f>CONCATENATE(Table2[[#This Row],[Family Size2]],"members")</f>
        <v>7members</v>
      </c>
      <c r="L1550" t="str">
        <f>CONCATENATE(Table2[[#This Row],[Family Size2]],"members")</f>
        <v>7members</v>
      </c>
      <c r="M1550">
        <v>7</v>
      </c>
    </row>
    <row r="1551" spans="1:13">
      <c r="A1551">
        <v>1550</v>
      </c>
      <c r="B1551" t="s">
        <v>11</v>
      </c>
      <c r="C1551">
        <v>80</v>
      </c>
      <c r="D1551" t="str" cm="1">
        <f t="array" ref="D1551">_xlfn.IFS(Table2[[#This Row],[Age]]&lt;=11,"Gen A",Table2[[#This Row],[Age]]&lt;=27,"Gen Z",Table2[[#This Row],[Age]]&lt;=43,"Millenials",Table2[[#This Row],[Age]]&lt;=59,"Gen X",Table2[[#This Row],[Age]]&lt;=78,"Baby Boomers",Table2[[#This Row],[Age]]&lt;=96,"Silent",Table2[[#This Row],[Age]]&gt;=97,"Greatest")</f>
        <v>Silent</v>
      </c>
      <c r="E1551" s="1">
        <v>68341</v>
      </c>
      <c r="F1551">
        <v>22</v>
      </c>
      <c r="G1551" t="str" cm="1">
        <f t="array" ref="G1551">_xlfn.IFS(Table2[[#This Row],[Spending Score (1-100)]]&lt;=25,"Low",Table2[[#This Row],[Spending Score (1-100)]]&lt;=50,"Medium",Table2[[#This Row],[Spending Score (1-100)]]&lt;=75,"High",Table2[[#This Row],[Spending Score (1-100)]]&lt;=100,"Very High")</f>
        <v>Low</v>
      </c>
      <c r="H1551" t="s">
        <v>14</v>
      </c>
      <c r="I1551">
        <v>13</v>
      </c>
      <c r="J1551" t="str">
        <f>CONCATENATE(Table2[[#This Row],[Work Experience]],"years")</f>
        <v>13years</v>
      </c>
      <c r="K1551" t="str">
        <f>CONCATENATE(Table2[[#This Row],[Family Size2]],"members")</f>
        <v>6members</v>
      </c>
      <c r="L1551" t="str">
        <f>CONCATENATE(Table2[[#This Row],[Family Size2]],"members")</f>
        <v>6members</v>
      </c>
      <c r="M1551">
        <v>6</v>
      </c>
    </row>
    <row r="1552" spans="1:13">
      <c r="A1552">
        <v>1551</v>
      </c>
      <c r="B1552" t="s">
        <v>11</v>
      </c>
      <c r="C1552">
        <v>16</v>
      </c>
      <c r="D1552" t="str" cm="1">
        <f t="array" ref="D1552">_xlfn.IFS(Table2[[#This Row],[Age]]&lt;=11,"Gen A",Table2[[#This Row],[Age]]&lt;=27,"Gen Z",Table2[[#This Row],[Age]]&lt;=43,"Millenials",Table2[[#This Row],[Age]]&lt;=59,"Gen X",Table2[[#This Row],[Age]]&lt;=78,"Baby Boomers",Table2[[#This Row],[Age]]&lt;=96,"Silent",Table2[[#This Row],[Age]]&gt;=97,"Greatest")</f>
        <v>Gen Z</v>
      </c>
      <c r="E1552" s="1">
        <v>95365</v>
      </c>
      <c r="F1552">
        <v>60</v>
      </c>
      <c r="G1552" t="str" cm="1">
        <f t="array" ref="G1552">_xlfn.IFS(Table2[[#This Row],[Spending Score (1-100)]]&lt;=25,"Low",Table2[[#This Row],[Spending Score (1-100)]]&lt;=50,"Medium",Table2[[#This Row],[Spending Score (1-100)]]&lt;=75,"High",Table2[[#This Row],[Spending Score (1-100)]]&lt;=100,"Very High")</f>
        <v>High</v>
      </c>
      <c r="H1552" t="s">
        <v>14</v>
      </c>
      <c r="I1552">
        <v>0</v>
      </c>
      <c r="J1552" t="str">
        <f>CONCATENATE(Table2[[#This Row],[Work Experience]],"years")</f>
        <v>0years</v>
      </c>
      <c r="K1552" t="str">
        <f>CONCATENATE(Table2[[#This Row],[Family Size2]],"members")</f>
        <v>5members</v>
      </c>
      <c r="L1552" t="str">
        <f>CONCATENATE(Table2[[#This Row],[Family Size2]],"members")</f>
        <v>5members</v>
      </c>
      <c r="M1552">
        <v>5</v>
      </c>
    </row>
    <row r="1553" spans="1:13">
      <c r="A1553">
        <v>1552</v>
      </c>
      <c r="B1553" t="s">
        <v>8</v>
      </c>
      <c r="C1553">
        <v>4</v>
      </c>
      <c r="D1553" t="str" cm="1">
        <f t="array" ref="D1553">_xlfn.IFS(Table2[[#This Row],[Age]]&lt;=11,"Gen A",Table2[[#This Row],[Age]]&lt;=27,"Gen Z",Table2[[#This Row],[Age]]&lt;=43,"Millenials",Table2[[#This Row],[Age]]&lt;=59,"Gen X",Table2[[#This Row],[Age]]&lt;=78,"Baby Boomers",Table2[[#This Row],[Age]]&lt;=96,"Silent",Table2[[#This Row],[Age]]&gt;=97,"Greatest")</f>
        <v>Gen A</v>
      </c>
      <c r="E1553" s="1">
        <v>131093</v>
      </c>
      <c r="F1553">
        <v>79</v>
      </c>
      <c r="G1553" t="str" cm="1">
        <f t="array" ref="G1553">_xlfn.IFS(Table2[[#This Row],[Spending Score (1-100)]]&lt;=25,"Low",Table2[[#This Row],[Spending Score (1-100)]]&lt;=50,"Medium",Table2[[#This Row],[Spending Score (1-100)]]&lt;=75,"High",Table2[[#This Row],[Spending Score (1-100)]]&lt;=100,"Very High")</f>
        <v>Very High</v>
      </c>
      <c r="H1553" t="s">
        <v>12</v>
      </c>
      <c r="I1553">
        <v>1</v>
      </c>
      <c r="J1553" t="str">
        <f>CONCATENATE(Table2[[#This Row],[Work Experience]],"years")</f>
        <v>1years</v>
      </c>
      <c r="K1553" t="str">
        <f>CONCATENATE(Table2[[#This Row],[Family Size2]],"members")</f>
        <v>7members</v>
      </c>
      <c r="L1553" t="str">
        <f>CONCATENATE(Table2[[#This Row],[Family Size2]],"members")</f>
        <v>7members</v>
      </c>
      <c r="M1553">
        <v>7</v>
      </c>
    </row>
    <row r="1554" spans="1:13">
      <c r="A1554">
        <v>1553</v>
      </c>
      <c r="B1554" t="s">
        <v>11</v>
      </c>
      <c r="C1554">
        <v>34</v>
      </c>
      <c r="D1554" t="str" cm="1">
        <f t="array" ref="D1554">_xlfn.IFS(Table2[[#This Row],[Age]]&lt;=11,"Gen A",Table2[[#This Row],[Age]]&lt;=27,"Gen Z",Table2[[#This Row],[Age]]&lt;=43,"Millenials",Table2[[#This Row],[Age]]&lt;=59,"Gen X",Table2[[#This Row],[Age]]&lt;=78,"Baby Boomers",Table2[[#This Row],[Age]]&lt;=96,"Silent",Table2[[#This Row],[Age]]&gt;=97,"Greatest")</f>
        <v>Millenials</v>
      </c>
      <c r="E1554" s="1">
        <v>100621</v>
      </c>
      <c r="F1554">
        <v>3</v>
      </c>
      <c r="G1554" t="str" cm="1">
        <f t="array" ref="G1554">_xlfn.IFS(Table2[[#This Row],[Spending Score (1-100)]]&lt;=25,"Low",Table2[[#This Row],[Spending Score (1-100)]]&lt;=50,"Medium",Table2[[#This Row],[Spending Score (1-100)]]&lt;=75,"High",Table2[[#This Row],[Spending Score (1-100)]]&lt;=100,"Very High")</f>
        <v>Low</v>
      </c>
      <c r="H1554" t="s">
        <v>9</v>
      </c>
      <c r="I1554">
        <v>1</v>
      </c>
      <c r="J1554" t="str">
        <f>CONCATENATE(Table2[[#This Row],[Work Experience]],"years")</f>
        <v>1years</v>
      </c>
      <c r="K1554" t="str">
        <f>CONCATENATE(Table2[[#This Row],[Family Size2]],"members")</f>
        <v>1members</v>
      </c>
      <c r="L1554" t="str">
        <f>CONCATENATE(Table2[[#This Row],[Family Size2]],"members")</f>
        <v>1members</v>
      </c>
      <c r="M1554">
        <v>1</v>
      </c>
    </row>
    <row r="1555" spans="1:13">
      <c r="A1555">
        <v>1554</v>
      </c>
      <c r="B1555" t="s">
        <v>8</v>
      </c>
      <c r="C1555">
        <v>10</v>
      </c>
      <c r="D1555" t="str" cm="1">
        <f t="array" ref="D1555">_xlfn.IFS(Table2[[#This Row],[Age]]&lt;=11,"Gen A",Table2[[#This Row],[Age]]&lt;=27,"Gen Z",Table2[[#This Row],[Age]]&lt;=43,"Millenials",Table2[[#This Row],[Age]]&lt;=59,"Gen X",Table2[[#This Row],[Age]]&lt;=78,"Baby Boomers",Table2[[#This Row],[Age]]&lt;=96,"Silent",Table2[[#This Row],[Age]]&gt;=97,"Greatest")</f>
        <v>Gen A</v>
      </c>
      <c r="E1555" s="1">
        <v>116521</v>
      </c>
      <c r="F1555">
        <v>47</v>
      </c>
      <c r="G1555" t="str" cm="1">
        <f t="array" ref="G1555">_xlfn.IFS(Table2[[#This Row],[Spending Score (1-100)]]&lt;=25,"Low",Table2[[#This Row],[Spending Score (1-100)]]&lt;=50,"Medium",Table2[[#This Row],[Spending Score (1-100)]]&lt;=75,"High",Table2[[#This Row],[Spending Score (1-100)]]&lt;=100,"Very High")</f>
        <v>Medium</v>
      </c>
      <c r="H1555" t="s">
        <v>16</v>
      </c>
      <c r="I1555">
        <v>0</v>
      </c>
      <c r="J1555" t="str">
        <f>CONCATENATE(Table2[[#This Row],[Work Experience]],"years")</f>
        <v>0years</v>
      </c>
      <c r="K1555" t="str">
        <f>CONCATENATE(Table2[[#This Row],[Family Size2]],"members")</f>
        <v>2members</v>
      </c>
      <c r="L1555" t="str">
        <f>CONCATENATE(Table2[[#This Row],[Family Size2]],"members")</f>
        <v>2members</v>
      </c>
      <c r="M1555">
        <v>2</v>
      </c>
    </row>
    <row r="1556" spans="1:13">
      <c r="A1556">
        <v>1555</v>
      </c>
      <c r="B1556" t="s">
        <v>11</v>
      </c>
      <c r="C1556">
        <v>3</v>
      </c>
      <c r="D1556" t="str" cm="1">
        <f t="array" ref="D1556">_xlfn.IFS(Table2[[#This Row],[Age]]&lt;=11,"Gen A",Table2[[#This Row],[Age]]&lt;=27,"Gen Z",Table2[[#This Row],[Age]]&lt;=43,"Millenials",Table2[[#This Row],[Age]]&lt;=59,"Gen X",Table2[[#This Row],[Age]]&lt;=78,"Baby Boomers",Table2[[#This Row],[Age]]&lt;=96,"Silent",Table2[[#This Row],[Age]]&gt;=97,"Greatest")</f>
        <v>Gen A</v>
      </c>
      <c r="E1556" s="1">
        <v>136316</v>
      </c>
      <c r="F1556">
        <v>88</v>
      </c>
      <c r="G1556" t="str" cm="1">
        <f t="array" ref="G1556">_xlfn.IFS(Table2[[#This Row],[Spending Score (1-100)]]&lt;=25,"Low",Table2[[#This Row],[Spending Score (1-100)]]&lt;=50,"Medium",Table2[[#This Row],[Spending Score (1-100)]]&lt;=75,"High",Table2[[#This Row],[Spending Score (1-100)]]&lt;=100,"Very High")</f>
        <v>Very High</v>
      </c>
      <c r="H1556" t="s">
        <v>15</v>
      </c>
      <c r="I1556">
        <v>0</v>
      </c>
      <c r="J1556" t="str">
        <f>CONCATENATE(Table2[[#This Row],[Work Experience]],"years")</f>
        <v>0years</v>
      </c>
      <c r="K1556" t="str">
        <f>CONCATENATE(Table2[[#This Row],[Family Size2]],"members")</f>
        <v>3members</v>
      </c>
      <c r="L1556" t="str">
        <f>CONCATENATE(Table2[[#This Row],[Family Size2]],"members")</f>
        <v>3members</v>
      </c>
      <c r="M1556">
        <v>3</v>
      </c>
    </row>
    <row r="1557" spans="1:13">
      <c r="A1557">
        <v>1556</v>
      </c>
      <c r="B1557" t="s">
        <v>8</v>
      </c>
      <c r="C1557">
        <v>96</v>
      </c>
      <c r="D1557" t="str" cm="1">
        <f t="array" ref="D1557">_xlfn.IFS(Table2[[#This Row],[Age]]&lt;=11,"Gen A",Table2[[#This Row],[Age]]&lt;=27,"Gen Z",Table2[[#This Row],[Age]]&lt;=43,"Millenials",Table2[[#This Row],[Age]]&lt;=59,"Gen X",Table2[[#This Row],[Age]]&lt;=78,"Baby Boomers",Table2[[#This Row],[Age]]&lt;=96,"Silent",Table2[[#This Row],[Age]]&gt;=97,"Greatest")</f>
        <v>Silent</v>
      </c>
      <c r="E1557" s="1">
        <v>172039</v>
      </c>
      <c r="F1557">
        <v>51</v>
      </c>
      <c r="G1557" t="str" cm="1">
        <f t="array" ref="G1557">_xlfn.IFS(Table2[[#This Row],[Spending Score (1-100)]]&lt;=25,"Low",Table2[[#This Row],[Spending Score (1-100)]]&lt;=50,"Medium",Table2[[#This Row],[Spending Score (1-100)]]&lt;=75,"High",Table2[[#This Row],[Spending Score (1-100)]]&lt;=100,"Very High")</f>
        <v>High</v>
      </c>
      <c r="H1557" t="s">
        <v>12</v>
      </c>
      <c r="I1557">
        <v>0</v>
      </c>
      <c r="J1557" t="str">
        <f>CONCATENATE(Table2[[#This Row],[Work Experience]],"years")</f>
        <v>0years</v>
      </c>
      <c r="K1557" t="str">
        <f>CONCATENATE(Table2[[#This Row],[Family Size2]],"members")</f>
        <v>6members</v>
      </c>
      <c r="L1557" t="str">
        <f>CONCATENATE(Table2[[#This Row],[Family Size2]],"members")</f>
        <v>6members</v>
      </c>
      <c r="M1557">
        <v>6</v>
      </c>
    </row>
    <row r="1558" spans="1:13">
      <c r="A1558">
        <v>1557</v>
      </c>
      <c r="B1558" t="s">
        <v>11</v>
      </c>
      <c r="C1558">
        <v>48</v>
      </c>
      <c r="D1558" t="str" cm="1">
        <f t="array" ref="D1558">_xlfn.IFS(Table2[[#This Row],[Age]]&lt;=11,"Gen A",Table2[[#This Row],[Age]]&lt;=27,"Gen Z",Table2[[#This Row],[Age]]&lt;=43,"Millenials",Table2[[#This Row],[Age]]&lt;=59,"Gen X",Table2[[#This Row],[Age]]&lt;=78,"Baby Boomers",Table2[[#This Row],[Age]]&lt;=96,"Silent",Table2[[#This Row],[Age]]&gt;=97,"Greatest")</f>
        <v>Gen X</v>
      </c>
      <c r="E1558" s="1">
        <v>70844</v>
      </c>
      <c r="F1558">
        <v>22</v>
      </c>
      <c r="G1558" t="str" cm="1">
        <f t="array" ref="G1558">_xlfn.IFS(Table2[[#This Row],[Spending Score (1-100)]]&lt;=25,"Low",Table2[[#This Row],[Spending Score (1-100)]]&lt;=50,"Medium",Table2[[#This Row],[Spending Score (1-100)]]&lt;=75,"High",Table2[[#This Row],[Spending Score (1-100)]]&lt;=100,"Very High")</f>
        <v>Low</v>
      </c>
      <c r="H1558" t="s">
        <v>13</v>
      </c>
      <c r="I1558">
        <v>0</v>
      </c>
      <c r="J1558" t="str">
        <f>CONCATENATE(Table2[[#This Row],[Work Experience]],"years")</f>
        <v>0years</v>
      </c>
      <c r="K1558" t="str">
        <f>CONCATENATE(Table2[[#This Row],[Family Size2]],"members")</f>
        <v>3members</v>
      </c>
      <c r="L1558" t="str">
        <f>CONCATENATE(Table2[[#This Row],[Family Size2]],"members")</f>
        <v>3members</v>
      </c>
      <c r="M1558">
        <v>3</v>
      </c>
    </row>
    <row r="1559" spans="1:13">
      <c r="A1559">
        <v>1558</v>
      </c>
      <c r="B1559" t="s">
        <v>8</v>
      </c>
      <c r="C1559">
        <v>25</v>
      </c>
      <c r="D1559" t="str" cm="1">
        <f t="array" ref="D1559">_xlfn.IFS(Table2[[#This Row],[Age]]&lt;=11,"Gen A",Table2[[#This Row],[Age]]&lt;=27,"Gen Z",Table2[[#This Row],[Age]]&lt;=43,"Millenials",Table2[[#This Row],[Age]]&lt;=59,"Gen X",Table2[[#This Row],[Age]]&lt;=78,"Baby Boomers",Table2[[#This Row],[Age]]&lt;=96,"Silent",Table2[[#This Row],[Age]]&gt;=97,"Greatest")</f>
        <v>Gen Z</v>
      </c>
      <c r="E1559" s="1">
        <v>100964</v>
      </c>
      <c r="F1559">
        <v>96</v>
      </c>
      <c r="G1559" t="str" cm="1">
        <f t="array" ref="G1559">_xlfn.IFS(Table2[[#This Row],[Spending Score (1-100)]]&lt;=25,"Low",Table2[[#This Row],[Spending Score (1-100)]]&lt;=50,"Medium",Table2[[#This Row],[Spending Score (1-100)]]&lt;=75,"High",Table2[[#This Row],[Spending Score (1-100)]]&lt;=100,"Very High")</f>
        <v>Very High</v>
      </c>
      <c r="H1559" t="s">
        <v>18</v>
      </c>
      <c r="I1559">
        <v>1</v>
      </c>
      <c r="J1559" t="str">
        <f>CONCATENATE(Table2[[#This Row],[Work Experience]],"years")</f>
        <v>1years</v>
      </c>
      <c r="K1559" t="str">
        <f>CONCATENATE(Table2[[#This Row],[Family Size2]],"members")</f>
        <v>6members</v>
      </c>
      <c r="L1559" t="str">
        <f>CONCATENATE(Table2[[#This Row],[Family Size2]],"members")</f>
        <v>6members</v>
      </c>
      <c r="M1559">
        <v>6</v>
      </c>
    </row>
    <row r="1560" spans="1:13">
      <c r="A1560">
        <v>1559</v>
      </c>
      <c r="B1560" t="s">
        <v>11</v>
      </c>
      <c r="C1560">
        <v>98</v>
      </c>
      <c r="D1560" t="str" cm="1">
        <f t="array" ref="D1560">_xlfn.IFS(Table2[[#This Row],[Age]]&lt;=11,"Gen A",Table2[[#This Row],[Age]]&lt;=27,"Gen Z",Table2[[#This Row],[Age]]&lt;=43,"Millenials",Table2[[#This Row],[Age]]&lt;=59,"Gen X",Table2[[#This Row],[Age]]&lt;=78,"Baby Boomers",Table2[[#This Row],[Age]]&lt;=96,"Silent",Table2[[#This Row],[Age]]&gt;=97,"Greatest")</f>
        <v>Greatest</v>
      </c>
      <c r="E1560" s="1">
        <v>128037</v>
      </c>
      <c r="F1560">
        <v>39</v>
      </c>
      <c r="G1560" t="str" cm="1">
        <f t="array" ref="G1560">_xlfn.IFS(Table2[[#This Row],[Spending Score (1-100)]]&lt;=25,"Low",Table2[[#This Row],[Spending Score (1-100)]]&lt;=50,"Medium",Table2[[#This Row],[Spending Score (1-100)]]&lt;=75,"High",Table2[[#This Row],[Spending Score (1-100)]]&lt;=100,"Very High")</f>
        <v>Medium</v>
      </c>
      <c r="H1560" t="s">
        <v>13</v>
      </c>
      <c r="I1560">
        <v>6</v>
      </c>
      <c r="J1560" t="str">
        <f>CONCATENATE(Table2[[#This Row],[Work Experience]],"years")</f>
        <v>6years</v>
      </c>
      <c r="K1560" t="str">
        <f>CONCATENATE(Table2[[#This Row],[Family Size2]],"members")</f>
        <v>2members</v>
      </c>
      <c r="L1560" t="str">
        <f>CONCATENATE(Table2[[#This Row],[Family Size2]],"members")</f>
        <v>2members</v>
      </c>
      <c r="M1560">
        <v>2</v>
      </c>
    </row>
    <row r="1561" spans="1:13">
      <c r="A1561">
        <v>1560</v>
      </c>
      <c r="B1561" t="s">
        <v>8</v>
      </c>
      <c r="C1561">
        <v>84</v>
      </c>
      <c r="D1561" t="str" cm="1">
        <f t="array" ref="D1561">_xlfn.IFS(Table2[[#This Row],[Age]]&lt;=11,"Gen A",Table2[[#This Row],[Age]]&lt;=27,"Gen Z",Table2[[#This Row],[Age]]&lt;=43,"Millenials",Table2[[#This Row],[Age]]&lt;=59,"Gen X",Table2[[#This Row],[Age]]&lt;=78,"Baby Boomers",Table2[[#This Row],[Age]]&lt;=96,"Silent",Table2[[#This Row],[Age]]&gt;=97,"Greatest")</f>
        <v>Silent</v>
      </c>
      <c r="E1561" s="1">
        <v>97081</v>
      </c>
      <c r="F1561">
        <v>75</v>
      </c>
      <c r="G1561" t="str" cm="1">
        <f t="array" ref="G1561">_xlfn.IFS(Table2[[#This Row],[Spending Score (1-100)]]&lt;=25,"Low",Table2[[#This Row],[Spending Score (1-100)]]&lt;=50,"Medium",Table2[[#This Row],[Spending Score (1-100)]]&lt;=75,"High",Table2[[#This Row],[Spending Score (1-100)]]&lt;=100,"Very High")</f>
        <v>High</v>
      </c>
      <c r="H1561" t="s">
        <v>18</v>
      </c>
      <c r="I1561">
        <v>1</v>
      </c>
      <c r="J1561" t="str">
        <f>CONCATENATE(Table2[[#This Row],[Work Experience]],"years")</f>
        <v>1years</v>
      </c>
      <c r="K1561" t="str">
        <f>CONCATENATE(Table2[[#This Row],[Family Size2]],"members")</f>
        <v>3members</v>
      </c>
      <c r="L1561" t="str">
        <f>CONCATENATE(Table2[[#This Row],[Family Size2]],"members")</f>
        <v>3members</v>
      </c>
      <c r="M1561">
        <v>3</v>
      </c>
    </row>
    <row r="1562" spans="1:13">
      <c r="A1562">
        <v>1561</v>
      </c>
      <c r="B1562" t="s">
        <v>8</v>
      </c>
      <c r="C1562">
        <v>88</v>
      </c>
      <c r="D1562" t="str" cm="1">
        <f t="array" ref="D1562">_xlfn.IFS(Table2[[#This Row],[Age]]&lt;=11,"Gen A",Table2[[#This Row],[Age]]&lt;=27,"Gen Z",Table2[[#This Row],[Age]]&lt;=43,"Millenials",Table2[[#This Row],[Age]]&lt;=59,"Gen X",Table2[[#This Row],[Age]]&lt;=78,"Baby Boomers",Table2[[#This Row],[Age]]&lt;=96,"Silent",Table2[[#This Row],[Age]]&gt;=97,"Greatest")</f>
        <v>Silent</v>
      </c>
      <c r="E1562" s="1">
        <v>92247</v>
      </c>
      <c r="F1562">
        <v>47</v>
      </c>
      <c r="G1562" t="str" cm="1">
        <f t="array" ref="G1562">_xlfn.IFS(Table2[[#This Row],[Spending Score (1-100)]]&lt;=25,"Low",Table2[[#This Row],[Spending Score (1-100)]]&lt;=50,"Medium",Table2[[#This Row],[Spending Score (1-100)]]&lt;=75,"High",Table2[[#This Row],[Spending Score (1-100)]]&lt;=100,"Very High")</f>
        <v>Medium</v>
      </c>
      <c r="H1562" t="s">
        <v>18</v>
      </c>
      <c r="I1562">
        <v>0</v>
      </c>
      <c r="J1562" t="str">
        <f>CONCATENATE(Table2[[#This Row],[Work Experience]],"years")</f>
        <v>0years</v>
      </c>
      <c r="K1562" t="str">
        <f>CONCATENATE(Table2[[#This Row],[Family Size2]],"members")</f>
        <v>6members</v>
      </c>
      <c r="L1562" t="str">
        <f>CONCATENATE(Table2[[#This Row],[Family Size2]],"members")</f>
        <v>6members</v>
      </c>
      <c r="M1562">
        <v>6</v>
      </c>
    </row>
    <row r="1563" spans="1:13">
      <c r="A1563">
        <v>1562</v>
      </c>
      <c r="B1563" t="s">
        <v>8</v>
      </c>
      <c r="C1563">
        <v>86</v>
      </c>
      <c r="D1563" t="str" cm="1">
        <f t="array" ref="D1563">_xlfn.IFS(Table2[[#This Row],[Age]]&lt;=11,"Gen A",Table2[[#This Row],[Age]]&lt;=27,"Gen Z",Table2[[#This Row],[Age]]&lt;=43,"Millenials",Table2[[#This Row],[Age]]&lt;=59,"Gen X",Table2[[#This Row],[Age]]&lt;=78,"Baby Boomers",Table2[[#This Row],[Age]]&lt;=96,"Silent",Table2[[#This Row],[Age]]&gt;=97,"Greatest")</f>
        <v>Silent</v>
      </c>
      <c r="E1563" s="1">
        <v>129914</v>
      </c>
      <c r="F1563">
        <v>92</v>
      </c>
      <c r="G1563" t="str" cm="1">
        <f t="array" ref="G1563">_xlfn.IFS(Table2[[#This Row],[Spending Score (1-100)]]&lt;=25,"Low",Table2[[#This Row],[Spending Score (1-100)]]&lt;=50,"Medium",Table2[[#This Row],[Spending Score (1-100)]]&lt;=75,"High",Table2[[#This Row],[Spending Score (1-100)]]&lt;=100,"Very High")</f>
        <v>Very High</v>
      </c>
      <c r="H1563" t="s">
        <v>14</v>
      </c>
      <c r="I1563">
        <v>1</v>
      </c>
      <c r="J1563" t="str">
        <f>CONCATENATE(Table2[[#This Row],[Work Experience]],"years")</f>
        <v>1years</v>
      </c>
      <c r="K1563" t="str">
        <f>CONCATENATE(Table2[[#This Row],[Family Size2]],"members")</f>
        <v>3members</v>
      </c>
      <c r="L1563" t="str">
        <f>CONCATENATE(Table2[[#This Row],[Family Size2]],"members")</f>
        <v>3members</v>
      </c>
      <c r="M1563">
        <v>3</v>
      </c>
    </row>
    <row r="1564" spans="1:13">
      <c r="A1564">
        <v>1563</v>
      </c>
      <c r="B1564" t="s">
        <v>11</v>
      </c>
      <c r="C1564">
        <v>0</v>
      </c>
      <c r="D1564" t="str" cm="1">
        <f t="array" ref="D1564">_xlfn.IFS(Table2[[#This Row],[Age]]&lt;=11,"Gen A",Table2[[#This Row],[Age]]&lt;=27,"Gen Z",Table2[[#This Row],[Age]]&lt;=43,"Millenials",Table2[[#This Row],[Age]]&lt;=59,"Gen X",Table2[[#This Row],[Age]]&lt;=78,"Baby Boomers",Table2[[#This Row],[Age]]&lt;=96,"Silent",Table2[[#This Row],[Age]]&gt;=97,"Greatest")</f>
        <v>Gen A</v>
      </c>
      <c r="E1564" s="1">
        <v>94014</v>
      </c>
      <c r="F1564">
        <v>53</v>
      </c>
      <c r="G1564" t="str" cm="1">
        <f t="array" ref="G1564">_xlfn.IFS(Table2[[#This Row],[Spending Score (1-100)]]&lt;=25,"Low",Table2[[#This Row],[Spending Score (1-100)]]&lt;=50,"Medium",Table2[[#This Row],[Spending Score (1-100)]]&lt;=75,"High",Table2[[#This Row],[Spending Score (1-100)]]&lt;=100,"Very High")</f>
        <v>High</v>
      </c>
      <c r="H1564" t="s">
        <v>10</v>
      </c>
      <c r="I1564">
        <v>9</v>
      </c>
      <c r="J1564" t="str">
        <f>CONCATENATE(Table2[[#This Row],[Work Experience]],"years")</f>
        <v>9years</v>
      </c>
      <c r="K1564" t="str">
        <f>CONCATENATE(Table2[[#This Row],[Family Size2]],"members")</f>
        <v>5members</v>
      </c>
      <c r="L1564" t="str">
        <f>CONCATENATE(Table2[[#This Row],[Family Size2]],"members")</f>
        <v>5members</v>
      </c>
      <c r="M1564">
        <v>5</v>
      </c>
    </row>
    <row r="1565" spans="1:13">
      <c r="A1565">
        <v>1564</v>
      </c>
      <c r="B1565" t="s">
        <v>11</v>
      </c>
      <c r="C1565">
        <v>56</v>
      </c>
      <c r="D1565" t="str" cm="1">
        <f t="array" ref="D1565">_xlfn.IFS(Table2[[#This Row],[Age]]&lt;=11,"Gen A",Table2[[#This Row],[Age]]&lt;=27,"Gen Z",Table2[[#This Row],[Age]]&lt;=43,"Millenials",Table2[[#This Row],[Age]]&lt;=59,"Gen X",Table2[[#This Row],[Age]]&lt;=78,"Baby Boomers",Table2[[#This Row],[Age]]&lt;=96,"Silent",Table2[[#This Row],[Age]]&gt;=97,"Greatest")</f>
        <v>Gen X</v>
      </c>
      <c r="E1565" s="1">
        <v>138864</v>
      </c>
      <c r="F1565">
        <v>93</v>
      </c>
      <c r="G1565" t="str" cm="1">
        <f t="array" ref="G1565">_xlfn.IFS(Table2[[#This Row],[Spending Score (1-100)]]&lt;=25,"Low",Table2[[#This Row],[Spending Score (1-100)]]&lt;=50,"Medium",Table2[[#This Row],[Spending Score (1-100)]]&lt;=75,"High",Table2[[#This Row],[Spending Score (1-100)]]&lt;=100,"Very High")</f>
        <v>Very High</v>
      </c>
      <c r="H1565" t="s">
        <v>14</v>
      </c>
      <c r="I1565">
        <v>0</v>
      </c>
      <c r="J1565" t="str">
        <f>CONCATENATE(Table2[[#This Row],[Work Experience]],"years")</f>
        <v>0years</v>
      </c>
      <c r="K1565" t="str">
        <f>CONCATENATE(Table2[[#This Row],[Family Size2]],"members")</f>
        <v>5members</v>
      </c>
      <c r="L1565" t="str">
        <f>CONCATENATE(Table2[[#This Row],[Family Size2]],"members")</f>
        <v>5members</v>
      </c>
      <c r="M1565">
        <v>5</v>
      </c>
    </row>
    <row r="1566" spans="1:13">
      <c r="A1566">
        <v>1565</v>
      </c>
      <c r="B1566" t="s">
        <v>8</v>
      </c>
      <c r="C1566">
        <v>6</v>
      </c>
      <c r="D1566" t="str" cm="1">
        <f t="array" ref="D1566">_xlfn.IFS(Table2[[#This Row],[Age]]&lt;=11,"Gen A",Table2[[#This Row],[Age]]&lt;=27,"Gen Z",Table2[[#This Row],[Age]]&lt;=43,"Millenials",Table2[[#This Row],[Age]]&lt;=59,"Gen X",Table2[[#This Row],[Age]]&lt;=78,"Baby Boomers",Table2[[#This Row],[Age]]&lt;=96,"Silent",Table2[[#This Row],[Age]]&gt;=97,"Greatest")</f>
        <v>Gen A</v>
      </c>
      <c r="E1566" s="1">
        <v>169299</v>
      </c>
      <c r="F1566">
        <v>46</v>
      </c>
      <c r="G1566" t="str" cm="1">
        <f t="array" ref="G1566">_xlfn.IFS(Table2[[#This Row],[Spending Score (1-100)]]&lt;=25,"Low",Table2[[#This Row],[Spending Score (1-100)]]&lt;=50,"Medium",Table2[[#This Row],[Spending Score (1-100)]]&lt;=75,"High",Table2[[#This Row],[Spending Score (1-100)]]&lt;=100,"Very High")</f>
        <v>Medium</v>
      </c>
      <c r="H1566" t="s">
        <v>18</v>
      </c>
      <c r="I1566">
        <v>1</v>
      </c>
      <c r="J1566" t="str">
        <f>CONCATENATE(Table2[[#This Row],[Work Experience]],"years")</f>
        <v>1years</v>
      </c>
      <c r="K1566" t="str">
        <f>CONCATENATE(Table2[[#This Row],[Family Size2]],"members")</f>
        <v>5members</v>
      </c>
      <c r="L1566" t="str">
        <f>CONCATENATE(Table2[[#This Row],[Family Size2]],"members")</f>
        <v>5members</v>
      </c>
      <c r="M1566">
        <v>5</v>
      </c>
    </row>
    <row r="1567" spans="1:13">
      <c r="A1567">
        <v>1566</v>
      </c>
      <c r="B1567" t="s">
        <v>8</v>
      </c>
      <c r="C1567">
        <v>2</v>
      </c>
      <c r="D1567" t="str" cm="1">
        <f t="array" ref="D1567">_xlfn.IFS(Table2[[#This Row],[Age]]&lt;=11,"Gen A",Table2[[#This Row],[Age]]&lt;=27,"Gen Z",Table2[[#This Row],[Age]]&lt;=43,"Millenials",Table2[[#This Row],[Age]]&lt;=59,"Gen X",Table2[[#This Row],[Age]]&lt;=78,"Baby Boomers",Table2[[#This Row],[Age]]&lt;=96,"Silent",Table2[[#This Row],[Age]]&gt;=97,"Greatest")</f>
        <v>Gen A</v>
      </c>
      <c r="E1567" s="1">
        <v>119097</v>
      </c>
      <c r="F1567">
        <v>40</v>
      </c>
      <c r="G1567" t="str" cm="1">
        <f t="array" ref="G1567">_xlfn.IFS(Table2[[#This Row],[Spending Score (1-100)]]&lt;=25,"Low",Table2[[#This Row],[Spending Score (1-100)]]&lt;=50,"Medium",Table2[[#This Row],[Spending Score (1-100)]]&lt;=75,"High",Table2[[#This Row],[Spending Score (1-100)]]&lt;=100,"Very High")</f>
        <v>Medium</v>
      </c>
      <c r="H1567" t="s">
        <v>9</v>
      </c>
      <c r="I1567">
        <v>0</v>
      </c>
      <c r="J1567" t="str">
        <f>CONCATENATE(Table2[[#This Row],[Work Experience]],"years")</f>
        <v>0years</v>
      </c>
      <c r="K1567" t="str">
        <f>CONCATENATE(Table2[[#This Row],[Family Size2]],"members")</f>
        <v>7members</v>
      </c>
      <c r="L1567" t="str">
        <f>CONCATENATE(Table2[[#This Row],[Family Size2]],"members")</f>
        <v>7members</v>
      </c>
      <c r="M1567">
        <v>7</v>
      </c>
    </row>
    <row r="1568" spans="1:13">
      <c r="A1568">
        <v>1567</v>
      </c>
      <c r="B1568" t="s">
        <v>11</v>
      </c>
      <c r="C1568">
        <v>73</v>
      </c>
      <c r="D1568" t="str" cm="1">
        <f t="array" ref="D1568">_xlfn.IFS(Table2[[#This Row],[Age]]&lt;=11,"Gen A",Table2[[#This Row],[Age]]&lt;=27,"Gen Z",Table2[[#This Row],[Age]]&lt;=43,"Millenials",Table2[[#This Row],[Age]]&lt;=59,"Gen X",Table2[[#This Row],[Age]]&lt;=78,"Baby Boomers",Table2[[#This Row],[Age]]&lt;=96,"Silent",Table2[[#This Row],[Age]]&gt;=97,"Greatest")</f>
        <v>Baby Boomers</v>
      </c>
      <c r="E1568" s="1">
        <v>68161</v>
      </c>
      <c r="F1568">
        <v>23</v>
      </c>
      <c r="G1568" t="str" cm="1">
        <f t="array" ref="G1568">_xlfn.IFS(Table2[[#This Row],[Spending Score (1-100)]]&lt;=25,"Low",Table2[[#This Row],[Spending Score (1-100)]]&lt;=50,"Medium",Table2[[#This Row],[Spending Score (1-100)]]&lt;=75,"High",Table2[[#This Row],[Spending Score (1-100)]]&lt;=100,"Very High")</f>
        <v>Low</v>
      </c>
      <c r="H1568" t="s">
        <v>16</v>
      </c>
      <c r="I1568">
        <v>1</v>
      </c>
      <c r="J1568" t="str">
        <f>CONCATENATE(Table2[[#This Row],[Work Experience]],"years")</f>
        <v>1years</v>
      </c>
      <c r="K1568" t="str">
        <f>CONCATENATE(Table2[[#This Row],[Family Size2]],"members")</f>
        <v>2members</v>
      </c>
      <c r="L1568" t="str">
        <f>CONCATENATE(Table2[[#This Row],[Family Size2]],"members")</f>
        <v>2members</v>
      </c>
      <c r="M1568">
        <v>2</v>
      </c>
    </row>
    <row r="1569" spans="1:13">
      <c r="A1569">
        <v>1568</v>
      </c>
      <c r="B1569" t="s">
        <v>11</v>
      </c>
      <c r="C1569">
        <v>38</v>
      </c>
      <c r="D1569" t="str" cm="1">
        <f t="array" ref="D1569">_xlfn.IFS(Table2[[#This Row],[Age]]&lt;=11,"Gen A",Table2[[#This Row],[Age]]&lt;=27,"Gen Z",Table2[[#This Row],[Age]]&lt;=43,"Millenials",Table2[[#This Row],[Age]]&lt;=59,"Gen X",Table2[[#This Row],[Age]]&lt;=78,"Baby Boomers",Table2[[#This Row],[Age]]&lt;=96,"Silent",Table2[[#This Row],[Age]]&gt;=97,"Greatest")</f>
        <v>Millenials</v>
      </c>
      <c r="E1569" s="1">
        <v>181108</v>
      </c>
      <c r="F1569">
        <v>32</v>
      </c>
      <c r="G1569" t="str" cm="1">
        <f t="array" ref="G1569">_xlfn.IFS(Table2[[#This Row],[Spending Score (1-100)]]&lt;=25,"Low",Table2[[#This Row],[Spending Score (1-100)]]&lt;=50,"Medium",Table2[[#This Row],[Spending Score (1-100)]]&lt;=75,"High",Table2[[#This Row],[Spending Score (1-100)]]&lt;=100,"Very High")</f>
        <v>Medium</v>
      </c>
      <c r="H1569" t="s">
        <v>17</v>
      </c>
      <c r="I1569">
        <v>1</v>
      </c>
      <c r="J1569" t="str">
        <f>CONCATENATE(Table2[[#This Row],[Work Experience]],"years")</f>
        <v>1years</v>
      </c>
      <c r="K1569" t="str">
        <f>CONCATENATE(Table2[[#This Row],[Family Size2]],"members")</f>
        <v>1members</v>
      </c>
      <c r="L1569" t="str">
        <f>CONCATENATE(Table2[[#This Row],[Family Size2]],"members")</f>
        <v>1members</v>
      </c>
      <c r="M1569">
        <v>1</v>
      </c>
    </row>
    <row r="1570" spans="1:13">
      <c r="A1570">
        <v>1569</v>
      </c>
      <c r="B1570" t="s">
        <v>8</v>
      </c>
      <c r="C1570">
        <v>37</v>
      </c>
      <c r="D1570" t="str" cm="1">
        <f t="array" ref="D1570">_xlfn.IFS(Table2[[#This Row],[Age]]&lt;=11,"Gen A",Table2[[#This Row],[Age]]&lt;=27,"Gen Z",Table2[[#This Row],[Age]]&lt;=43,"Millenials",Table2[[#This Row],[Age]]&lt;=59,"Gen X",Table2[[#This Row],[Age]]&lt;=78,"Baby Boomers",Table2[[#This Row],[Age]]&lt;=96,"Silent",Table2[[#This Row],[Age]]&gt;=97,"Greatest")</f>
        <v>Millenials</v>
      </c>
      <c r="E1570" s="1">
        <v>87764</v>
      </c>
      <c r="F1570">
        <v>59</v>
      </c>
      <c r="G1570" t="str" cm="1">
        <f t="array" ref="G1570">_xlfn.IFS(Table2[[#This Row],[Spending Score (1-100)]]&lt;=25,"Low",Table2[[#This Row],[Spending Score (1-100)]]&lt;=50,"Medium",Table2[[#This Row],[Spending Score (1-100)]]&lt;=75,"High",Table2[[#This Row],[Spending Score (1-100)]]&lt;=100,"Very High")</f>
        <v>High</v>
      </c>
      <c r="H1570" t="s">
        <v>10</v>
      </c>
      <c r="I1570">
        <v>9</v>
      </c>
      <c r="J1570" t="str">
        <f>CONCATENATE(Table2[[#This Row],[Work Experience]],"years")</f>
        <v>9years</v>
      </c>
      <c r="K1570" t="str">
        <f>CONCATENATE(Table2[[#This Row],[Family Size2]],"members")</f>
        <v>7members</v>
      </c>
      <c r="L1570" t="str">
        <f>CONCATENATE(Table2[[#This Row],[Family Size2]],"members")</f>
        <v>7members</v>
      </c>
      <c r="M1570">
        <v>7</v>
      </c>
    </row>
    <row r="1571" spans="1:13">
      <c r="A1571">
        <v>1570</v>
      </c>
      <c r="B1571" t="s">
        <v>11</v>
      </c>
      <c r="C1571">
        <v>41</v>
      </c>
      <c r="D1571" t="str" cm="1">
        <f t="array" ref="D1571">_xlfn.IFS(Table2[[#This Row],[Age]]&lt;=11,"Gen A",Table2[[#This Row],[Age]]&lt;=27,"Gen Z",Table2[[#This Row],[Age]]&lt;=43,"Millenials",Table2[[#This Row],[Age]]&lt;=59,"Gen X",Table2[[#This Row],[Age]]&lt;=78,"Baby Boomers",Table2[[#This Row],[Age]]&lt;=96,"Silent",Table2[[#This Row],[Age]]&gt;=97,"Greatest")</f>
        <v>Millenials</v>
      </c>
      <c r="E1571" s="1">
        <v>102543</v>
      </c>
      <c r="F1571">
        <v>54</v>
      </c>
      <c r="G1571" t="str" cm="1">
        <f t="array" ref="G1571">_xlfn.IFS(Table2[[#This Row],[Spending Score (1-100)]]&lt;=25,"Low",Table2[[#This Row],[Spending Score (1-100)]]&lt;=50,"Medium",Table2[[#This Row],[Spending Score (1-100)]]&lt;=75,"High",Table2[[#This Row],[Spending Score (1-100)]]&lt;=100,"Very High")</f>
        <v>High</v>
      </c>
      <c r="H1571" t="s">
        <v>14</v>
      </c>
      <c r="I1571">
        <v>7</v>
      </c>
      <c r="J1571" t="str">
        <f>CONCATENATE(Table2[[#This Row],[Work Experience]],"years")</f>
        <v>7years</v>
      </c>
      <c r="K1571" t="str">
        <f>CONCATENATE(Table2[[#This Row],[Family Size2]],"members")</f>
        <v>3members</v>
      </c>
      <c r="L1571" t="str">
        <f>CONCATENATE(Table2[[#This Row],[Family Size2]],"members")</f>
        <v>3members</v>
      </c>
      <c r="M1571">
        <v>3</v>
      </c>
    </row>
    <row r="1572" spans="1:13">
      <c r="A1572">
        <v>1571</v>
      </c>
      <c r="B1572" t="s">
        <v>8</v>
      </c>
      <c r="C1572">
        <v>94</v>
      </c>
      <c r="D1572" t="str" cm="1">
        <f t="array" ref="D1572">_xlfn.IFS(Table2[[#This Row],[Age]]&lt;=11,"Gen A",Table2[[#This Row],[Age]]&lt;=27,"Gen Z",Table2[[#This Row],[Age]]&lt;=43,"Millenials",Table2[[#This Row],[Age]]&lt;=59,"Gen X",Table2[[#This Row],[Age]]&lt;=78,"Baby Boomers",Table2[[#This Row],[Age]]&lt;=96,"Silent",Table2[[#This Row],[Age]]&gt;=97,"Greatest")</f>
        <v>Silent</v>
      </c>
      <c r="E1572" s="1">
        <v>139417</v>
      </c>
      <c r="F1572">
        <v>13</v>
      </c>
      <c r="G1572" t="str" cm="1">
        <f t="array" ref="G1572">_xlfn.IFS(Table2[[#This Row],[Spending Score (1-100)]]&lt;=25,"Low",Table2[[#This Row],[Spending Score (1-100)]]&lt;=50,"Medium",Table2[[#This Row],[Spending Score (1-100)]]&lt;=75,"High",Table2[[#This Row],[Spending Score (1-100)]]&lt;=100,"Very High")</f>
        <v>Low</v>
      </c>
      <c r="H1572" t="s">
        <v>14</v>
      </c>
      <c r="I1572">
        <v>1</v>
      </c>
      <c r="J1572" t="str">
        <f>CONCATENATE(Table2[[#This Row],[Work Experience]],"years")</f>
        <v>1years</v>
      </c>
      <c r="K1572" t="str">
        <f>CONCATENATE(Table2[[#This Row],[Family Size2]],"members")</f>
        <v>3members</v>
      </c>
      <c r="L1572" t="str">
        <f>CONCATENATE(Table2[[#This Row],[Family Size2]],"members")</f>
        <v>3members</v>
      </c>
      <c r="M1572">
        <v>3</v>
      </c>
    </row>
    <row r="1573" spans="1:13">
      <c r="A1573">
        <v>1572</v>
      </c>
      <c r="B1573" t="s">
        <v>11</v>
      </c>
      <c r="C1573">
        <v>57</v>
      </c>
      <c r="D1573" t="str" cm="1">
        <f t="array" ref="D1573">_xlfn.IFS(Table2[[#This Row],[Age]]&lt;=11,"Gen A",Table2[[#This Row],[Age]]&lt;=27,"Gen Z",Table2[[#This Row],[Age]]&lt;=43,"Millenials",Table2[[#This Row],[Age]]&lt;=59,"Gen X",Table2[[#This Row],[Age]]&lt;=78,"Baby Boomers",Table2[[#This Row],[Age]]&lt;=96,"Silent",Table2[[#This Row],[Age]]&gt;=97,"Greatest")</f>
        <v>Gen X</v>
      </c>
      <c r="E1573" s="1">
        <v>81802</v>
      </c>
      <c r="F1573">
        <v>29</v>
      </c>
      <c r="G1573" t="str" cm="1">
        <f t="array" ref="G1573">_xlfn.IFS(Table2[[#This Row],[Spending Score (1-100)]]&lt;=25,"Low",Table2[[#This Row],[Spending Score (1-100)]]&lt;=50,"Medium",Table2[[#This Row],[Spending Score (1-100)]]&lt;=75,"High",Table2[[#This Row],[Spending Score (1-100)]]&lt;=100,"Very High")</f>
        <v>Medium</v>
      </c>
      <c r="H1573" t="s">
        <v>17</v>
      </c>
      <c r="I1573">
        <v>9</v>
      </c>
      <c r="J1573" t="str">
        <f>CONCATENATE(Table2[[#This Row],[Work Experience]],"years")</f>
        <v>9years</v>
      </c>
      <c r="K1573" t="str">
        <f>CONCATENATE(Table2[[#This Row],[Family Size2]],"members")</f>
        <v>1members</v>
      </c>
      <c r="L1573" t="str">
        <f>CONCATENATE(Table2[[#This Row],[Family Size2]],"members")</f>
        <v>1members</v>
      </c>
      <c r="M1573">
        <v>1</v>
      </c>
    </row>
    <row r="1574" spans="1:13">
      <c r="A1574">
        <v>1573</v>
      </c>
      <c r="B1574" t="s">
        <v>11</v>
      </c>
      <c r="C1574">
        <v>96</v>
      </c>
      <c r="D1574" t="str" cm="1">
        <f t="array" ref="D1574">_xlfn.IFS(Table2[[#This Row],[Age]]&lt;=11,"Gen A",Table2[[#This Row],[Age]]&lt;=27,"Gen Z",Table2[[#This Row],[Age]]&lt;=43,"Millenials",Table2[[#This Row],[Age]]&lt;=59,"Gen X",Table2[[#This Row],[Age]]&lt;=78,"Baby Boomers",Table2[[#This Row],[Age]]&lt;=96,"Silent",Table2[[#This Row],[Age]]&gt;=97,"Greatest")</f>
        <v>Silent</v>
      </c>
      <c r="E1574" s="1">
        <v>102788</v>
      </c>
      <c r="F1574">
        <v>51</v>
      </c>
      <c r="G1574" t="str" cm="1">
        <f t="array" ref="G1574">_xlfn.IFS(Table2[[#This Row],[Spending Score (1-100)]]&lt;=25,"Low",Table2[[#This Row],[Spending Score (1-100)]]&lt;=50,"Medium",Table2[[#This Row],[Spending Score (1-100)]]&lt;=75,"High",Table2[[#This Row],[Spending Score (1-100)]]&lt;=100,"Very High")</f>
        <v>High</v>
      </c>
      <c r="H1574" t="s">
        <v>14</v>
      </c>
      <c r="I1574">
        <v>0</v>
      </c>
      <c r="J1574" t="str">
        <f>CONCATENATE(Table2[[#This Row],[Work Experience]],"years")</f>
        <v>0years</v>
      </c>
      <c r="K1574" t="str">
        <f>CONCATENATE(Table2[[#This Row],[Family Size2]],"members")</f>
        <v>1members</v>
      </c>
      <c r="L1574" t="str">
        <f>CONCATENATE(Table2[[#This Row],[Family Size2]],"members")</f>
        <v>1members</v>
      </c>
      <c r="M1574">
        <v>1</v>
      </c>
    </row>
    <row r="1575" spans="1:13">
      <c r="A1575">
        <v>1574</v>
      </c>
      <c r="B1575" t="s">
        <v>11</v>
      </c>
      <c r="C1575">
        <v>59</v>
      </c>
      <c r="D1575" t="str" cm="1">
        <f t="array" ref="D1575">_xlfn.IFS(Table2[[#This Row],[Age]]&lt;=11,"Gen A",Table2[[#This Row],[Age]]&lt;=27,"Gen Z",Table2[[#This Row],[Age]]&lt;=43,"Millenials",Table2[[#This Row],[Age]]&lt;=59,"Gen X",Table2[[#This Row],[Age]]&lt;=78,"Baby Boomers",Table2[[#This Row],[Age]]&lt;=96,"Silent",Table2[[#This Row],[Age]]&gt;=97,"Greatest")</f>
        <v>Gen X</v>
      </c>
      <c r="E1575" s="1">
        <v>163179</v>
      </c>
      <c r="F1575">
        <v>19</v>
      </c>
      <c r="G1575" t="str" cm="1">
        <f t="array" ref="G1575">_xlfn.IFS(Table2[[#This Row],[Spending Score (1-100)]]&lt;=25,"Low",Table2[[#This Row],[Spending Score (1-100)]]&lt;=50,"Medium",Table2[[#This Row],[Spending Score (1-100)]]&lt;=75,"High",Table2[[#This Row],[Spending Score (1-100)]]&lt;=100,"Very High")</f>
        <v>Low</v>
      </c>
      <c r="H1575" t="s">
        <v>9</v>
      </c>
      <c r="I1575">
        <v>1</v>
      </c>
      <c r="J1575" t="str">
        <f>CONCATENATE(Table2[[#This Row],[Work Experience]],"years")</f>
        <v>1years</v>
      </c>
      <c r="K1575" t="str">
        <f>CONCATENATE(Table2[[#This Row],[Family Size2]],"members")</f>
        <v>7members</v>
      </c>
      <c r="L1575" t="str">
        <f>CONCATENATE(Table2[[#This Row],[Family Size2]],"members")</f>
        <v>7members</v>
      </c>
      <c r="M1575">
        <v>7</v>
      </c>
    </row>
    <row r="1576" spans="1:13">
      <c r="A1576">
        <v>1575</v>
      </c>
      <c r="B1576" t="s">
        <v>8</v>
      </c>
      <c r="C1576">
        <v>87</v>
      </c>
      <c r="D1576" t="str" cm="1">
        <f t="array" ref="D1576">_xlfn.IFS(Table2[[#This Row],[Age]]&lt;=11,"Gen A",Table2[[#This Row],[Age]]&lt;=27,"Gen Z",Table2[[#This Row],[Age]]&lt;=43,"Millenials",Table2[[#This Row],[Age]]&lt;=59,"Gen X",Table2[[#This Row],[Age]]&lt;=78,"Baby Boomers",Table2[[#This Row],[Age]]&lt;=96,"Silent",Table2[[#This Row],[Age]]&gt;=97,"Greatest")</f>
        <v>Silent</v>
      </c>
      <c r="E1576" s="1">
        <v>71318</v>
      </c>
      <c r="F1576">
        <v>22</v>
      </c>
      <c r="G1576" t="str" cm="1">
        <f t="array" ref="G1576">_xlfn.IFS(Table2[[#This Row],[Spending Score (1-100)]]&lt;=25,"Low",Table2[[#This Row],[Spending Score (1-100)]]&lt;=50,"Medium",Table2[[#This Row],[Spending Score (1-100)]]&lt;=75,"High",Table2[[#This Row],[Spending Score (1-100)]]&lt;=100,"Very High")</f>
        <v>Low</v>
      </c>
      <c r="H1576" t="s">
        <v>9</v>
      </c>
      <c r="I1576">
        <v>1</v>
      </c>
      <c r="J1576" t="str">
        <f>CONCATENATE(Table2[[#This Row],[Work Experience]],"years")</f>
        <v>1years</v>
      </c>
      <c r="K1576" t="str">
        <f>CONCATENATE(Table2[[#This Row],[Family Size2]],"members")</f>
        <v>3members</v>
      </c>
      <c r="L1576" t="str">
        <f>CONCATENATE(Table2[[#This Row],[Family Size2]],"members")</f>
        <v>3members</v>
      </c>
      <c r="M1576">
        <v>3</v>
      </c>
    </row>
    <row r="1577" spans="1:13">
      <c r="A1577">
        <v>1576</v>
      </c>
      <c r="B1577" t="s">
        <v>8</v>
      </c>
      <c r="C1577">
        <v>55</v>
      </c>
      <c r="D1577" t="str" cm="1">
        <f t="array" ref="D1577">_xlfn.IFS(Table2[[#This Row],[Age]]&lt;=11,"Gen A",Table2[[#This Row],[Age]]&lt;=27,"Gen Z",Table2[[#This Row],[Age]]&lt;=43,"Millenials",Table2[[#This Row],[Age]]&lt;=59,"Gen X",Table2[[#This Row],[Age]]&lt;=78,"Baby Boomers",Table2[[#This Row],[Age]]&lt;=96,"Silent",Table2[[#This Row],[Age]]&gt;=97,"Greatest")</f>
        <v>Gen X</v>
      </c>
      <c r="E1577" s="1">
        <v>63683</v>
      </c>
      <c r="F1577">
        <v>34</v>
      </c>
      <c r="G1577" t="str" cm="1">
        <f t="array" ref="G1577">_xlfn.IFS(Table2[[#This Row],[Spending Score (1-100)]]&lt;=25,"Low",Table2[[#This Row],[Spending Score (1-100)]]&lt;=50,"Medium",Table2[[#This Row],[Spending Score (1-100)]]&lt;=75,"High",Table2[[#This Row],[Spending Score (1-100)]]&lt;=100,"Very High")</f>
        <v>Medium</v>
      </c>
      <c r="H1577" t="s">
        <v>9</v>
      </c>
      <c r="I1577">
        <v>3</v>
      </c>
      <c r="J1577" t="str">
        <f>CONCATENATE(Table2[[#This Row],[Work Experience]],"years")</f>
        <v>3years</v>
      </c>
      <c r="K1577" t="str">
        <f>CONCATENATE(Table2[[#This Row],[Family Size2]],"members")</f>
        <v>1members</v>
      </c>
      <c r="L1577" t="str">
        <f>CONCATENATE(Table2[[#This Row],[Family Size2]],"members")</f>
        <v>1members</v>
      </c>
      <c r="M1577">
        <v>1</v>
      </c>
    </row>
    <row r="1578" spans="1:13">
      <c r="A1578">
        <v>1577</v>
      </c>
      <c r="B1578" t="s">
        <v>11</v>
      </c>
      <c r="C1578">
        <v>16</v>
      </c>
      <c r="D1578" t="str" cm="1">
        <f t="array" ref="D1578">_xlfn.IFS(Table2[[#This Row],[Age]]&lt;=11,"Gen A",Table2[[#This Row],[Age]]&lt;=27,"Gen Z",Table2[[#This Row],[Age]]&lt;=43,"Millenials",Table2[[#This Row],[Age]]&lt;=59,"Gen X",Table2[[#This Row],[Age]]&lt;=78,"Baby Boomers",Table2[[#This Row],[Age]]&lt;=96,"Silent",Table2[[#This Row],[Age]]&gt;=97,"Greatest")</f>
        <v>Gen Z</v>
      </c>
      <c r="E1578" s="1">
        <v>189689</v>
      </c>
      <c r="F1578">
        <v>37</v>
      </c>
      <c r="G1578" t="str" cm="1">
        <f t="array" ref="G1578">_xlfn.IFS(Table2[[#This Row],[Spending Score (1-100)]]&lt;=25,"Low",Table2[[#This Row],[Spending Score (1-100)]]&lt;=50,"Medium",Table2[[#This Row],[Spending Score (1-100)]]&lt;=75,"High",Table2[[#This Row],[Spending Score (1-100)]]&lt;=100,"Very High")</f>
        <v>Medium</v>
      </c>
      <c r="H1578" t="s">
        <v>9</v>
      </c>
      <c r="I1578">
        <v>8</v>
      </c>
      <c r="J1578" t="str">
        <f>CONCATENATE(Table2[[#This Row],[Work Experience]],"years")</f>
        <v>8years</v>
      </c>
      <c r="K1578" t="str">
        <f>CONCATENATE(Table2[[#This Row],[Family Size2]],"members")</f>
        <v>5members</v>
      </c>
      <c r="L1578" t="str">
        <f>CONCATENATE(Table2[[#This Row],[Family Size2]],"members")</f>
        <v>5members</v>
      </c>
      <c r="M1578">
        <v>5</v>
      </c>
    </row>
    <row r="1579" spans="1:13">
      <c r="A1579">
        <v>1578</v>
      </c>
      <c r="B1579" t="s">
        <v>8</v>
      </c>
      <c r="C1579">
        <v>82</v>
      </c>
      <c r="D1579" t="str" cm="1">
        <f t="array" ref="D1579">_xlfn.IFS(Table2[[#This Row],[Age]]&lt;=11,"Gen A",Table2[[#This Row],[Age]]&lt;=27,"Gen Z",Table2[[#This Row],[Age]]&lt;=43,"Millenials",Table2[[#This Row],[Age]]&lt;=59,"Gen X",Table2[[#This Row],[Age]]&lt;=78,"Baby Boomers",Table2[[#This Row],[Age]]&lt;=96,"Silent",Table2[[#This Row],[Age]]&gt;=97,"Greatest")</f>
        <v>Silent</v>
      </c>
      <c r="E1579" s="1">
        <v>121610</v>
      </c>
      <c r="F1579">
        <v>36</v>
      </c>
      <c r="G1579" t="str" cm="1">
        <f t="array" ref="G1579">_xlfn.IFS(Table2[[#This Row],[Spending Score (1-100)]]&lt;=25,"Low",Table2[[#This Row],[Spending Score (1-100)]]&lt;=50,"Medium",Table2[[#This Row],[Spending Score (1-100)]]&lt;=75,"High",Table2[[#This Row],[Spending Score (1-100)]]&lt;=100,"Very High")</f>
        <v>Medium</v>
      </c>
      <c r="H1579" t="s">
        <v>14</v>
      </c>
      <c r="I1579">
        <v>0</v>
      </c>
      <c r="J1579" t="str">
        <f>CONCATENATE(Table2[[#This Row],[Work Experience]],"years")</f>
        <v>0years</v>
      </c>
      <c r="K1579" t="str">
        <f>CONCATENATE(Table2[[#This Row],[Family Size2]],"members")</f>
        <v>5members</v>
      </c>
      <c r="L1579" t="str">
        <f>CONCATENATE(Table2[[#This Row],[Family Size2]],"members")</f>
        <v>5members</v>
      </c>
      <c r="M1579">
        <v>5</v>
      </c>
    </row>
    <row r="1580" spans="1:13">
      <c r="A1580">
        <v>1579</v>
      </c>
      <c r="B1580" t="s">
        <v>11</v>
      </c>
      <c r="C1580">
        <v>83</v>
      </c>
      <c r="D1580" t="str" cm="1">
        <f t="array" ref="D1580">_xlfn.IFS(Table2[[#This Row],[Age]]&lt;=11,"Gen A",Table2[[#This Row],[Age]]&lt;=27,"Gen Z",Table2[[#This Row],[Age]]&lt;=43,"Millenials",Table2[[#This Row],[Age]]&lt;=59,"Gen X",Table2[[#This Row],[Age]]&lt;=78,"Baby Boomers",Table2[[#This Row],[Age]]&lt;=96,"Silent",Table2[[#This Row],[Age]]&gt;=97,"Greatest")</f>
        <v>Silent</v>
      </c>
      <c r="E1580" s="1">
        <v>150682</v>
      </c>
      <c r="F1580">
        <v>25</v>
      </c>
      <c r="G1580" t="str" cm="1">
        <f t="array" ref="G1580">_xlfn.IFS(Table2[[#This Row],[Spending Score (1-100)]]&lt;=25,"Low",Table2[[#This Row],[Spending Score (1-100)]]&lt;=50,"Medium",Table2[[#This Row],[Spending Score (1-100)]]&lt;=75,"High",Table2[[#This Row],[Spending Score (1-100)]]&lt;=100,"Very High")</f>
        <v>Low</v>
      </c>
      <c r="H1580" t="s">
        <v>14</v>
      </c>
      <c r="I1580">
        <v>1</v>
      </c>
      <c r="J1580" t="str">
        <f>CONCATENATE(Table2[[#This Row],[Work Experience]],"years")</f>
        <v>1years</v>
      </c>
      <c r="K1580" t="str">
        <f>CONCATENATE(Table2[[#This Row],[Family Size2]],"members")</f>
        <v>1members</v>
      </c>
      <c r="L1580" t="str">
        <f>CONCATENATE(Table2[[#This Row],[Family Size2]],"members")</f>
        <v>1members</v>
      </c>
      <c r="M1580">
        <v>1</v>
      </c>
    </row>
    <row r="1581" spans="1:13">
      <c r="A1581">
        <v>1580</v>
      </c>
      <c r="B1581" t="s">
        <v>11</v>
      </c>
      <c r="C1581">
        <v>96</v>
      </c>
      <c r="D1581" t="str" cm="1">
        <f t="array" ref="D1581">_xlfn.IFS(Table2[[#This Row],[Age]]&lt;=11,"Gen A",Table2[[#This Row],[Age]]&lt;=27,"Gen Z",Table2[[#This Row],[Age]]&lt;=43,"Millenials",Table2[[#This Row],[Age]]&lt;=59,"Gen X",Table2[[#This Row],[Age]]&lt;=78,"Baby Boomers",Table2[[#This Row],[Age]]&lt;=96,"Silent",Table2[[#This Row],[Age]]&gt;=97,"Greatest")</f>
        <v>Silent</v>
      </c>
      <c r="E1581" s="1">
        <v>124550</v>
      </c>
      <c r="F1581">
        <v>46</v>
      </c>
      <c r="G1581" t="str" cm="1">
        <f t="array" ref="G1581">_xlfn.IFS(Table2[[#This Row],[Spending Score (1-100)]]&lt;=25,"Low",Table2[[#This Row],[Spending Score (1-100)]]&lt;=50,"Medium",Table2[[#This Row],[Spending Score (1-100)]]&lt;=75,"High",Table2[[#This Row],[Spending Score (1-100)]]&lt;=100,"Very High")</f>
        <v>Medium</v>
      </c>
      <c r="H1581" t="s">
        <v>18</v>
      </c>
      <c r="I1581">
        <v>0</v>
      </c>
      <c r="J1581" t="str">
        <f>CONCATENATE(Table2[[#This Row],[Work Experience]],"years")</f>
        <v>0years</v>
      </c>
      <c r="K1581" t="str">
        <f>CONCATENATE(Table2[[#This Row],[Family Size2]],"members")</f>
        <v>3members</v>
      </c>
      <c r="L1581" t="str">
        <f>CONCATENATE(Table2[[#This Row],[Family Size2]],"members")</f>
        <v>3members</v>
      </c>
      <c r="M1581">
        <v>3</v>
      </c>
    </row>
    <row r="1582" spans="1:13">
      <c r="A1582">
        <v>1581</v>
      </c>
      <c r="B1582" t="s">
        <v>8</v>
      </c>
      <c r="C1582">
        <v>55</v>
      </c>
      <c r="D1582" t="str" cm="1">
        <f t="array" ref="D1582">_xlfn.IFS(Table2[[#This Row],[Age]]&lt;=11,"Gen A",Table2[[#This Row],[Age]]&lt;=27,"Gen Z",Table2[[#This Row],[Age]]&lt;=43,"Millenials",Table2[[#This Row],[Age]]&lt;=59,"Gen X",Table2[[#This Row],[Age]]&lt;=78,"Baby Boomers",Table2[[#This Row],[Age]]&lt;=96,"Silent",Table2[[#This Row],[Age]]&gt;=97,"Greatest")</f>
        <v>Gen X</v>
      </c>
      <c r="E1582" s="1">
        <v>148875</v>
      </c>
      <c r="F1582">
        <v>99</v>
      </c>
      <c r="G1582" t="str" cm="1">
        <f t="array" ref="G1582">_xlfn.IFS(Table2[[#This Row],[Spending Score (1-100)]]&lt;=25,"Low",Table2[[#This Row],[Spending Score (1-100)]]&lt;=50,"Medium",Table2[[#This Row],[Spending Score (1-100)]]&lt;=75,"High",Table2[[#This Row],[Spending Score (1-100)]]&lt;=100,"Very High")</f>
        <v>Very High</v>
      </c>
      <c r="H1582" t="s">
        <v>14</v>
      </c>
      <c r="I1582">
        <v>0</v>
      </c>
      <c r="J1582" t="str">
        <f>CONCATENATE(Table2[[#This Row],[Work Experience]],"years")</f>
        <v>0years</v>
      </c>
      <c r="K1582" t="str">
        <f>CONCATENATE(Table2[[#This Row],[Family Size2]],"members")</f>
        <v>4members</v>
      </c>
      <c r="L1582" t="str">
        <f>CONCATENATE(Table2[[#This Row],[Family Size2]],"members")</f>
        <v>4members</v>
      </c>
      <c r="M1582">
        <v>4</v>
      </c>
    </row>
    <row r="1583" spans="1:13">
      <c r="A1583">
        <v>1582</v>
      </c>
      <c r="B1583" t="s">
        <v>8</v>
      </c>
      <c r="C1583">
        <v>6</v>
      </c>
      <c r="D1583" t="str" cm="1">
        <f t="array" ref="D1583">_xlfn.IFS(Table2[[#This Row],[Age]]&lt;=11,"Gen A",Table2[[#This Row],[Age]]&lt;=27,"Gen Z",Table2[[#This Row],[Age]]&lt;=43,"Millenials",Table2[[#This Row],[Age]]&lt;=59,"Gen X",Table2[[#This Row],[Age]]&lt;=78,"Baby Boomers",Table2[[#This Row],[Age]]&lt;=96,"Silent",Table2[[#This Row],[Age]]&gt;=97,"Greatest")</f>
        <v>Gen A</v>
      </c>
      <c r="E1583" s="1">
        <v>107117</v>
      </c>
      <c r="F1583">
        <v>44</v>
      </c>
      <c r="G1583" t="str" cm="1">
        <f t="array" ref="G1583">_xlfn.IFS(Table2[[#This Row],[Spending Score (1-100)]]&lt;=25,"Low",Table2[[#This Row],[Spending Score (1-100)]]&lt;=50,"Medium",Table2[[#This Row],[Spending Score (1-100)]]&lt;=75,"High",Table2[[#This Row],[Spending Score (1-100)]]&lt;=100,"Very High")</f>
        <v>Medium</v>
      </c>
      <c r="H1583" t="s">
        <v>14</v>
      </c>
      <c r="I1583">
        <v>1</v>
      </c>
      <c r="J1583" t="str">
        <f>CONCATENATE(Table2[[#This Row],[Work Experience]],"years")</f>
        <v>1years</v>
      </c>
      <c r="K1583" t="str">
        <f>CONCATENATE(Table2[[#This Row],[Family Size2]],"members")</f>
        <v>3members</v>
      </c>
      <c r="L1583" t="str">
        <f>CONCATENATE(Table2[[#This Row],[Family Size2]],"members")</f>
        <v>3members</v>
      </c>
      <c r="M1583">
        <v>3</v>
      </c>
    </row>
    <row r="1584" spans="1:13">
      <c r="A1584">
        <v>1583</v>
      </c>
      <c r="B1584" t="s">
        <v>8</v>
      </c>
      <c r="C1584">
        <v>33</v>
      </c>
      <c r="D1584" t="str" cm="1">
        <f t="array" ref="D1584">_xlfn.IFS(Table2[[#This Row],[Age]]&lt;=11,"Gen A",Table2[[#This Row],[Age]]&lt;=27,"Gen Z",Table2[[#This Row],[Age]]&lt;=43,"Millenials",Table2[[#This Row],[Age]]&lt;=59,"Gen X",Table2[[#This Row],[Age]]&lt;=78,"Baby Boomers",Table2[[#This Row],[Age]]&lt;=96,"Silent",Table2[[#This Row],[Age]]&gt;=97,"Greatest")</f>
        <v>Millenials</v>
      </c>
      <c r="E1584" s="1">
        <v>109223</v>
      </c>
      <c r="F1584">
        <v>43</v>
      </c>
      <c r="G1584" t="str" cm="1">
        <f t="array" ref="G1584">_xlfn.IFS(Table2[[#This Row],[Spending Score (1-100)]]&lt;=25,"Low",Table2[[#This Row],[Spending Score (1-100)]]&lt;=50,"Medium",Table2[[#This Row],[Spending Score (1-100)]]&lt;=75,"High",Table2[[#This Row],[Spending Score (1-100)]]&lt;=100,"Very High")</f>
        <v>Medium</v>
      </c>
      <c r="H1584" t="s">
        <v>10</v>
      </c>
      <c r="I1584">
        <v>1</v>
      </c>
      <c r="J1584" t="str">
        <f>CONCATENATE(Table2[[#This Row],[Work Experience]],"years")</f>
        <v>1years</v>
      </c>
      <c r="K1584" t="str">
        <f>CONCATENATE(Table2[[#This Row],[Family Size2]],"members")</f>
        <v>5members</v>
      </c>
      <c r="L1584" t="str">
        <f>CONCATENATE(Table2[[#This Row],[Family Size2]],"members")</f>
        <v>5members</v>
      </c>
      <c r="M1584">
        <v>5</v>
      </c>
    </row>
    <row r="1585" spans="1:13">
      <c r="A1585">
        <v>1584</v>
      </c>
      <c r="B1585" t="s">
        <v>11</v>
      </c>
      <c r="C1585">
        <v>0</v>
      </c>
      <c r="D1585" t="str" cm="1">
        <f t="array" ref="D1585">_xlfn.IFS(Table2[[#This Row],[Age]]&lt;=11,"Gen A",Table2[[#This Row],[Age]]&lt;=27,"Gen Z",Table2[[#This Row],[Age]]&lt;=43,"Millenials",Table2[[#This Row],[Age]]&lt;=59,"Gen X",Table2[[#This Row],[Age]]&lt;=78,"Baby Boomers",Table2[[#This Row],[Age]]&lt;=96,"Silent",Table2[[#This Row],[Age]]&gt;=97,"Greatest")</f>
        <v>Gen A</v>
      </c>
      <c r="E1585" s="1">
        <v>120899</v>
      </c>
      <c r="F1585">
        <v>7</v>
      </c>
      <c r="G1585" t="str" cm="1">
        <f t="array" ref="G1585">_xlfn.IFS(Table2[[#This Row],[Spending Score (1-100)]]&lt;=25,"Low",Table2[[#This Row],[Spending Score (1-100)]]&lt;=50,"Medium",Table2[[#This Row],[Spending Score (1-100)]]&lt;=75,"High",Table2[[#This Row],[Spending Score (1-100)]]&lt;=100,"Very High")</f>
        <v>Low</v>
      </c>
      <c r="H1585" t="s">
        <v>18</v>
      </c>
      <c r="I1585">
        <v>2</v>
      </c>
      <c r="J1585" t="str">
        <f>CONCATENATE(Table2[[#This Row],[Work Experience]],"years")</f>
        <v>2years</v>
      </c>
      <c r="K1585" t="str">
        <f>CONCATENATE(Table2[[#This Row],[Family Size2]],"members")</f>
        <v>6members</v>
      </c>
      <c r="L1585" t="str">
        <f>CONCATENATE(Table2[[#This Row],[Family Size2]],"members")</f>
        <v>6members</v>
      </c>
      <c r="M1585">
        <v>6</v>
      </c>
    </row>
    <row r="1586" spans="1:13">
      <c r="A1586">
        <v>1585</v>
      </c>
      <c r="B1586" t="s">
        <v>11</v>
      </c>
      <c r="C1586">
        <v>27</v>
      </c>
      <c r="D1586" t="str" cm="1">
        <f t="array" ref="D1586">_xlfn.IFS(Table2[[#This Row],[Age]]&lt;=11,"Gen A",Table2[[#This Row],[Age]]&lt;=27,"Gen Z",Table2[[#This Row],[Age]]&lt;=43,"Millenials",Table2[[#This Row],[Age]]&lt;=59,"Gen X",Table2[[#This Row],[Age]]&lt;=78,"Baby Boomers",Table2[[#This Row],[Age]]&lt;=96,"Silent",Table2[[#This Row],[Age]]&gt;=97,"Greatest")</f>
        <v>Gen Z</v>
      </c>
      <c r="E1586" s="1">
        <v>101948</v>
      </c>
      <c r="F1586">
        <v>31</v>
      </c>
      <c r="G1586" t="str" cm="1">
        <f t="array" ref="G1586">_xlfn.IFS(Table2[[#This Row],[Spending Score (1-100)]]&lt;=25,"Low",Table2[[#This Row],[Spending Score (1-100)]]&lt;=50,"Medium",Table2[[#This Row],[Spending Score (1-100)]]&lt;=75,"High",Table2[[#This Row],[Spending Score (1-100)]]&lt;=100,"Very High")</f>
        <v>Medium</v>
      </c>
      <c r="H1586" t="s">
        <v>14</v>
      </c>
      <c r="I1586">
        <v>0</v>
      </c>
      <c r="J1586" t="str">
        <f>CONCATENATE(Table2[[#This Row],[Work Experience]],"years")</f>
        <v>0years</v>
      </c>
      <c r="K1586" t="str">
        <f>CONCATENATE(Table2[[#This Row],[Family Size2]],"members")</f>
        <v>5members</v>
      </c>
      <c r="L1586" t="str">
        <f>CONCATENATE(Table2[[#This Row],[Family Size2]],"members")</f>
        <v>5members</v>
      </c>
      <c r="M1586">
        <v>5</v>
      </c>
    </row>
    <row r="1587" spans="1:13">
      <c r="A1587">
        <v>1586</v>
      </c>
      <c r="B1587" t="s">
        <v>8</v>
      </c>
      <c r="C1587">
        <v>72</v>
      </c>
      <c r="D1587" t="str" cm="1">
        <f t="array" ref="D1587">_xlfn.IFS(Table2[[#This Row],[Age]]&lt;=11,"Gen A",Table2[[#This Row],[Age]]&lt;=27,"Gen Z",Table2[[#This Row],[Age]]&lt;=43,"Millenials",Table2[[#This Row],[Age]]&lt;=59,"Gen X",Table2[[#This Row],[Age]]&lt;=78,"Baby Boomers",Table2[[#This Row],[Age]]&lt;=96,"Silent",Table2[[#This Row],[Age]]&gt;=97,"Greatest")</f>
        <v>Baby Boomers</v>
      </c>
      <c r="E1587" s="1">
        <v>143169</v>
      </c>
      <c r="F1587">
        <v>58</v>
      </c>
      <c r="G1587" t="str" cm="1">
        <f t="array" ref="G1587">_xlfn.IFS(Table2[[#This Row],[Spending Score (1-100)]]&lt;=25,"Low",Table2[[#This Row],[Spending Score (1-100)]]&lt;=50,"Medium",Table2[[#This Row],[Spending Score (1-100)]]&lt;=75,"High",Table2[[#This Row],[Spending Score (1-100)]]&lt;=100,"Very High")</f>
        <v>High</v>
      </c>
      <c r="H1587" t="s">
        <v>10</v>
      </c>
      <c r="I1587">
        <v>0</v>
      </c>
      <c r="J1587" t="str">
        <f>CONCATENATE(Table2[[#This Row],[Work Experience]],"years")</f>
        <v>0years</v>
      </c>
      <c r="K1587" t="str">
        <f>CONCATENATE(Table2[[#This Row],[Family Size2]],"members")</f>
        <v>4members</v>
      </c>
      <c r="L1587" t="str">
        <f>CONCATENATE(Table2[[#This Row],[Family Size2]],"members")</f>
        <v>4members</v>
      </c>
      <c r="M1587">
        <v>4</v>
      </c>
    </row>
    <row r="1588" spans="1:13">
      <c r="A1588">
        <v>1587</v>
      </c>
      <c r="B1588" t="s">
        <v>11</v>
      </c>
      <c r="C1588">
        <v>13</v>
      </c>
      <c r="D1588" t="str" cm="1">
        <f t="array" ref="D1588">_xlfn.IFS(Table2[[#This Row],[Age]]&lt;=11,"Gen A",Table2[[#This Row],[Age]]&lt;=27,"Gen Z",Table2[[#This Row],[Age]]&lt;=43,"Millenials",Table2[[#This Row],[Age]]&lt;=59,"Gen X",Table2[[#This Row],[Age]]&lt;=78,"Baby Boomers",Table2[[#This Row],[Age]]&lt;=96,"Silent",Table2[[#This Row],[Age]]&gt;=97,"Greatest")</f>
        <v>Gen Z</v>
      </c>
      <c r="E1588" s="1">
        <v>167619</v>
      </c>
      <c r="F1588">
        <v>4</v>
      </c>
      <c r="G1588" t="str" cm="1">
        <f t="array" ref="G1588">_xlfn.IFS(Table2[[#This Row],[Spending Score (1-100)]]&lt;=25,"Low",Table2[[#This Row],[Spending Score (1-100)]]&lt;=50,"Medium",Table2[[#This Row],[Spending Score (1-100)]]&lt;=75,"High",Table2[[#This Row],[Spending Score (1-100)]]&lt;=100,"Very High")</f>
        <v>Low</v>
      </c>
      <c r="H1588" t="s">
        <v>9</v>
      </c>
      <c r="I1588">
        <v>7</v>
      </c>
      <c r="J1588" t="str">
        <f>CONCATENATE(Table2[[#This Row],[Work Experience]],"years")</f>
        <v>7years</v>
      </c>
      <c r="K1588" t="str">
        <f>CONCATENATE(Table2[[#This Row],[Family Size2]],"members")</f>
        <v>6members</v>
      </c>
      <c r="L1588" t="str">
        <f>CONCATENATE(Table2[[#This Row],[Family Size2]],"members")</f>
        <v>6members</v>
      </c>
      <c r="M1588">
        <v>6</v>
      </c>
    </row>
    <row r="1589" spans="1:13">
      <c r="A1589">
        <v>1588</v>
      </c>
      <c r="B1589" t="s">
        <v>11</v>
      </c>
      <c r="C1589">
        <v>19</v>
      </c>
      <c r="D1589" t="str" cm="1">
        <f t="array" ref="D1589">_xlfn.IFS(Table2[[#This Row],[Age]]&lt;=11,"Gen A",Table2[[#This Row],[Age]]&lt;=27,"Gen Z",Table2[[#This Row],[Age]]&lt;=43,"Millenials",Table2[[#This Row],[Age]]&lt;=59,"Gen X",Table2[[#This Row],[Age]]&lt;=78,"Baby Boomers",Table2[[#This Row],[Age]]&lt;=96,"Silent",Table2[[#This Row],[Age]]&gt;=97,"Greatest")</f>
        <v>Gen Z</v>
      </c>
      <c r="E1589" s="1">
        <v>181795</v>
      </c>
      <c r="F1589">
        <v>59</v>
      </c>
      <c r="G1589" t="str" cm="1">
        <f t="array" ref="G1589">_xlfn.IFS(Table2[[#This Row],[Spending Score (1-100)]]&lt;=25,"Low",Table2[[#This Row],[Spending Score (1-100)]]&lt;=50,"Medium",Table2[[#This Row],[Spending Score (1-100)]]&lt;=75,"High",Table2[[#This Row],[Spending Score (1-100)]]&lt;=100,"Very High")</f>
        <v>High</v>
      </c>
      <c r="H1589" t="s">
        <v>9</v>
      </c>
      <c r="I1589">
        <v>3</v>
      </c>
      <c r="J1589" t="str">
        <f>CONCATENATE(Table2[[#This Row],[Work Experience]],"years")</f>
        <v>3years</v>
      </c>
      <c r="K1589" t="str">
        <f>CONCATENATE(Table2[[#This Row],[Family Size2]],"members")</f>
        <v>5members</v>
      </c>
      <c r="L1589" t="str">
        <f>CONCATENATE(Table2[[#This Row],[Family Size2]],"members")</f>
        <v>5members</v>
      </c>
      <c r="M1589">
        <v>5</v>
      </c>
    </row>
    <row r="1590" spans="1:13">
      <c r="A1590">
        <v>1589</v>
      </c>
      <c r="B1590" t="s">
        <v>11</v>
      </c>
      <c r="C1590">
        <v>48</v>
      </c>
      <c r="D1590" t="str" cm="1">
        <f t="array" ref="D1590">_xlfn.IFS(Table2[[#This Row],[Age]]&lt;=11,"Gen A",Table2[[#This Row],[Age]]&lt;=27,"Gen Z",Table2[[#This Row],[Age]]&lt;=43,"Millenials",Table2[[#This Row],[Age]]&lt;=59,"Gen X",Table2[[#This Row],[Age]]&lt;=78,"Baby Boomers",Table2[[#This Row],[Age]]&lt;=96,"Silent",Table2[[#This Row],[Age]]&gt;=97,"Greatest")</f>
        <v>Gen X</v>
      </c>
      <c r="E1590" s="1">
        <v>186445</v>
      </c>
      <c r="F1590">
        <v>41</v>
      </c>
      <c r="G1590" t="str" cm="1">
        <f t="array" ref="G1590">_xlfn.IFS(Table2[[#This Row],[Spending Score (1-100)]]&lt;=25,"Low",Table2[[#This Row],[Spending Score (1-100)]]&lt;=50,"Medium",Table2[[#This Row],[Spending Score (1-100)]]&lt;=75,"High",Table2[[#This Row],[Spending Score (1-100)]]&lt;=100,"Very High")</f>
        <v>Medium</v>
      </c>
      <c r="H1590" t="s">
        <v>10</v>
      </c>
      <c r="I1590">
        <v>0</v>
      </c>
      <c r="J1590" t="str">
        <f>CONCATENATE(Table2[[#This Row],[Work Experience]],"years")</f>
        <v>0years</v>
      </c>
      <c r="K1590" t="str">
        <f>CONCATENATE(Table2[[#This Row],[Family Size2]],"members")</f>
        <v>1members</v>
      </c>
      <c r="L1590" t="str">
        <f>CONCATENATE(Table2[[#This Row],[Family Size2]],"members")</f>
        <v>1members</v>
      </c>
      <c r="M1590">
        <v>1</v>
      </c>
    </row>
    <row r="1591" spans="1:13">
      <c r="A1591">
        <v>1590</v>
      </c>
      <c r="B1591" t="s">
        <v>11</v>
      </c>
      <c r="C1591">
        <v>58</v>
      </c>
      <c r="D1591" t="str" cm="1">
        <f t="array" ref="D1591">_xlfn.IFS(Table2[[#This Row],[Age]]&lt;=11,"Gen A",Table2[[#This Row],[Age]]&lt;=27,"Gen Z",Table2[[#This Row],[Age]]&lt;=43,"Millenials",Table2[[#This Row],[Age]]&lt;=59,"Gen X",Table2[[#This Row],[Age]]&lt;=78,"Baby Boomers",Table2[[#This Row],[Age]]&lt;=96,"Silent",Table2[[#This Row],[Age]]&gt;=97,"Greatest")</f>
        <v>Gen X</v>
      </c>
      <c r="E1591" s="1">
        <v>102205</v>
      </c>
      <c r="F1591">
        <v>24</v>
      </c>
      <c r="G1591" t="str" cm="1">
        <f t="array" ref="G1591">_xlfn.IFS(Table2[[#This Row],[Spending Score (1-100)]]&lt;=25,"Low",Table2[[#This Row],[Spending Score (1-100)]]&lt;=50,"Medium",Table2[[#This Row],[Spending Score (1-100)]]&lt;=75,"High",Table2[[#This Row],[Spending Score (1-100)]]&lt;=100,"Very High")</f>
        <v>Low</v>
      </c>
      <c r="H1591" t="s">
        <v>14</v>
      </c>
      <c r="I1591">
        <v>1</v>
      </c>
      <c r="J1591" t="str">
        <f>CONCATENATE(Table2[[#This Row],[Work Experience]],"years")</f>
        <v>1years</v>
      </c>
      <c r="K1591" t="str">
        <f>CONCATENATE(Table2[[#This Row],[Family Size2]],"members")</f>
        <v>1members</v>
      </c>
      <c r="L1591" t="str">
        <f>CONCATENATE(Table2[[#This Row],[Family Size2]],"members")</f>
        <v>1members</v>
      </c>
      <c r="M1591">
        <v>1</v>
      </c>
    </row>
    <row r="1592" spans="1:13">
      <c r="A1592">
        <v>1591</v>
      </c>
      <c r="B1592" t="s">
        <v>11</v>
      </c>
      <c r="C1592">
        <v>21</v>
      </c>
      <c r="D1592" t="str" cm="1">
        <f t="array" ref="D1592">_xlfn.IFS(Table2[[#This Row],[Age]]&lt;=11,"Gen A",Table2[[#This Row],[Age]]&lt;=27,"Gen Z",Table2[[#This Row],[Age]]&lt;=43,"Millenials",Table2[[#This Row],[Age]]&lt;=59,"Gen X",Table2[[#This Row],[Age]]&lt;=78,"Baby Boomers",Table2[[#This Row],[Age]]&lt;=96,"Silent",Table2[[#This Row],[Age]]&gt;=97,"Greatest")</f>
        <v>Gen Z</v>
      </c>
      <c r="E1592" s="1">
        <v>52326</v>
      </c>
      <c r="F1592">
        <v>69</v>
      </c>
      <c r="G1592" t="str" cm="1">
        <f t="array" ref="G1592">_xlfn.IFS(Table2[[#This Row],[Spending Score (1-100)]]&lt;=25,"Low",Table2[[#This Row],[Spending Score (1-100)]]&lt;=50,"Medium",Table2[[#This Row],[Spending Score (1-100)]]&lt;=75,"High",Table2[[#This Row],[Spending Score (1-100)]]&lt;=100,"Very High")</f>
        <v>High</v>
      </c>
      <c r="H1592" t="s">
        <v>9</v>
      </c>
      <c r="I1592">
        <v>0</v>
      </c>
      <c r="J1592" t="str">
        <f>CONCATENATE(Table2[[#This Row],[Work Experience]],"years")</f>
        <v>0years</v>
      </c>
      <c r="K1592" t="str">
        <f>CONCATENATE(Table2[[#This Row],[Family Size2]],"members")</f>
        <v>2members</v>
      </c>
      <c r="L1592" t="str">
        <f>CONCATENATE(Table2[[#This Row],[Family Size2]],"members")</f>
        <v>2members</v>
      </c>
      <c r="M1592">
        <v>2</v>
      </c>
    </row>
    <row r="1593" spans="1:13">
      <c r="A1593">
        <v>1592</v>
      </c>
      <c r="B1593" t="s">
        <v>8</v>
      </c>
      <c r="C1593">
        <v>91</v>
      </c>
      <c r="D1593" t="str" cm="1">
        <f t="array" ref="D1593">_xlfn.IFS(Table2[[#This Row],[Age]]&lt;=11,"Gen A",Table2[[#This Row],[Age]]&lt;=27,"Gen Z",Table2[[#This Row],[Age]]&lt;=43,"Millenials",Table2[[#This Row],[Age]]&lt;=59,"Gen X",Table2[[#This Row],[Age]]&lt;=78,"Baby Boomers",Table2[[#This Row],[Age]]&lt;=96,"Silent",Table2[[#This Row],[Age]]&gt;=97,"Greatest")</f>
        <v>Silent</v>
      </c>
      <c r="E1593" s="1">
        <v>82992</v>
      </c>
      <c r="F1593">
        <v>5</v>
      </c>
      <c r="G1593" t="str" cm="1">
        <f t="array" ref="G1593">_xlfn.IFS(Table2[[#This Row],[Spending Score (1-100)]]&lt;=25,"Low",Table2[[#This Row],[Spending Score (1-100)]]&lt;=50,"Medium",Table2[[#This Row],[Spending Score (1-100)]]&lt;=75,"High",Table2[[#This Row],[Spending Score (1-100)]]&lt;=100,"Very High")</f>
        <v>Low</v>
      </c>
      <c r="H1593" t="s">
        <v>13</v>
      </c>
      <c r="I1593">
        <v>1</v>
      </c>
      <c r="J1593" t="str">
        <f>CONCATENATE(Table2[[#This Row],[Work Experience]],"years")</f>
        <v>1years</v>
      </c>
      <c r="K1593" t="str">
        <f>CONCATENATE(Table2[[#This Row],[Family Size2]],"members")</f>
        <v>5members</v>
      </c>
      <c r="L1593" t="str">
        <f>CONCATENATE(Table2[[#This Row],[Family Size2]],"members")</f>
        <v>5members</v>
      </c>
      <c r="M1593">
        <v>5</v>
      </c>
    </row>
    <row r="1594" spans="1:13">
      <c r="A1594">
        <v>1593</v>
      </c>
      <c r="B1594" t="s">
        <v>8</v>
      </c>
      <c r="C1594">
        <v>44</v>
      </c>
      <c r="D1594" t="str" cm="1">
        <f t="array" ref="D1594">_xlfn.IFS(Table2[[#This Row],[Age]]&lt;=11,"Gen A",Table2[[#This Row],[Age]]&lt;=27,"Gen Z",Table2[[#This Row],[Age]]&lt;=43,"Millenials",Table2[[#This Row],[Age]]&lt;=59,"Gen X",Table2[[#This Row],[Age]]&lt;=78,"Baby Boomers",Table2[[#This Row],[Age]]&lt;=96,"Silent",Table2[[#This Row],[Age]]&gt;=97,"Greatest")</f>
        <v>Gen X</v>
      </c>
      <c r="E1594" s="1">
        <v>145520</v>
      </c>
      <c r="F1594">
        <v>55</v>
      </c>
      <c r="G1594" t="str" cm="1">
        <f t="array" ref="G1594">_xlfn.IFS(Table2[[#This Row],[Spending Score (1-100)]]&lt;=25,"Low",Table2[[#This Row],[Spending Score (1-100)]]&lt;=50,"Medium",Table2[[#This Row],[Spending Score (1-100)]]&lt;=75,"High",Table2[[#This Row],[Spending Score (1-100)]]&lt;=100,"Very High")</f>
        <v>High</v>
      </c>
      <c r="H1594" t="s">
        <v>17</v>
      </c>
      <c r="I1594">
        <v>1</v>
      </c>
      <c r="J1594" t="str">
        <f>CONCATENATE(Table2[[#This Row],[Work Experience]],"years")</f>
        <v>1years</v>
      </c>
      <c r="K1594" t="str">
        <f>CONCATENATE(Table2[[#This Row],[Family Size2]],"members")</f>
        <v>7members</v>
      </c>
      <c r="L1594" t="str">
        <f>CONCATENATE(Table2[[#This Row],[Family Size2]],"members")</f>
        <v>7members</v>
      </c>
      <c r="M1594">
        <v>7</v>
      </c>
    </row>
    <row r="1595" spans="1:13">
      <c r="A1595">
        <v>1594</v>
      </c>
      <c r="B1595" t="s">
        <v>11</v>
      </c>
      <c r="C1595">
        <v>80</v>
      </c>
      <c r="D1595" t="str" cm="1">
        <f t="array" ref="D1595">_xlfn.IFS(Table2[[#This Row],[Age]]&lt;=11,"Gen A",Table2[[#This Row],[Age]]&lt;=27,"Gen Z",Table2[[#This Row],[Age]]&lt;=43,"Millenials",Table2[[#This Row],[Age]]&lt;=59,"Gen X",Table2[[#This Row],[Age]]&lt;=78,"Baby Boomers",Table2[[#This Row],[Age]]&lt;=96,"Silent",Table2[[#This Row],[Age]]&gt;=97,"Greatest")</f>
        <v>Silent</v>
      </c>
      <c r="E1595" s="1">
        <v>104820</v>
      </c>
      <c r="F1595">
        <v>96</v>
      </c>
      <c r="G1595" t="str" cm="1">
        <f t="array" ref="G1595">_xlfn.IFS(Table2[[#This Row],[Spending Score (1-100)]]&lt;=25,"Low",Table2[[#This Row],[Spending Score (1-100)]]&lt;=50,"Medium",Table2[[#This Row],[Spending Score (1-100)]]&lt;=75,"High",Table2[[#This Row],[Spending Score (1-100)]]&lt;=100,"Very High")</f>
        <v>Very High</v>
      </c>
      <c r="H1595" t="s">
        <v>14</v>
      </c>
      <c r="I1595">
        <v>2</v>
      </c>
      <c r="J1595" t="str">
        <f>CONCATENATE(Table2[[#This Row],[Work Experience]],"years")</f>
        <v>2years</v>
      </c>
      <c r="K1595" t="str">
        <f>CONCATENATE(Table2[[#This Row],[Family Size2]],"members")</f>
        <v>4members</v>
      </c>
      <c r="L1595" t="str">
        <f>CONCATENATE(Table2[[#This Row],[Family Size2]],"members")</f>
        <v>4members</v>
      </c>
      <c r="M1595">
        <v>4</v>
      </c>
    </row>
    <row r="1596" spans="1:13">
      <c r="A1596">
        <v>1595</v>
      </c>
      <c r="B1596" t="s">
        <v>11</v>
      </c>
      <c r="C1596">
        <v>28</v>
      </c>
      <c r="D1596" t="str" cm="1">
        <f t="array" ref="D1596">_xlfn.IFS(Table2[[#This Row],[Age]]&lt;=11,"Gen A",Table2[[#This Row],[Age]]&lt;=27,"Gen Z",Table2[[#This Row],[Age]]&lt;=43,"Millenials",Table2[[#This Row],[Age]]&lt;=59,"Gen X",Table2[[#This Row],[Age]]&lt;=78,"Baby Boomers",Table2[[#This Row],[Age]]&lt;=96,"Silent",Table2[[#This Row],[Age]]&gt;=97,"Greatest")</f>
        <v>Millenials</v>
      </c>
      <c r="E1596" s="1">
        <v>69025</v>
      </c>
      <c r="F1596">
        <v>79</v>
      </c>
      <c r="G1596" t="str" cm="1">
        <f t="array" ref="G1596">_xlfn.IFS(Table2[[#This Row],[Spending Score (1-100)]]&lt;=25,"Low",Table2[[#This Row],[Spending Score (1-100)]]&lt;=50,"Medium",Table2[[#This Row],[Spending Score (1-100)]]&lt;=75,"High",Table2[[#This Row],[Spending Score (1-100)]]&lt;=100,"Very High")</f>
        <v>Very High</v>
      </c>
      <c r="H1596" t="s">
        <v>13</v>
      </c>
      <c r="I1596">
        <v>0</v>
      </c>
      <c r="J1596" t="str">
        <f>CONCATENATE(Table2[[#This Row],[Work Experience]],"years")</f>
        <v>0years</v>
      </c>
      <c r="K1596" t="str">
        <f>CONCATENATE(Table2[[#This Row],[Family Size2]],"members")</f>
        <v>2members</v>
      </c>
      <c r="L1596" t="str">
        <f>CONCATENATE(Table2[[#This Row],[Family Size2]],"members")</f>
        <v>2members</v>
      </c>
      <c r="M1596">
        <v>2</v>
      </c>
    </row>
    <row r="1597" spans="1:13">
      <c r="A1597">
        <v>1596</v>
      </c>
      <c r="B1597" t="s">
        <v>8</v>
      </c>
      <c r="C1597">
        <v>74</v>
      </c>
      <c r="D1597" t="str" cm="1">
        <f t="array" ref="D1597">_xlfn.IFS(Table2[[#This Row],[Age]]&lt;=11,"Gen A",Table2[[#This Row],[Age]]&lt;=27,"Gen Z",Table2[[#This Row],[Age]]&lt;=43,"Millenials",Table2[[#This Row],[Age]]&lt;=59,"Gen X",Table2[[#This Row],[Age]]&lt;=78,"Baby Boomers",Table2[[#This Row],[Age]]&lt;=96,"Silent",Table2[[#This Row],[Age]]&gt;=97,"Greatest")</f>
        <v>Baby Boomers</v>
      </c>
      <c r="E1597" s="1">
        <v>164976</v>
      </c>
      <c r="F1597">
        <v>89</v>
      </c>
      <c r="G1597" t="str" cm="1">
        <f t="array" ref="G1597">_xlfn.IFS(Table2[[#This Row],[Spending Score (1-100)]]&lt;=25,"Low",Table2[[#This Row],[Spending Score (1-100)]]&lt;=50,"Medium",Table2[[#This Row],[Spending Score (1-100)]]&lt;=75,"High",Table2[[#This Row],[Spending Score (1-100)]]&lt;=100,"Very High")</f>
        <v>Very High</v>
      </c>
      <c r="H1597" t="s">
        <v>13</v>
      </c>
      <c r="I1597">
        <v>0</v>
      </c>
      <c r="J1597" t="str">
        <f>CONCATENATE(Table2[[#This Row],[Work Experience]],"years")</f>
        <v>0years</v>
      </c>
      <c r="K1597" t="str">
        <f>CONCATENATE(Table2[[#This Row],[Family Size2]],"members")</f>
        <v>4members</v>
      </c>
      <c r="L1597" t="str">
        <f>CONCATENATE(Table2[[#This Row],[Family Size2]],"members")</f>
        <v>4members</v>
      </c>
      <c r="M1597">
        <v>4</v>
      </c>
    </row>
    <row r="1598" spans="1:13">
      <c r="A1598">
        <v>1597</v>
      </c>
      <c r="B1598" t="s">
        <v>11</v>
      </c>
      <c r="C1598">
        <v>79</v>
      </c>
      <c r="D1598" t="str" cm="1">
        <f t="array" ref="D1598">_xlfn.IFS(Table2[[#This Row],[Age]]&lt;=11,"Gen A",Table2[[#This Row],[Age]]&lt;=27,"Gen Z",Table2[[#This Row],[Age]]&lt;=43,"Millenials",Table2[[#This Row],[Age]]&lt;=59,"Gen X",Table2[[#This Row],[Age]]&lt;=78,"Baby Boomers",Table2[[#This Row],[Age]]&lt;=96,"Silent",Table2[[#This Row],[Age]]&gt;=97,"Greatest")</f>
        <v>Silent</v>
      </c>
      <c r="E1598" s="1">
        <v>178576</v>
      </c>
      <c r="F1598">
        <v>51</v>
      </c>
      <c r="G1598" t="str" cm="1">
        <f t="array" ref="G1598">_xlfn.IFS(Table2[[#This Row],[Spending Score (1-100)]]&lt;=25,"Low",Table2[[#This Row],[Spending Score (1-100)]]&lt;=50,"Medium",Table2[[#This Row],[Spending Score (1-100)]]&lt;=75,"High",Table2[[#This Row],[Spending Score (1-100)]]&lt;=100,"Very High")</f>
        <v>High</v>
      </c>
      <c r="H1598" t="s">
        <v>15</v>
      </c>
      <c r="I1598">
        <v>5</v>
      </c>
      <c r="J1598" t="str">
        <f>CONCATENATE(Table2[[#This Row],[Work Experience]],"years")</f>
        <v>5years</v>
      </c>
      <c r="K1598" t="str">
        <f>CONCATENATE(Table2[[#This Row],[Family Size2]],"members")</f>
        <v>5members</v>
      </c>
      <c r="L1598" t="str">
        <f>CONCATENATE(Table2[[#This Row],[Family Size2]],"members")</f>
        <v>5members</v>
      </c>
      <c r="M1598">
        <v>5</v>
      </c>
    </row>
    <row r="1599" spans="1:13">
      <c r="A1599">
        <v>1598</v>
      </c>
      <c r="B1599" t="s">
        <v>11</v>
      </c>
      <c r="C1599">
        <v>42</v>
      </c>
      <c r="D1599" t="str" cm="1">
        <f t="array" ref="D1599">_xlfn.IFS(Table2[[#This Row],[Age]]&lt;=11,"Gen A",Table2[[#This Row],[Age]]&lt;=27,"Gen Z",Table2[[#This Row],[Age]]&lt;=43,"Millenials",Table2[[#This Row],[Age]]&lt;=59,"Gen X",Table2[[#This Row],[Age]]&lt;=78,"Baby Boomers",Table2[[#This Row],[Age]]&lt;=96,"Silent",Table2[[#This Row],[Age]]&gt;=97,"Greatest")</f>
        <v>Millenials</v>
      </c>
      <c r="E1599" s="1">
        <v>72415</v>
      </c>
      <c r="F1599">
        <v>52</v>
      </c>
      <c r="G1599" t="str" cm="1">
        <f t="array" ref="G1599">_xlfn.IFS(Table2[[#This Row],[Spending Score (1-100)]]&lt;=25,"Low",Table2[[#This Row],[Spending Score (1-100)]]&lt;=50,"Medium",Table2[[#This Row],[Spending Score (1-100)]]&lt;=75,"High",Table2[[#This Row],[Spending Score (1-100)]]&lt;=100,"Very High")</f>
        <v>High</v>
      </c>
      <c r="H1599" t="s">
        <v>18</v>
      </c>
      <c r="I1599">
        <v>0</v>
      </c>
      <c r="J1599" t="str">
        <f>CONCATENATE(Table2[[#This Row],[Work Experience]],"years")</f>
        <v>0years</v>
      </c>
      <c r="K1599" t="str">
        <f>CONCATENATE(Table2[[#This Row],[Family Size2]],"members")</f>
        <v>5members</v>
      </c>
      <c r="L1599" t="str">
        <f>CONCATENATE(Table2[[#This Row],[Family Size2]],"members")</f>
        <v>5members</v>
      </c>
      <c r="M1599">
        <v>5</v>
      </c>
    </row>
    <row r="1600" spans="1:13">
      <c r="A1600">
        <v>1599</v>
      </c>
      <c r="B1600" t="s">
        <v>8</v>
      </c>
      <c r="C1600">
        <v>80</v>
      </c>
      <c r="D1600" t="str" cm="1">
        <f t="array" ref="D1600">_xlfn.IFS(Table2[[#This Row],[Age]]&lt;=11,"Gen A",Table2[[#This Row],[Age]]&lt;=27,"Gen Z",Table2[[#This Row],[Age]]&lt;=43,"Millenials",Table2[[#This Row],[Age]]&lt;=59,"Gen X",Table2[[#This Row],[Age]]&lt;=78,"Baby Boomers",Table2[[#This Row],[Age]]&lt;=96,"Silent",Table2[[#This Row],[Age]]&gt;=97,"Greatest")</f>
        <v>Silent</v>
      </c>
      <c r="E1600" s="1">
        <v>112146</v>
      </c>
      <c r="F1600">
        <v>24</v>
      </c>
      <c r="G1600" t="str" cm="1">
        <f t="array" ref="G1600">_xlfn.IFS(Table2[[#This Row],[Spending Score (1-100)]]&lt;=25,"Low",Table2[[#This Row],[Spending Score (1-100)]]&lt;=50,"Medium",Table2[[#This Row],[Spending Score (1-100)]]&lt;=75,"High",Table2[[#This Row],[Spending Score (1-100)]]&lt;=100,"Very High")</f>
        <v>Low</v>
      </c>
      <c r="H1600" t="s">
        <v>13</v>
      </c>
      <c r="I1600">
        <v>0</v>
      </c>
      <c r="J1600" t="str">
        <f>CONCATENATE(Table2[[#This Row],[Work Experience]],"years")</f>
        <v>0years</v>
      </c>
      <c r="K1600" t="str">
        <f>CONCATENATE(Table2[[#This Row],[Family Size2]],"members")</f>
        <v>3members</v>
      </c>
      <c r="L1600" t="str">
        <f>CONCATENATE(Table2[[#This Row],[Family Size2]],"members")</f>
        <v>3members</v>
      </c>
      <c r="M1600">
        <v>3</v>
      </c>
    </row>
    <row r="1601" spans="1:13">
      <c r="A1601">
        <v>1600</v>
      </c>
      <c r="B1601" t="s">
        <v>8</v>
      </c>
      <c r="C1601">
        <v>8</v>
      </c>
      <c r="D1601" t="str" cm="1">
        <f t="array" ref="D1601">_xlfn.IFS(Table2[[#This Row],[Age]]&lt;=11,"Gen A",Table2[[#This Row],[Age]]&lt;=27,"Gen Z",Table2[[#This Row],[Age]]&lt;=43,"Millenials",Table2[[#This Row],[Age]]&lt;=59,"Gen X",Table2[[#This Row],[Age]]&lt;=78,"Baby Boomers",Table2[[#This Row],[Age]]&lt;=96,"Silent",Table2[[#This Row],[Age]]&gt;=97,"Greatest")</f>
        <v>Gen A</v>
      </c>
      <c r="E1601" s="1">
        <v>144830</v>
      </c>
      <c r="F1601">
        <v>43</v>
      </c>
      <c r="G1601" t="str" cm="1">
        <f t="array" ref="G1601">_xlfn.IFS(Table2[[#This Row],[Spending Score (1-100)]]&lt;=25,"Low",Table2[[#This Row],[Spending Score (1-100)]]&lt;=50,"Medium",Table2[[#This Row],[Spending Score (1-100)]]&lt;=75,"High",Table2[[#This Row],[Spending Score (1-100)]]&lt;=100,"Very High")</f>
        <v>Medium</v>
      </c>
      <c r="H1601" t="s">
        <v>14</v>
      </c>
      <c r="I1601">
        <v>0</v>
      </c>
      <c r="J1601" t="str">
        <f>CONCATENATE(Table2[[#This Row],[Work Experience]],"years")</f>
        <v>0years</v>
      </c>
      <c r="K1601" t="str">
        <f>CONCATENATE(Table2[[#This Row],[Family Size2]],"members")</f>
        <v>1members</v>
      </c>
      <c r="L1601" t="str">
        <f>CONCATENATE(Table2[[#This Row],[Family Size2]],"members")</f>
        <v>1members</v>
      </c>
      <c r="M1601">
        <v>1</v>
      </c>
    </row>
    <row r="1602" spans="1:13">
      <c r="A1602">
        <v>1601</v>
      </c>
      <c r="B1602" t="s">
        <v>11</v>
      </c>
      <c r="C1602">
        <v>24</v>
      </c>
      <c r="D1602" t="str" cm="1">
        <f t="array" ref="D1602">_xlfn.IFS(Table2[[#This Row],[Age]]&lt;=11,"Gen A",Table2[[#This Row],[Age]]&lt;=27,"Gen Z",Table2[[#This Row],[Age]]&lt;=43,"Millenials",Table2[[#This Row],[Age]]&lt;=59,"Gen X",Table2[[#This Row],[Age]]&lt;=78,"Baby Boomers",Table2[[#This Row],[Age]]&lt;=96,"Silent",Table2[[#This Row],[Age]]&gt;=97,"Greatest")</f>
        <v>Gen Z</v>
      </c>
      <c r="E1602" s="1">
        <v>51661</v>
      </c>
      <c r="F1602">
        <v>79</v>
      </c>
      <c r="G1602" t="str" cm="1">
        <f t="array" ref="G1602">_xlfn.IFS(Table2[[#This Row],[Spending Score (1-100)]]&lt;=25,"Low",Table2[[#This Row],[Spending Score (1-100)]]&lt;=50,"Medium",Table2[[#This Row],[Spending Score (1-100)]]&lt;=75,"High",Table2[[#This Row],[Spending Score (1-100)]]&lt;=100,"Very High")</f>
        <v>Very High</v>
      </c>
      <c r="H1602" t="s">
        <v>13</v>
      </c>
      <c r="I1602">
        <v>0</v>
      </c>
      <c r="J1602" t="str">
        <f>CONCATENATE(Table2[[#This Row],[Work Experience]],"years")</f>
        <v>0years</v>
      </c>
      <c r="K1602" t="str">
        <f>CONCATENATE(Table2[[#This Row],[Family Size2]],"members")</f>
        <v>7members</v>
      </c>
      <c r="L1602" t="str">
        <f>CONCATENATE(Table2[[#This Row],[Family Size2]],"members")</f>
        <v>7members</v>
      </c>
      <c r="M1602">
        <v>7</v>
      </c>
    </row>
    <row r="1603" spans="1:13">
      <c r="A1603">
        <v>1602</v>
      </c>
      <c r="B1603" t="s">
        <v>11</v>
      </c>
      <c r="C1603">
        <v>71</v>
      </c>
      <c r="D1603" t="str" cm="1">
        <f t="array" ref="D1603">_xlfn.IFS(Table2[[#This Row],[Age]]&lt;=11,"Gen A",Table2[[#This Row],[Age]]&lt;=27,"Gen Z",Table2[[#This Row],[Age]]&lt;=43,"Millenials",Table2[[#This Row],[Age]]&lt;=59,"Gen X",Table2[[#This Row],[Age]]&lt;=78,"Baby Boomers",Table2[[#This Row],[Age]]&lt;=96,"Silent",Table2[[#This Row],[Age]]&gt;=97,"Greatest")</f>
        <v>Baby Boomers</v>
      </c>
      <c r="E1603" s="1">
        <v>152910</v>
      </c>
      <c r="F1603">
        <v>90</v>
      </c>
      <c r="G1603" t="str" cm="1">
        <f t="array" ref="G1603">_xlfn.IFS(Table2[[#This Row],[Spending Score (1-100)]]&lt;=25,"Low",Table2[[#This Row],[Spending Score (1-100)]]&lt;=50,"Medium",Table2[[#This Row],[Spending Score (1-100)]]&lt;=75,"High",Table2[[#This Row],[Spending Score (1-100)]]&lt;=100,"Very High")</f>
        <v>Very High</v>
      </c>
      <c r="H1603" t="s">
        <v>14</v>
      </c>
      <c r="I1603">
        <v>1</v>
      </c>
      <c r="J1603" t="str">
        <f>CONCATENATE(Table2[[#This Row],[Work Experience]],"years")</f>
        <v>1years</v>
      </c>
      <c r="K1603" t="str">
        <f>CONCATENATE(Table2[[#This Row],[Family Size2]],"members")</f>
        <v>6members</v>
      </c>
      <c r="L1603" t="str">
        <f>CONCATENATE(Table2[[#This Row],[Family Size2]],"members")</f>
        <v>6members</v>
      </c>
      <c r="M1603">
        <v>6</v>
      </c>
    </row>
    <row r="1604" spans="1:13">
      <c r="A1604">
        <v>1603</v>
      </c>
      <c r="B1604" t="s">
        <v>8</v>
      </c>
      <c r="C1604">
        <v>1</v>
      </c>
      <c r="D1604" t="str" cm="1">
        <f t="array" ref="D1604">_xlfn.IFS(Table2[[#This Row],[Age]]&lt;=11,"Gen A",Table2[[#This Row],[Age]]&lt;=27,"Gen Z",Table2[[#This Row],[Age]]&lt;=43,"Millenials",Table2[[#This Row],[Age]]&lt;=59,"Gen X",Table2[[#This Row],[Age]]&lt;=78,"Baby Boomers",Table2[[#This Row],[Age]]&lt;=96,"Silent",Table2[[#This Row],[Age]]&gt;=97,"Greatest")</f>
        <v>Gen A</v>
      </c>
      <c r="E1604" s="1">
        <v>114556</v>
      </c>
      <c r="F1604">
        <v>64</v>
      </c>
      <c r="G1604" t="str" cm="1">
        <f t="array" ref="G1604">_xlfn.IFS(Table2[[#This Row],[Spending Score (1-100)]]&lt;=25,"Low",Table2[[#This Row],[Spending Score (1-100)]]&lt;=50,"Medium",Table2[[#This Row],[Spending Score (1-100)]]&lt;=75,"High",Table2[[#This Row],[Spending Score (1-100)]]&lt;=100,"Very High")</f>
        <v>High</v>
      </c>
      <c r="H1604" t="s">
        <v>13</v>
      </c>
      <c r="I1604">
        <v>0</v>
      </c>
      <c r="J1604" t="str">
        <f>CONCATENATE(Table2[[#This Row],[Work Experience]],"years")</f>
        <v>0years</v>
      </c>
      <c r="K1604" t="str">
        <f>CONCATENATE(Table2[[#This Row],[Family Size2]],"members")</f>
        <v>7members</v>
      </c>
      <c r="L1604" t="str">
        <f>CONCATENATE(Table2[[#This Row],[Family Size2]],"members")</f>
        <v>7members</v>
      </c>
      <c r="M1604">
        <v>7</v>
      </c>
    </row>
    <row r="1605" spans="1:13">
      <c r="A1605">
        <v>1604</v>
      </c>
      <c r="B1605" t="s">
        <v>8</v>
      </c>
      <c r="C1605">
        <v>0</v>
      </c>
      <c r="D1605" t="str" cm="1">
        <f t="array" ref="D1605">_xlfn.IFS(Table2[[#This Row],[Age]]&lt;=11,"Gen A",Table2[[#This Row],[Age]]&lt;=27,"Gen Z",Table2[[#This Row],[Age]]&lt;=43,"Millenials",Table2[[#This Row],[Age]]&lt;=59,"Gen X",Table2[[#This Row],[Age]]&lt;=78,"Baby Boomers",Table2[[#This Row],[Age]]&lt;=96,"Silent",Table2[[#This Row],[Age]]&gt;=97,"Greatest")</f>
        <v>Gen A</v>
      </c>
      <c r="E1605" s="1">
        <v>143455</v>
      </c>
      <c r="F1605">
        <v>62</v>
      </c>
      <c r="G1605" t="str" cm="1">
        <f t="array" ref="G1605">_xlfn.IFS(Table2[[#This Row],[Spending Score (1-100)]]&lt;=25,"Low",Table2[[#This Row],[Spending Score (1-100)]]&lt;=50,"Medium",Table2[[#This Row],[Spending Score (1-100)]]&lt;=75,"High",Table2[[#This Row],[Spending Score (1-100)]]&lt;=100,"Very High")</f>
        <v>High</v>
      </c>
      <c r="H1605" t="s">
        <v>9</v>
      </c>
      <c r="I1605">
        <v>1</v>
      </c>
      <c r="J1605" t="str">
        <f>CONCATENATE(Table2[[#This Row],[Work Experience]],"years")</f>
        <v>1years</v>
      </c>
      <c r="K1605" t="str">
        <f>CONCATENATE(Table2[[#This Row],[Family Size2]],"members")</f>
        <v>6members</v>
      </c>
      <c r="L1605" t="str">
        <f>CONCATENATE(Table2[[#This Row],[Family Size2]],"members")</f>
        <v>6members</v>
      </c>
      <c r="M1605">
        <v>6</v>
      </c>
    </row>
    <row r="1606" spans="1:13">
      <c r="A1606">
        <v>1605</v>
      </c>
      <c r="B1606" t="s">
        <v>8</v>
      </c>
      <c r="C1606">
        <v>30</v>
      </c>
      <c r="D1606" t="str" cm="1">
        <f t="array" ref="D1606">_xlfn.IFS(Table2[[#This Row],[Age]]&lt;=11,"Gen A",Table2[[#This Row],[Age]]&lt;=27,"Gen Z",Table2[[#This Row],[Age]]&lt;=43,"Millenials",Table2[[#This Row],[Age]]&lt;=59,"Gen X",Table2[[#This Row],[Age]]&lt;=78,"Baby Boomers",Table2[[#This Row],[Age]]&lt;=96,"Silent",Table2[[#This Row],[Age]]&gt;=97,"Greatest")</f>
        <v>Millenials</v>
      </c>
      <c r="E1606" s="1">
        <v>173096</v>
      </c>
      <c r="F1606">
        <v>92</v>
      </c>
      <c r="G1606" t="str" cm="1">
        <f t="array" ref="G1606">_xlfn.IFS(Table2[[#This Row],[Spending Score (1-100)]]&lt;=25,"Low",Table2[[#This Row],[Spending Score (1-100)]]&lt;=50,"Medium",Table2[[#This Row],[Spending Score (1-100)]]&lt;=75,"High",Table2[[#This Row],[Spending Score (1-100)]]&lt;=100,"Very High")</f>
        <v>Very High</v>
      </c>
      <c r="H1606" t="s">
        <v>9</v>
      </c>
      <c r="I1606">
        <v>0</v>
      </c>
      <c r="J1606" t="str">
        <f>CONCATENATE(Table2[[#This Row],[Work Experience]],"years")</f>
        <v>0years</v>
      </c>
      <c r="K1606" t="str">
        <f>CONCATENATE(Table2[[#This Row],[Family Size2]],"members")</f>
        <v>3members</v>
      </c>
      <c r="L1606" t="str">
        <f>CONCATENATE(Table2[[#This Row],[Family Size2]],"members")</f>
        <v>3members</v>
      </c>
      <c r="M1606">
        <v>3</v>
      </c>
    </row>
    <row r="1607" spans="1:13">
      <c r="A1607">
        <v>1606</v>
      </c>
      <c r="B1607" t="s">
        <v>11</v>
      </c>
      <c r="C1607">
        <v>52</v>
      </c>
      <c r="D1607" t="str" cm="1">
        <f t="array" ref="D1607">_xlfn.IFS(Table2[[#This Row],[Age]]&lt;=11,"Gen A",Table2[[#This Row],[Age]]&lt;=27,"Gen Z",Table2[[#This Row],[Age]]&lt;=43,"Millenials",Table2[[#This Row],[Age]]&lt;=59,"Gen X",Table2[[#This Row],[Age]]&lt;=78,"Baby Boomers",Table2[[#This Row],[Age]]&lt;=96,"Silent",Table2[[#This Row],[Age]]&gt;=97,"Greatest")</f>
        <v>Gen X</v>
      </c>
      <c r="E1607" s="1">
        <v>121172</v>
      </c>
      <c r="F1607">
        <v>97</v>
      </c>
      <c r="G1607" t="str" cm="1">
        <f t="array" ref="G1607">_xlfn.IFS(Table2[[#This Row],[Spending Score (1-100)]]&lt;=25,"Low",Table2[[#This Row],[Spending Score (1-100)]]&lt;=50,"Medium",Table2[[#This Row],[Spending Score (1-100)]]&lt;=75,"High",Table2[[#This Row],[Spending Score (1-100)]]&lt;=100,"Very High")</f>
        <v>Very High</v>
      </c>
      <c r="H1607" t="s">
        <v>9</v>
      </c>
      <c r="I1607">
        <v>5</v>
      </c>
      <c r="J1607" t="str">
        <f>CONCATENATE(Table2[[#This Row],[Work Experience]],"years")</f>
        <v>5years</v>
      </c>
      <c r="K1607" t="str">
        <f>CONCATENATE(Table2[[#This Row],[Family Size2]],"members")</f>
        <v>4members</v>
      </c>
      <c r="L1607" t="str">
        <f>CONCATENATE(Table2[[#This Row],[Family Size2]],"members")</f>
        <v>4members</v>
      </c>
      <c r="M1607">
        <v>4</v>
      </c>
    </row>
    <row r="1608" spans="1:13">
      <c r="A1608">
        <v>1607</v>
      </c>
      <c r="B1608" t="s">
        <v>11</v>
      </c>
      <c r="C1608">
        <v>34</v>
      </c>
      <c r="D1608" t="str" cm="1">
        <f t="array" ref="D1608">_xlfn.IFS(Table2[[#This Row],[Age]]&lt;=11,"Gen A",Table2[[#This Row],[Age]]&lt;=27,"Gen Z",Table2[[#This Row],[Age]]&lt;=43,"Millenials",Table2[[#This Row],[Age]]&lt;=59,"Gen X",Table2[[#This Row],[Age]]&lt;=78,"Baby Boomers",Table2[[#This Row],[Age]]&lt;=96,"Silent",Table2[[#This Row],[Age]]&gt;=97,"Greatest")</f>
        <v>Millenials</v>
      </c>
      <c r="E1608" s="1">
        <v>56492</v>
      </c>
      <c r="F1608">
        <v>15</v>
      </c>
      <c r="G1608" t="str" cm="1">
        <f t="array" ref="G1608">_xlfn.IFS(Table2[[#This Row],[Spending Score (1-100)]]&lt;=25,"Low",Table2[[#This Row],[Spending Score (1-100)]]&lt;=50,"Medium",Table2[[#This Row],[Spending Score (1-100)]]&lt;=75,"High",Table2[[#This Row],[Spending Score (1-100)]]&lt;=100,"Very High")</f>
        <v>Low</v>
      </c>
      <c r="H1608" t="s">
        <v>17</v>
      </c>
      <c r="I1608">
        <v>8</v>
      </c>
      <c r="J1608" t="str">
        <f>CONCATENATE(Table2[[#This Row],[Work Experience]],"years")</f>
        <v>8years</v>
      </c>
      <c r="K1608" t="str">
        <f>CONCATENATE(Table2[[#This Row],[Family Size2]],"members")</f>
        <v>1members</v>
      </c>
      <c r="L1608" t="str">
        <f>CONCATENATE(Table2[[#This Row],[Family Size2]],"members")</f>
        <v>1members</v>
      </c>
      <c r="M1608">
        <v>1</v>
      </c>
    </row>
    <row r="1609" spans="1:13">
      <c r="A1609">
        <v>1608</v>
      </c>
      <c r="B1609" t="s">
        <v>8</v>
      </c>
      <c r="C1609">
        <v>64</v>
      </c>
      <c r="D1609" t="str" cm="1">
        <f t="array" ref="D1609">_xlfn.IFS(Table2[[#This Row],[Age]]&lt;=11,"Gen A",Table2[[#This Row],[Age]]&lt;=27,"Gen Z",Table2[[#This Row],[Age]]&lt;=43,"Millenials",Table2[[#This Row],[Age]]&lt;=59,"Gen X",Table2[[#This Row],[Age]]&lt;=78,"Baby Boomers",Table2[[#This Row],[Age]]&lt;=96,"Silent",Table2[[#This Row],[Age]]&gt;=97,"Greatest")</f>
        <v>Baby Boomers</v>
      </c>
      <c r="E1609" s="1">
        <v>156422</v>
      </c>
      <c r="F1609">
        <v>39</v>
      </c>
      <c r="G1609" t="str" cm="1">
        <f t="array" ref="G1609">_xlfn.IFS(Table2[[#This Row],[Spending Score (1-100)]]&lt;=25,"Low",Table2[[#This Row],[Spending Score (1-100)]]&lt;=50,"Medium",Table2[[#This Row],[Spending Score (1-100)]]&lt;=75,"High",Table2[[#This Row],[Spending Score (1-100)]]&lt;=100,"Very High")</f>
        <v>Medium</v>
      </c>
      <c r="H1609" t="s">
        <v>13</v>
      </c>
      <c r="I1609">
        <v>1</v>
      </c>
      <c r="J1609" t="str">
        <f>CONCATENATE(Table2[[#This Row],[Work Experience]],"years")</f>
        <v>1years</v>
      </c>
      <c r="K1609" t="str">
        <f>CONCATENATE(Table2[[#This Row],[Family Size2]],"members")</f>
        <v>7members</v>
      </c>
      <c r="L1609" t="str">
        <f>CONCATENATE(Table2[[#This Row],[Family Size2]],"members")</f>
        <v>7members</v>
      </c>
      <c r="M1609">
        <v>7</v>
      </c>
    </row>
    <row r="1610" spans="1:13">
      <c r="A1610">
        <v>1609</v>
      </c>
      <c r="B1610" t="s">
        <v>8</v>
      </c>
      <c r="C1610">
        <v>17</v>
      </c>
      <c r="D1610" t="str" cm="1">
        <f t="array" ref="D1610">_xlfn.IFS(Table2[[#This Row],[Age]]&lt;=11,"Gen A",Table2[[#This Row],[Age]]&lt;=27,"Gen Z",Table2[[#This Row],[Age]]&lt;=43,"Millenials",Table2[[#This Row],[Age]]&lt;=59,"Gen X",Table2[[#This Row],[Age]]&lt;=78,"Baby Boomers",Table2[[#This Row],[Age]]&lt;=96,"Silent",Table2[[#This Row],[Age]]&gt;=97,"Greatest")</f>
        <v>Gen Z</v>
      </c>
      <c r="E1610" s="1">
        <v>131863</v>
      </c>
      <c r="F1610">
        <v>94</v>
      </c>
      <c r="G1610" t="str" cm="1">
        <f t="array" ref="G1610">_xlfn.IFS(Table2[[#This Row],[Spending Score (1-100)]]&lt;=25,"Low",Table2[[#This Row],[Spending Score (1-100)]]&lt;=50,"Medium",Table2[[#This Row],[Spending Score (1-100)]]&lt;=75,"High",Table2[[#This Row],[Spending Score (1-100)]]&lt;=100,"Very High")</f>
        <v>Very High</v>
      </c>
      <c r="H1610" t="s">
        <v>14</v>
      </c>
      <c r="I1610">
        <v>1</v>
      </c>
      <c r="J1610" t="str">
        <f>CONCATENATE(Table2[[#This Row],[Work Experience]],"years")</f>
        <v>1years</v>
      </c>
      <c r="K1610" t="str">
        <f>CONCATENATE(Table2[[#This Row],[Family Size2]],"members")</f>
        <v>7members</v>
      </c>
      <c r="L1610" t="str">
        <f>CONCATENATE(Table2[[#This Row],[Family Size2]],"members")</f>
        <v>7members</v>
      </c>
      <c r="M1610">
        <v>7</v>
      </c>
    </row>
    <row r="1611" spans="1:13">
      <c r="A1611">
        <v>1610</v>
      </c>
      <c r="B1611" t="s">
        <v>8</v>
      </c>
      <c r="C1611">
        <v>71</v>
      </c>
      <c r="D1611" t="str" cm="1">
        <f t="array" ref="D1611">_xlfn.IFS(Table2[[#This Row],[Age]]&lt;=11,"Gen A",Table2[[#This Row],[Age]]&lt;=27,"Gen Z",Table2[[#This Row],[Age]]&lt;=43,"Millenials",Table2[[#This Row],[Age]]&lt;=59,"Gen X",Table2[[#This Row],[Age]]&lt;=78,"Baby Boomers",Table2[[#This Row],[Age]]&lt;=96,"Silent",Table2[[#This Row],[Age]]&gt;=97,"Greatest")</f>
        <v>Baby Boomers</v>
      </c>
      <c r="E1611" s="1">
        <v>118096</v>
      </c>
      <c r="F1611">
        <v>36</v>
      </c>
      <c r="G1611" t="str" cm="1">
        <f t="array" ref="G1611">_xlfn.IFS(Table2[[#This Row],[Spending Score (1-100)]]&lt;=25,"Low",Table2[[#This Row],[Spending Score (1-100)]]&lt;=50,"Medium",Table2[[#This Row],[Spending Score (1-100)]]&lt;=75,"High",Table2[[#This Row],[Spending Score (1-100)]]&lt;=100,"Very High")</f>
        <v>Medium</v>
      </c>
      <c r="H1611" t="s">
        <v>12</v>
      </c>
      <c r="I1611">
        <v>0</v>
      </c>
      <c r="J1611" t="str">
        <f>CONCATENATE(Table2[[#This Row],[Work Experience]],"years")</f>
        <v>0years</v>
      </c>
      <c r="K1611" t="str">
        <f>CONCATENATE(Table2[[#This Row],[Family Size2]],"members")</f>
        <v>3members</v>
      </c>
      <c r="L1611" t="str">
        <f>CONCATENATE(Table2[[#This Row],[Family Size2]],"members")</f>
        <v>3members</v>
      </c>
      <c r="M1611">
        <v>3</v>
      </c>
    </row>
    <row r="1612" spans="1:13">
      <c r="A1612">
        <v>1611</v>
      </c>
      <c r="B1612" t="s">
        <v>8</v>
      </c>
      <c r="C1612">
        <v>87</v>
      </c>
      <c r="D1612" t="str" cm="1">
        <f t="array" ref="D1612">_xlfn.IFS(Table2[[#This Row],[Age]]&lt;=11,"Gen A",Table2[[#This Row],[Age]]&lt;=27,"Gen Z",Table2[[#This Row],[Age]]&lt;=43,"Millenials",Table2[[#This Row],[Age]]&lt;=59,"Gen X",Table2[[#This Row],[Age]]&lt;=78,"Baby Boomers",Table2[[#This Row],[Age]]&lt;=96,"Silent",Table2[[#This Row],[Age]]&gt;=97,"Greatest")</f>
        <v>Silent</v>
      </c>
      <c r="E1612" s="1">
        <v>149685</v>
      </c>
      <c r="F1612">
        <v>30</v>
      </c>
      <c r="G1612" t="str" cm="1">
        <f t="array" ref="G1612">_xlfn.IFS(Table2[[#This Row],[Spending Score (1-100)]]&lt;=25,"Low",Table2[[#This Row],[Spending Score (1-100)]]&lt;=50,"Medium",Table2[[#This Row],[Spending Score (1-100)]]&lt;=75,"High",Table2[[#This Row],[Spending Score (1-100)]]&lt;=100,"Very High")</f>
        <v>Medium</v>
      </c>
      <c r="H1612" t="s">
        <v>15</v>
      </c>
      <c r="I1612">
        <v>9</v>
      </c>
      <c r="J1612" t="str">
        <f>CONCATENATE(Table2[[#This Row],[Work Experience]],"years")</f>
        <v>9years</v>
      </c>
      <c r="K1612" t="str">
        <f>CONCATENATE(Table2[[#This Row],[Family Size2]],"members")</f>
        <v>6members</v>
      </c>
      <c r="L1612" t="str">
        <f>CONCATENATE(Table2[[#This Row],[Family Size2]],"members")</f>
        <v>6members</v>
      </c>
      <c r="M1612">
        <v>6</v>
      </c>
    </row>
    <row r="1613" spans="1:13">
      <c r="A1613">
        <v>1612</v>
      </c>
      <c r="B1613" t="s">
        <v>11</v>
      </c>
      <c r="C1613">
        <v>68</v>
      </c>
      <c r="D1613" t="str" cm="1">
        <f t="array" ref="D1613">_xlfn.IFS(Table2[[#This Row],[Age]]&lt;=11,"Gen A",Table2[[#This Row],[Age]]&lt;=27,"Gen Z",Table2[[#This Row],[Age]]&lt;=43,"Millenials",Table2[[#This Row],[Age]]&lt;=59,"Gen X",Table2[[#This Row],[Age]]&lt;=78,"Baby Boomers",Table2[[#This Row],[Age]]&lt;=96,"Silent",Table2[[#This Row],[Age]]&gt;=97,"Greatest")</f>
        <v>Baby Boomers</v>
      </c>
      <c r="E1613" s="1">
        <v>89765</v>
      </c>
      <c r="F1613">
        <v>28</v>
      </c>
      <c r="G1613" t="str" cm="1">
        <f t="array" ref="G1613">_xlfn.IFS(Table2[[#This Row],[Spending Score (1-100)]]&lt;=25,"Low",Table2[[#This Row],[Spending Score (1-100)]]&lt;=50,"Medium",Table2[[#This Row],[Spending Score (1-100)]]&lt;=75,"High",Table2[[#This Row],[Spending Score (1-100)]]&lt;=100,"Very High")</f>
        <v>Medium</v>
      </c>
      <c r="H1613" t="s">
        <v>14</v>
      </c>
      <c r="I1613">
        <v>0</v>
      </c>
      <c r="J1613" t="str">
        <f>CONCATENATE(Table2[[#This Row],[Work Experience]],"years")</f>
        <v>0years</v>
      </c>
      <c r="K1613" t="str">
        <f>CONCATENATE(Table2[[#This Row],[Family Size2]],"members")</f>
        <v>7members</v>
      </c>
      <c r="L1613" t="str">
        <f>CONCATENATE(Table2[[#This Row],[Family Size2]],"members")</f>
        <v>7members</v>
      </c>
      <c r="M1613">
        <v>7</v>
      </c>
    </row>
    <row r="1614" spans="1:13">
      <c r="A1614">
        <v>1613</v>
      </c>
      <c r="B1614" t="s">
        <v>11</v>
      </c>
      <c r="C1614">
        <v>14</v>
      </c>
      <c r="D1614" t="str" cm="1">
        <f t="array" ref="D1614">_xlfn.IFS(Table2[[#This Row],[Age]]&lt;=11,"Gen A",Table2[[#This Row],[Age]]&lt;=27,"Gen Z",Table2[[#This Row],[Age]]&lt;=43,"Millenials",Table2[[#This Row],[Age]]&lt;=59,"Gen X",Table2[[#This Row],[Age]]&lt;=78,"Baby Boomers",Table2[[#This Row],[Age]]&lt;=96,"Silent",Table2[[#This Row],[Age]]&gt;=97,"Greatest")</f>
        <v>Gen Z</v>
      </c>
      <c r="E1614" s="1">
        <v>177701</v>
      </c>
      <c r="F1614">
        <v>49</v>
      </c>
      <c r="G1614" t="str" cm="1">
        <f t="array" ref="G1614">_xlfn.IFS(Table2[[#This Row],[Spending Score (1-100)]]&lt;=25,"Low",Table2[[#This Row],[Spending Score (1-100)]]&lt;=50,"Medium",Table2[[#This Row],[Spending Score (1-100)]]&lt;=75,"High",Table2[[#This Row],[Spending Score (1-100)]]&lt;=100,"Very High")</f>
        <v>Medium</v>
      </c>
      <c r="H1614" t="s">
        <v>13</v>
      </c>
      <c r="I1614">
        <v>0</v>
      </c>
      <c r="J1614" t="str">
        <f>CONCATENATE(Table2[[#This Row],[Work Experience]],"years")</f>
        <v>0years</v>
      </c>
      <c r="K1614" t="str">
        <f>CONCATENATE(Table2[[#This Row],[Family Size2]],"members")</f>
        <v>6members</v>
      </c>
      <c r="L1614" t="str">
        <f>CONCATENATE(Table2[[#This Row],[Family Size2]],"members")</f>
        <v>6members</v>
      </c>
      <c r="M1614">
        <v>6</v>
      </c>
    </row>
    <row r="1615" spans="1:13">
      <c r="A1615">
        <v>1614</v>
      </c>
      <c r="B1615" t="s">
        <v>8</v>
      </c>
      <c r="C1615">
        <v>24</v>
      </c>
      <c r="D1615" t="str" cm="1">
        <f t="array" ref="D1615">_xlfn.IFS(Table2[[#This Row],[Age]]&lt;=11,"Gen A",Table2[[#This Row],[Age]]&lt;=27,"Gen Z",Table2[[#This Row],[Age]]&lt;=43,"Millenials",Table2[[#This Row],[Age]]&lt;=59,"Gen X",Table2[[#This Row],[Age]]&lt;=78,"Baby Boomers",Table2[[#This Row],[Age]]&lt;=96,"Silent",Table2[[#This Row],[Age]]&gt;=97,"Greatest")</f>
        <v>Gen Z</v>
      </c>
      <c r="E1615" s="1">
        <v>64738</v>
      </c>
      <c r="F1615">
        <v>67</v>
      </c>
      <c r="G1615" t="str" cm="1">
        <f t="array" ref="G1615">_xlfn.IFS(Table2[[#This Row],[Spending Score (1-100)]]&lt;=25,"Low",Table2[[#This Row],[Spending Score (1-100)]]&lt;=50,"Medium",Table2[[#This Row],[Spending Score (1-100)]]&lt;=75,"High",Table2[[#This Row],[Spending Score (1-100)]]&lt;=100,"Very High")</f>
        <v>High</v>
      </c>
      <c r="H1615" t="s">
        <v>14</v>
      </c>
      <c r="I1615">
        <v>0</v>
      </c>
      <c r="J1615" t="str">
        <f>CONCATENATE(Table2[[#This Row],[Work Experience]],"years")</f>
        <v>0years</v>
      </c>
      <c r="K1615" t="str">
        <f>CONCATENATE(Table2[[#This Row],[Family Size2]],"members")</f>
        <v>6members</v>
      </c>
      <c r="L1615" t="str">
        <f>CONCATENATE(Table2[[#This Row],[Family Size2]],"members")</f>
        <v>6members</v>
      </c>
      <c r="M1615">
        <v>6</v>
      </c>
    </row>
    <row r="1616" spans="1:13">
      <c r="A1616">
        <v>1615</v>
      </c>
      <c r="B1616" t="s">
        <v>11</v>
      </c>
      <c r="C1616">
        <v>10</v>
      </c>
      <c r="D1616" t="str" cm="1">
        <f t="array" ref="D1616">_xlfn.IFS(Table2[[#This Row],[Age]]&lt;=11,"Gen A",Table2[[#This Row],[Age]]&lt;=27,"Gen Z",Table2[[#This Row],[Age]]&lt;=43,"Millenials",Table2[[#This Row],[Age]]&lt;=59,"Gen X",Table2[[#This Row],[Age]]&lt;=78,"Baby Boomers",Table2[[#This Row],[Age]]&lt;=96,"Silent",Table2[[#This Row],[Age]]&gt;=97,"Greatest")</f>
        <v>Gen A</v>
      </c>
      <c r="E1616" s="1">
        <v>92734</v>
      </c>
      <c r="F1616">
        <v>28</v>
      </c>
      <c r="G1616" t="str" cm="1">
        <f t="array" ref="G1616">_xlfn.IFS(Table2[[#This Row],[Spending Score (1-100)]]&lt;=25,"Low",Table2[[#This Row],[Spending Score (1-100)]]&lt;=50,"Medium",Table2[[#This Row],[Spending Score (1-100)]]&lt;=75,"High",Table2[[#This Row],[Spending Score (1-100)]]&lt;=100,"Very High")</f>
        <v>Medium</v>
      </c>
      <c r="H1616" t="s">
        <v>12</v>
      </c>
      <c r="I1616">
        <v>1</v>
      </c>
      <c r="J1616" t="str">
        <f>CONCATENATE(Table2[[#This Row],[Work Experience]],"years")</f>
        <v>1years</v>
      </c>
      <c r="K1616" t="str">
        <f>CONCATENATE(Table2[[#This Row],[Family Size2]],"members")</f>
        <v>4members</v>
      </c>
      <c r="L1616" t="str">
        <f>CONCATENATE(Table2[[#This Row],[Family Size2]],"members")</f>
        <v>4members</v>
      </c>
      <c r="M1616">
        <v>4</v>
      </c>
    </row>
    <row r="1617" spans="1:13">
      <c r="A1617">
        <v>1616</v>
      </c>
      <c r="B1617" t="s">
        <v>11</v>
      </c>
      <c r="C1617">
        <v>53</v>
      </c>
      <c r="D1617" t="str" cm="1">
        <f t="array" ref="D1617">_xlfn.IFS(Table2[[#This Row],[Age]]&lt;=11,"Gen A",Table2[[#This Row],[Age]]&lt;=27,"Gen Z",Table2[[#This Row],[Age]]&lt;=43,"Millenials",Table2[[#This Row],[Age]]&lt;=59,"Gen X",Table2[[#This Row],[Age]]&lt;=78,"Baby Boomers",Table2[[#This Row],[Age]]&lt;=96,"Silent",Table2[[#This Row],[Age]]&gt;=97,"Greatest")</f>
        <v>Gen X</v>
      </c>
      <c r="E1617" s="1">
        <v>146877</v>
      </c>
      <c r="F1617">
        <v>47</v>
      </c>
      <c r="G1617" t="str" cm="1">
        <f t="array" ref="G1617">_xlfn.IFS(Table2[[#This Row],[Spending Score (1-100)]]&lt;=25,"Low",Table2[[#This Row],[Spending Score (1-100)]]&lt;=50,"Medium",Table2[[#This Row],[Spending Score (1-100)]]&lt;=75,"High",Table2[[#This Row],[Spending Score (1-100)]]&lt;=100,"Very High")</f>
        <v>Medium</v>
      </c>
      <c r="H1617" t="s">
        <v>9</v>
      </c>
      <c r="I1617">
        <v>4</v>
      </c>
      <c r="J1617" t="str">
        <f>CONCATENATE(Table2[[#This Row],[Work Experience]],"years")</f>
        <v>4years</v>
      </c>
      <c r="K1617" t="str">
        <f>CONCATENATE(Table2[[#This Row],[Family Size2]],"members")</f>
        <v>3members</v>
      </c>
      <c r="L1617" t="str">
        <f>CONCATENATE(Table2[[#This Row],[Family Size2]],"members")</f>
        <v>3members</v>
      </c>
      <c r="M1617">
        <v>3</v>
      </c>
    </row>
    <row r="1618" spans="1:13">
      <c r="A1618">
        <v>1617</v>
      </c>
      <c r="B1618" t="s">
        <v>11</v>
      </c>
      <c r="C1618">
        <v>39</v>
      </c>
      <c r="D1618" t="str" cm="1">
        <f t="array" ref="D1618">_xlfn.IFS(Table2[[#This Row],[Age]]&lt;=11,"Gen A",Table2[[#This Row],[Age]]&lt;=27,"Gen Z",Table2[[#This Row],[Age]]&lt;=43,"Millenials",Table2[[#This Row],[Age]]&lt;=59,"Gen X",Table2[[#This Row],[Age]]&lt;=78,"Baby Boomers",Table2[[#This Row],[Age]]&lt;=96,"Silent",Table2[[#This Row],[Age]]&gt;=97,"Greatest")</f>
        <v>Millenials</v>
      </c>
      <c r="E1618" s="1">
        <v>62935</v>
      </c>
      <c r="F1618">
        <v>60</v>
      </c>
      <c r="G1618" t="str" cm="1">
        <f t="array" ref="G1618">_xlfn.IFS(Table2[[#This Row],[Spending Score (1-100)]]&lt;=25,"Low",Table2[[#This Row],[Spending Score (1-100)]]&lt;=50,"Medium",Table2[[#This Row],[Spending Score (1-100)]]&lt;=75,"High",Table2[[#This Row],[Spending Score (1-100)]]&lt;=100,"Very High")</f>
        <v>High</v>
      </c>
      <c r="H1618" t="s">
        <v>14</v>
      </c>
      <c r="I1618">
        <v>0</v>
      </c>
      <c r="J1618" t="str">
        <f>CONCATENATE(Table2[[#This Row],[Work Experience]],"years")</f>
        <v>0years</v>
      </c>
      <c r="K1618" t="str">
        <f>CONCATENATE(Table2[[#This Row],[Family Size2]],"members")</f>
        <v>7members</v>
      </c>
      <c r="L1618" t="str">
        <f>CONCATENATE(Table2[[#This Row],[Family Size2]],"members")</f>
        <v>7members</v>
      </c>
      <c r="M1618">
        <v>7</v>
      </c>
    </row>
    <row r="1619" spans="1:13">
      <c r="A1619">
        <v>1618</v>
      </c>
      <c r="B1619" t="s">
        <v>11</v>
      </c>
      <c r="C1619">
        <v>16</v>
      </c>
      <c r="D1619" t="str" cm="1">
        <f t="array" ref="D1619">_xlfn.IFS(Table2[[#This Row],[Age]]&lt;=11,"Gen A",Table2[[#This Row],[Age]]&lt;=27,"Gen Z",Table2[[#This Row],[Age]]&lt;=43,"Millenials",Table2[[#This Row],[Age]]&lt;=59,"Gen X",Table2[[#This Row],[Age]]&lt;=78,"Baby Boomers",Table2[[#This Row],[Age]]&lt;=96,"Silent",Table2[[#This Row],[Age]]&gt;=97,"Greatest")</f>
        <v>Gen Z</v>
      </c>
      <c r="E1619" s="1">
        <v>67178</v>
      </c>
      <c r="F1619">
        <v>17</v>
      </c>
      <c r="G1619" t="str" cm="1">
        <f t="array" ref="G1619">_xlfn.IFS(Table2[[#This Row],[Spending Score (1-100)]]&lt;=25,"Low",Table2[[#This Row],[Spending Score (1-100)]]&lt;=50,"Medium",Table2[[#This Row],[Spending Score (1-100)]]&lt;=75,"High",Table2[[#This Row],[Spending Score (1-100)]]&lt;=100,"Very High")</f>
        <v>Low</v>
      </c>
      <c r="H1619" t="s">
        <v>13</v>
      </c>
      <c r="I1619">
        <v>8</v>
      </c>
      <c r="J1619" t="str">
        <f>CONCATENATE(Table2[[#This Row],[Work Experience]],"years")</f>
        <v>8years</v>
      </c>
      <c r="K1619" t="str">
        <f>CONCATENATE(Table2[[#This Row],[Family Size2]],"members")</f>
        <v>3members</v>
      </c>
      <c r="L1619" t="str">
        <f>CONCATENATE(Table2[[#This Row],[Family Size2]],"members")</f>
        <v>3members</v>
      </c>
      <c r="M1619">
        <v>3</v>
      </c>
    </row>
    <row r="1620" spans="1:13">
      <c r="A1620">
        <v>1619</v>
      </c>
      <c r="B1620" t="s">
        <v>11</v>
      </c>
      <c r="C1620">
        <v>64</v>
      </c>
      <c r="D1620" t="str" cm="1">
        <f t="array" ref="D1620">_xlfn.IFS(Table2[[#This Row],[Age]]&lt;=11,"Gen A",Table2[[#This Row],[Age]]&lt;=27,"Gen Z",Table2[[#This Row],[Age]]&lt;=43,"Millenials",Table2[[#This Row],[Age]]&lt;=59,"Gen X",Table2[[#This Row],[Age]]&lt;=78,"Baby Boomers",Table2[[#This Row],[Age]]&lt;=96,"Silent",Table2[[#This Row],[Age]]&gt;=97,"Greatest")</f>
        <v>Baby Boomers</v>
      </c>
      <c r="E1620" s="1">
        <v>115754</v>
      </c>
      <c r="F1620">
        <v>35</v>
      </c>
      <c r="G1620" t="str" cm="1">
        <f t="array" ref="G1620">_xlfn.IFS(Table2[[#This Row],[Spending Score (1-100)]]&lt;=25,"Low",Table2[[#This Row],[Spending Score (1-100)]]&lt;=50,"Medium",Table2[[#This Row],[Spending Score (1-100)]]&lt;=75,"High",Table2[[#This Row],[Spending Score (1-100)]]&lt;=100,"Very High")</f>
        <v>Medium</v>
      </c>
      <c r="H1620" t="s">
        <v>10</v>
      </c>
      <c r="I1620">
        <v>1</v>
      </c>
      <c r="J1620" t="str">
        <f>CONCATENATE(Table2[[#This Row],[Work Experience]],"years")</f>
        <v>1years</v>
      </c>
      <c r="K1620" t="str">
        <f>CONCATENATE(Table2[[#This Row],[Family Size2]],"members")</f>
        <v>3members</v>
      </c>
      <c r="L1620" t="str">
        <f>CONCATENATE(Table2[[#This Row],[Family Size2]],"members")</f>
        <v>3members</v>
      </c>
      <c r="M1620">
        <v>3</v>
      </c>
    </row>
    <row r="1621" spans="1:13">
      <c r="A1621">
        <v>1620</v>
      </c>
      <c r="B1621" t="s">
        <v>11</v>
      </c>
      <c r="C1621">
        <v>41</v>
      </c>
      <c r="D1621" t="str" cm="1">
        <f t="array" ref="D1621">_xlfn.IFS(Table2[[#This Row],[Age]]&lt;=11,"Gen A",Table2[[#This Row],[Age]]&lt;=27,"Gen Z",Table2[[#This Row],[Age]]&lt;=43,"Millenials",Table2[[#This Row],[Age]]&lt;=59,"Gen X",Table2[[#This Row],[Age]]&lt;=78,"Baby Boomers",Table2[[#This Row],[Age]]&lt;=96,"Silent",Table2[[#This Row],[Age]]&gt;=97,"Greatest")</f>
        <v>Millenials</v>
      </c>
      <c r="E1621" s="1">
        <v>186470</v>
      </c>
      <c r="F1621">
        <v>21</v>
      </c>
      <c r="G1621" t="str" cm="1">
        <f t="array" ref="G1621">_xlfn.IFS(Table2[[#This Row],[Spending Score (1-100)]]&lt;=25,"Low",Table2[[#This Row],[Spending Score (1-100)]]&lt;=50,"Medium",Table2[[#This Row],[Spending Score (1-100)]]&lt;=75,"High",Table2[[#This Row],[Spending Score (1-100)]]&lt;=100,"Very High")</f>
        <v>Low</v>
      </c>
      <c r="H1621" t="s">
        <v>14</v>
      </c>
      <c r="I1621">
        <v>0</v>
      </c>
      <c r="J1621" t="str">
        <f>CONCATENATE(Table2[[#This Row],[Work Experience]],"years")</f>
        <v>0years</v>
      </c>
      <c r="K1621" t="str">
        <f>CONCATENATE(Table2[[#This Row],[Family Size2]],"members")</f>
        <v>7members</v>
      </c>
      <c r="L1621" t="str">
        <f>CONCATENATE(Table2[[#This Row],[Family Size2]],"members")</f>
        <v>7members</v>
      </c>
      <c r="M1621">
        <v>7</v>
      </c>
    </row>
    <row r="1622" spans="1:13">
      <c r="A1622">
        <v>1621</v>
      </c>
      <c r="B1622" t="s">
        <v>8</v>
      </c>
      <c r="C1622">
        <v>16</v>
      </c>
      <c r="D1622" t="str" cm="1">
        <f t="array" ref="D1622">_xlfn.IFS(Table2[[#This Row],[Age]]&lt;=11,"Gen A",Table2[[#This Row],[Age]]&lt;=27,"Gen Z",Table2[[#This Row],[Age]]&lt;=43,"Millenials",Table2[[#This Row],[Age]]&lt;=59,"Gen X",Table2[[#This Row],[Age]]&lt;=78,"Baby Boomers",Table2[[#This Row],[Age]]&lt;=96,"Silent",Table2[[#This Row],[Age]]&gt;=97,"Greatest")</f>
        <v>Gen Z</v>
      </c>
      <c r="E1622" s="1">
        <v>100939</v>
      </c>
      <c r="F1622">
        <v>34</v>
      </c>
      <c r="G1622" t="str" cm="1">
        <f t="array" ref="G1622">_xlfn.IFS(Table2[[#This Row],[Spending Score (1-100)]]&lt;=25,"Low",Table2[[#This Row],[Spending Score (1-100)]]&lt;=50,"Medium",Table2[[#This Row],[Spending Score (1-100)]]&lt;=75,"High",Table2[[#This Row],[Spending Score (1-100)]]&lt;=100,"Very High")</f>
        <v>Medium</v>
      </c>
      <c r="H1622" t="s">
        <v>9</v>
      </c>
      <c r="I1622">
        <v>7</v>
      </c>
      <c r="J1622" t="str">
        <f>CONCATENATE(Table2[[#This Row],[Work Experience]],"years")</f>
        <v>7years</v>
      </c>
      <c r="K1622" t="str">
        <f>CONCATENATE(Table2[[#This Row],[Family Size2]],"members")</f>
        <v>6members</v>
      </c>
      <c r="L1622" t="str">
        <f>CONCATENATE(Table2[[#This Row],[Family Size2]],"members")</f>
        <v>6members</v>
      </c>
      <c r="M1622">
        <v>6</v>
      </c>
    </row>
    <row r="1623" spans="1:13">
      <c r="A1623">
        <v>1622</v>
      </c>
      <c r="B1623" t="s">
        <v>11</v>
      </c>
      <c r="C1623">
        <v>94</v>
      </c>
      <c r="D1623" t="str" cm="1">
        <f t="array" ref="D1623">_xlfn.IFS(Table2[[#This Row],[Age]]&lt;=11,"Gen A",Table2[[#This Row],[Age]]&lt;=27,"Gen Z",Table2[[#This Row],[Age]]&lt;=43,"Millenials",Table2[[#This Row],[Age]]&lt;=59,"Gen X",Table2[[#This Row],[Age]]&lt;=78,"Baby Boomers",Table2[[#This Row],[Age]]&lt;=96,"Silent",Table2[[#This Row],[Age]]&gt;=97,"Greatest")</f>
        <v>Silent</v>
      </c>
      <c r="E1623" s="1">
        <v>86172</v>
      </c>
      <c r="F1623">
        <v>55</v>
      </c>
      <c r="G1623" t="str" cm="1">
        <f t="array" ref="G1623">_xlfn.IFS(Table2[[#This Row],[Spending Score (1-100)]]&lt;=25,"Low",Table2[[#This Row],[Spending Score (1-100)]]&lt;=50,"Medium",Table2[[#This Row],[Spending Score (1-100)]]&lt;=75,"High",Table2[[#This Row],[Spending Score (1-100)]]&lt;=100,"Very High")</f>
        <v>High</v>
      </c>
      <c r="H1623" t="s">
        <v>14</v>
      </c>
      <c r="I1623">
        <v>4</v>
      </c>
      <c r="J1623" t="str">
        <f>CONCATENATE(Table2[[#This Row],[Work Experience]],"years")</f>
        <v>4years</v>
      </c>
      <c r="K1623" t="str">
        <f>CONCATENATE(Table2[[#This Row],[Family Size2]],"members")</f>
        <v>4members</v>
      </c>
      <c r="L1623" t="str">
        <f>CONCATENATE(Table2[[#This Row],[Family Size2]],"members")</f>
        <v>4members</v>
      </c>
      <c r="M1623">
        <v>4</v>
      </c>
    </row>
    <row r="1624" spans="1:13">
      <c r="A1624">
        <v>1623</v>
      </c>
      <c r="B1624" t="s">
        <v>11</v>
      </c>
      <c r="C1624">
        <v>40</v>
      </c>
      <c r="D1624" t="str" cm="1">
        <f t="array" ref="D1624">_xlfn.IFS(Table2[[#This Row],[Age]]&lt;=11,"Gen A",Table2[[#This Row],[Age]]&lt;=27,"Gen Z",Table2[[#This Row],[Age]]&lt;=43,"Millenials",Table2[[#This Row],[Age]]&lt;=59,"Gen X",Table2[[#This Row],[Age]]&lt;=78,"Baby Boomers",Table2[[#This Row],[Age]]&lt;=96,"Silent",Table2[[#This Row],[Age]]&gt;=97,"Greatest")</f>
        <v>Millenials</v>
      </c>
      <c r="E1624" s="1">
        <v>184222</v>
      </c>
      <c r="F1624">
        <v>17</v>
      </c>
      <c r="G1624" t="str" cm="1">
        <f t="array" ref="G1624">_xlfn.IFS(Table2[[#This Row],[Spending Score (1-100)]]&lt;=25,"Low",Table2[[#This Row],[Spending Score (1-100)]]&lt;=50,"Medium",Table2[[#This Row],[Spending Score (1-100)]]&lt;=75,"High",Table2[[#This Row],[Spending Score (1-100)]]&lt;=100,"Very High")</f>
        <v>Low</v>
      </c>
      <c r="H1624" t="s">
        <v>9</v>
      </c>
      <c r="I1624">
        <v>0</v>
      </c>
      <c r="J1624" t="str">
        <f>CONCATENATE(Table2[[#This Row],[Work Experience]],"years")</f>
        <v>0years</v>
      </c>
      <c r="K1624" t="str">
        <f>CONCATENATE(Table2[[#This Row],[Family Size2]],"members")</f>
        <v>2members</v>
      </c>
      <c r="L1624" t="str">
        <f>CONCATENATE(Table2[[#This Row],[Family Size2]],"members")</f>
        <v>2members</v>
      </c>
      <c r="M1624">
        <v>2</v>
      </c>
    </row>
    <row r="1625" spans="1:13">
      <c r="A1625">
        <v>1624</v>
      </c>
      <c r="B1625" t="s">
        <v>8</v>
      </c>
      <c r="C1625">
        <v>81</v>
      </c>
      <c r="D1625" t="str" cm="1">
        <f t="array" ref="D1625">_xlfn.IFS(Table2[[#This Row],[Age]]&lt;=11,"Gen A",Table2[[#This Row],[Age]]&lt;=27,"Gen Z",Table2[[#This Row],[Age]]&lt;=43,"Millenials",Table2[[#This Row],[Age]]&lt;=59,"Gen X",Table2[[#This Row],[Age]]&lt;=78,"Baby Boomers",Table2[[#This Row],[Age]]&lt;=96,"Silent",Table2[[#This Row],[Age]]&gt;=97,"Greatest")</f>
        <v>Silent</v>
      </c>
      <c r="E1625" s="1">
        <v>71543</v>
      </c>
      <c r="F1625">
        <v>1</v>
      </c>
      <c r="G1625" t="str" cm="1">
        <f t="array" ref="G1625">_xlfn.IFS(Table2[[#This Row],[Spending Score (1-100)]]&lt;=25,"Low",Table2[[#This Row],[Spending Score (1-100)]]&lt;=50,"Medium",Table2[[#This Row],[Spending Score (1-100)]]&lt;=75,"High",Table2[[#This Row],[Spending Score (1-100)]]&lt;=100,"Very High")</f>
        <v>Low</v>
      </c>
      <c r="H1625" t="s">
        <v>13</v>
      </c>
      <c r="I1625">
        <v>1</v>
      </c>
      <c r="J1625" t="str">
        <f>CONCATENATE(Table2[[#This Row],[Work Experience]],"years")</f>
        <v>1years</v>
      </c>
      <c r="K1625" t="str">
        <f>CONCATENATE(Table2[[#This Row],[Family Size2]],"members")</f>
        <v>4members</v>
      </c>
      <c r="L1625" t="str">
        <f>CONCATENATE(Table2[[#This Row],[Family Size2]],"members")</f>
        <v>4members</v>
      </c>
      <c r="M1625">
        <v>4</v>
      </c>
    </row>
    <row r="1626" spans="1:13">
      <c r="A1626">
        <v>1625</v>
      </c>
      <c r="B1626" t="s">
        <v>11</v>
      </c>
      <c r="C1626">
        <v>18</v>
      </c>
      <c r="D1626" t="str" cm="1">
        <f t="array" ref="D1626">_xlfn.IFS(Table2[[#This Row],[Age]]&lt;=11,"Gen A",Table2[[#This Row],[Age]]&lt;=27,"Gen Z",Table2[[#This Row],[Age]]&lt;=43,"Millenials",Table2[[#This Row],[Age]]&lt;=59,"Gen X",Table2[[#This Row],[Age]]&lt;=78,"Baby Boomers",Table2[[#This Row],[Age]]&lt;=96,"Silent",Table2[[#This Row],[Age]]&gt;=97,"Greatest")</f>
        <v>Gen Z</v>
      </c>
      <c r="E1626" s="1">
        <v>174836</v>
      </c>
      <c r="F1626">
        <v>63</v>
      </c>
      <c r="G1626" t="str" cm="1">
        <f t="array" ref="G1626">_xlfn.IFS(Table2[[#This Row],[Spending Score (1-100)]]&lt;=25,"Low",Table2[[#This Row],[Spending Score (1-100)]]&lt;=50,"Medium",Table2[[#This Row],[Spending Score (1-100)]]&lt;=75,"High",Table2[[#This Row],[Spending Score (1-100)]]&lt;=100,"Very High")</f>
        <v>High</v>
      </c>
      <c r="H1626" t="s">
        <v>9</v>
      </c>
      <c r="I1626">
        <v>0</v>
      </c>
      <c r="J1626" t="str">
        <f>CONCATENATE(Table2[[#This Row],[Work Experience]],"years")</f>
        <v>0years</v>
      </c>
      <c r="K1626" t="str">
        <f>CONCATENATE(Table2[[#This Row],[Family Size2]],"members")</f>
        <v>4members</v>
      </c>
      <c r="L1626" t="str">
        <f>CONCATENATE(Table2[[#This Row],[Family Size2]],"members")</f>
        <v>4members</v>
      </c>
      <c r="M1626">
        <v>4</v>
      </c>
    </row>
    <row r="1627" spans="1:13">
      <c r="A1627">
        <v>1626</v>
      </c>
      <c r="B1627" t="s">
        <v>11</v>
      </c>
      <c r="C1627">
        <v>78</v>
      </c>
      <c r="D1627" t="str" cm="1">
        <f t="array" ref="D1627">_xlfn.IFS(Table2[[#This Row],[Age]]&lt;=11,"Gen A",Table2[[#This Row],[Age]]&lt;=27,"Gen Z",Table2[[#This Row],[Age]]&lt;=43,"Millenials",Table2[[#This Row],[Age]]&lt;=59,"Gen X",Table2[[#This Row],[Age]]&lt;=78,"Baby Boomers",Table2[[#This Row],[Age]]&lt;=96,"Silent",Table2[[#This Row],[Age]]&gt;=97,"Greatest")</f>
        <v>Baby Boomers</v>
      </c>
      <c r="E1627" s="1">
        <v>130706</v>
      </c>
      <c r="F1627">
        <v>72</v>
      </c>
      <c r="G1627" t="str" cm="1">
        <f t="array" ref="G1627">_xlfn.IFS(Table2[[#This Row],[Spending Score (1-100)]]&lt;=25,"Low",Table2[[#This Row],[Spending Score (1-100)]]&lt;=50,"Medium",Table2[[#This Row],[Spending Score (1-100)]]&lt;=75,"High",Table2[[#This Row],[Spending Score (1-100)]]&lt;=100,"Very High")</f>
        <v>High</v>
      </c>
      <c r="H1627" t="s">
        <v>19</v>
      </c>
      <c r="I1627">
        <v>3</v>
      </c>
      <c r="J1627" t="str">
        <f>CONCATENATE(Table2[[#This Row],[Work Experience]],"years")</f>
        <v>3years</v>
      </c>
      <c r="K1627" t="str">
        <f>CONCATENATE(Table2[[#This Row],[Family Size2]],"members")</f>
        <v>6members</v>
      </c>
      <c r="L1627" t="str">
        <f>CONCATENATE(Table2[[#This Row],[Family Size2]],"members")</f>
        <v>6members</v>
      </c>
      <c r="M1627">
        <v>6</v>
      </c>
    </row>
    <row r="1628" spans="1:13">
      <c r="A1628">
        <v>1627</v>
      </c>
      <c r="B1628" t="s">
        <v>8</v>
      </c>
      <c r="C1628">
        <v>8</v>
      </c>
      <c r="D1628" t="str" cm="1">
        <f t="array" ref="D1628">_xlfn.IFS(Table2[[#This Row],[Age]]&lt;=11,"Gen A",Table2[[#This Row],[Age]]&lt;=27,"Gen Z",Table2[[#This Row],[Age]]&lt;=43,"Millenials",Table2[[#This Row],[Age]]&lt;=59,"Gen X",Table2[[#This Row],[Age]]&lt;=78,"Baby Boomers",Table2[[#This Row],[Age]]&lt;=96,"Silent",Table2[[#This Row],[Age]]&gt;=97,"Greatest")</f>
        <v>Gen A</v>
      </c>
      <c r="E1628" s="1">
        <v>74407</v>
      </c>
      <c r="F1628">
        <v>100</v>
      </c>
      <c r="G1628" t="str" cm="1">
        <f t="array" ref="G1628">_xlfn.IFS(Table2[[#This Row],[Spending Score (1-100)]]&lt;=25,"Low",Table2[[#This Row],[Spending Score (1-100)]]&lt;=50,"Medium",Table2[[#This Row],[Spending Score (1-100)]]&lt;=75,"High",Table2[[#This Row],[Spending Score (1-100)]]&lt;=100,"Very High")</f>
        <v>Very High</v>
      </c>
      <c r="H1628" t="s">
        <v>16</v>
      </c>
      <c r="I1628">
        <v>0</v>
      </c>
      <c r="J1628" t="str">
        <f>CONCATENATE(Table2[[#This Row],[Work Experience]],"years")</f>
        <v>0years</v>
      </c>
      <c r="K1628" t="str">
        <f>CONCATENATE(Table2[[#This Row],[Family Size2]],"members")</f>
        <v>6members</v>
      </c>
      <c r="L1628" t="str">
        <f>CONCATENATE(Table2[[#This Row],[Family Size2]],"members")</f>
        <v>6members</v>
      </c>
      <c r="M1628">
        <v>6</v>
      </c>
    </row>
    <row r="1629" spans="1:13">
      <c r="A1629">
        <v>1628</v>
      </c>
      <c r="B1629" t="s">
        <v>8</v>
      </c>
      <c r="C1629">
        <v>64</v>
      </c>
      <c r="D1629" t="str" cm="1">
        <f t="array" ref="D1629">_xlfn.IFS(Table2[[#This Row],[Age]]&lt;=11,"Gen A",Table2[[#This Row],[Age]]&lt;=27,"Gen Z",Table2[[#This Row],[Age]]&lt;=43,"Millenials",Table2[[#This Row],[Age]]&lt;=59,"Gen X",Table2[[#This Row],[Age]]&lt;=78,"Baby Boomers",Table2[[#This Row],[Age]]&lt;=96,"Silent",Table2[[#This Row],[Age]]&gt;=97,"Greatest")</f>
        <v>Baby Boomers</v>
      </c>
      <c r="E1629" s="1">
        <v>130055</v>
      </c>
      <c r="F1629">
        <v>46</v>
      </c>
      <c r="G1629" t="str" cm="1">
        <f t="array" ref="G1629">_xlfn.IFS(Table2[[#This Row],[Spending Score (1-100)]]&lt;=25,"Low",Table2[[#This Row],[Spending Score (1-100)]]&lt;=50,"Medium",Table2[[#This Row],[Spending Score (1-100)]]&lt;=75,"High",Table2[[#This Row],[Spending Score (1-100)]]&lt;=100,"Very High")</f>
        <v>Medium</v>
      </c>
      <c r="H1629" t="s">
        <v>9</v>
      </c>
      <c r="I1629">
        <v>2</v>
      </c>
      <c r="J1629" t="str">
        <f>CONCATENATE(Table2[[#This Row],[Work Experience]],"years")</f>
        <v>2years</v>
      </c>
      <c r="K1629" t="str">
        <f>CONCATENATE(Table2[[#This Row],[Family Size2]],"members")</f>
        <v>1members</v>
      </c>
      <c r="L1629" t="str">
        <f>CONCATENATE(Table2[[#This Row],[Family Size2]],"members")</f>
        <v>1members</v>
      </c>
      <c r="M1629">
        <v>1</v>
      </c>
    </row>
    <row r="1630" spans="1:13">
      <c r="A1630">
        <v>1629</v>
      </c>
      <c r="B1630" t="s">
        <v>8</v>
      </c>
      <c r="C1630">
        <v>45</v>
      </c>
      <c r="D1630" t="str" cm="1">
        <f t="array" ref="D1630">_xlfn.IFS(Table2[[#This Row],[Age]]&lt;=11,"Gen A",Table2[[#This Row],[Age]]&lt;=27,"Gen Z",Table2[[#This Row],[Age]]&lt;=43,"Millenials",Table2[[#This Row],[Age]]&lt;=59,"Gen X",Table2[[#This Row],[Age]]&lt;=78,"Baby Boomers",Table2[[#This Row],[Age]]&lt;=96,"Silent",Table2[[#This Row],[Age]]&gt;=97,"Greatest")</f>
        <v>Gen X</v>
      </c>
      <c r="E1630" s="1">
        <v>88707</v>
      </c>
      <c r="F1630">
        <v>81</v>
      </c>
      <c r="G1630" t="str" cm="1">
        <f t="array" ref="G1630">_xlfn.IFS(Table2[[#This Row],[Spending Score (1-100)]]&lt;=25,"Low",Table2[[#This Row],[Spending Score (1-100)]]&lt;=50,"Medium",Table2[[#This Row],[Spending Score (1-100)]]&lt;=75,"High",Table2[[#This Row],[Spending Score (1-100)]]&lt;=100,"Very High")</f>
        <v>Very High</v>
      </c>
      <c r="H1630" t="s">
        <v>9</v>
      </c>
      <c r="I1630">
        <v>0</v>
      </c>
      <c r="J1630" t="str">
        <f>CONCATENATE(Table2[[#This Row],[Work Experience]],"years")</f>
        <v>0years</v>
      </c>
      <c r="K1630" t="str">
        <f>CONCATENATE(Table2[[#This Row],[Family Size2]],"members")</f>
        <v>5members</v>
      </c>
      <c r="L1630" t="str">
        <f>CONCATENATE(Table2[[#This Row],[Family Size2]],"members")</f>
        <v>5members</v>
      </c>
      <c r="M1630">
        <v>5</v>
      </c>
    </row>
    <row r="1631" spans="1:13">
      <c r="A1631">
        <v>1630</v>
      </c>
      <c r="B1631" t="s">
        <v>8</v>
      </c>
      <c r="C1631">
        <v>99</v>
      </c>
      <c r="D1631" t="str" cm="1">
        <f t="array" ref="D1631">_xlfn.IFS(Table2[[#This Row],[Age]]&lt;=11,"Gen A",Table2[[#This Row],[Age]]&lt;=27,"Gen Z",Table2[[#This Row],[Age]]&lt;=43,"Millenials",Table2[[#This Row],[Age]]&lt;=59,"Gen X",Table2[[#This Row],[Age]]&lt;=78,"Baby Boomers",Table2[[#This Row],[Age]]&lt;=96,"Silent",Table2[[#This Row],[Age]]&gt;=97,"Greatest")</f>
        <v>Greatest</v>
      </c>
      <c r="E1631" s="1">
        <v>162762</v>
      </c>
      <c r="F1631">
        <v>52</v>
      </c>
      <c r="G1631" t="str" cm="1">
        <f t="array" ref="G1631">_xlfn.IFS(Table2[[#This Row],[Spending Score (1-100)]]&lt;=25,"Low",Table2[[#This Row],[Spending Score (1-100)]]&lt;=50,"Medium",Table2[[#This Row],[Spending Score (1-100)]]&lt;=75,"High",Table2[[#This Row],[Spending Score (1-100)]]&lt;=100,"Very High")</f>
        <v>High</v>
      </c>
      <c r="H1631" t="s">
        <v>9</v>
      </c>
      <c r="I1631">
        <v>1</v>
      </c>
      <c r="J1631" t="str">
        <f>CONCATENATE(Table2[[#This Row],[Work Experience]],"years")</f>
        <v>1years</v>
      </c>
      <c r="K1631" t="str">
        <f>CONCATENATE(Table2[[#This Row],[Family Size2]],"members")</f>
        <v>1members</v>
      </c>
      <c r="L1631" t="str">
        <f>CONCATENATE(Table2[[#This Row],[Family Size2]],"members")</f>
        <v>1members</v>
      </c>
      <c r="M1631">
        <v>1</v>
      </c>
    </row>
    <row r="1632" spans="1:13">
      <c r="A1632">
        <v>1631</v>
      </c>
      <c r="B1632" t="s">
        <v>8</v>
      </c>
      <c r="C1632">
        <v>59</v>
      </c>
      <c r="D1632" t="str" cm="1">
        <f t="array" ref="D1632">_xlfn.IFS(Table2[[#This Row],[Age]]&lt;=11,"Gen A",Table2[[#This Row],[Age]]&lt;=27,"Gen Z",Table2[[#This Row],[Age]]&lt;=43,"Millenials",Table2[[#This Row],[Age]]&lt;=59,"Gen X",Table2[[#This Row],[Age]]&lt;=78,"Baby Boomers",Table2[[#This Row],[Age]]&lt;=96,"Silent",Table2[[#This Row],[Age]]&gt;=97,"Greatest")</f>
        <v>Gen X</v>
      </c>
      <c r="E1632" s="1">
        <v>154821</v>
      </c>
      <c r="F1632">
        <v>77</v>
      </c>
      <c r="G1632" t="str" cm="1">
        <f t="array" ref="G1632">_xlfn.IFS(Table2[[#This Row],[Spending Score (1-100)]]&lt;=25,"Low",Table2[[#This Row],[Spending Score (1-100)]]&lt;=50,"Medium",Table2[[#This Row],[Spending Score (1-100)]]&lt;=75,"High",Table2[[#This Row],[Spending Score (1-100)]]&lt;=100,"Very High")</f>
        <v>Very High</v>
      </c>
      <c r="H1632" t="s">
        <v>16</v>
      </c>
      <c r="I1632">
        <v>0</v>
      </c>
      <c r="J1632" t="str">
        <f>CONCATENATE(Table2[[#This Row],[Work Experience]],"years")</f>
        <v>0years</v>
      </c>
      <c r="K1632" t="str">
        <f>CONCATENATE(Table2[[#This Row],[Family Size2]],"members")</f>
        <v>2members</v>
      </c>
      <c r="L1632" t="str">
        <f>CONCATENATE(Table2[[#This Row],[Family Size2]],"members")</f>
        <v>2members</v>
      </c>
      <c r="M1632">
        <v>2</v>
      </c>
    </row>
    <row r="1633" spans="1:13">
      <c r="A1633">
        <v>1632</v>
      </c>
      <c r="B1633" t="s">
        <v>8</v>
      </c>
      <c r="C1633">
        <v>53</v>
      </c>
      <c r="D1633" t="str" cm="1">
        <f t="array" ref="D1633">_xlfn.IFS(Table2[[#This Row],[Age]]&lt;=11,"Gen A",Table2[[#This Row],[Age]]&lt;=27,"Gen Z",Table2[[#This Row],[Age]]&lt;=43,"Millenials",Table2[[#This Row],[Age]]&lt;=59,"Gen X",Table2[[#This Row],[Age]]&lt;=78,"Baby Boomers",Table2[[#This Row],[Age]]&lt;=96,"Silent",Table2[[#This Row],[Age]]&gt;=97,"Greatest")</f>
        <v>Gen X</v>
      </c>
      <c r="E1633" s="1">
        <v>57248</v>
      </c>
      <c r="F1633">
        <v>66</v>
      </c>
      <c r="G1633" t="str" cm="1">
        <f t="array" ref="G1633">_xlfn.IFS(Table2[[#This Row],[Spending Score (1-100)]]&lt;=25,"Low",Table2[[#This Row],[Spending Score (1-100)]]&lt;=50,"Medium",Table2[[#This Row],[Spending Score (1-100)]]&lt;=75,"High",Table2[[#This Row],[Spending Score (1-100)]]&lt;=100,"Very High")</f>
        <v>High</v>
      </c>
      <c r="H1633" t="s">
        <v>12</v>
      </c>
      <c r="I1633">
        <v>5</v>
      </c>
      <c r="J1633" t="str">
        <f>CONCATENATE(Table2[[#This Row],[Work Experience]],"years")</f>
        <v>5years</v>
      </c>
      <c r="K1633" t="str">
        <f>CONCATENATE(Table2[[#This Row],[Family Size2]],"members")</f>
        <v>5members</v>
      </c>
      <c r="L1633" t="str">
        <f>CONCATENATE(Table2[[#This Row],[Family Size2]],"members")</f>
        <v>5members</v>
      </c>
      <c r="M1633">
        <v>5</v>
      </c>
    </row>
    <row r="1634" spans="1:13">
      <c r="A1634">
        <v>1633</v>
      </c>
      <c r="B1634" t="s">
        <v>11</v>
      </c>
      <c r="C1634">
        <v>66</v>
      </c>
      <c r="D1634" t="str" cm="1">
        <f t="array" ref="D1634">_xlfn.IFS(Table2[[#This Row],[Age]]&lt;=11,"Gen A",Table2[[#This Row],[Age]]&lt;=27,"Gen Z",Table2[[#This Row],[Age]]&lt;=43,"Millenials",Table2[[#This Row],[Age]]&lt;=59,"Gen X",Table2[[#This Row],[Age]]&lt;=78,"Baby Boomers",Table2[[#This Row],[Age]]&lt;=96,"Silent",Table2[[#This Row],[Age]]&gt;=97,"Greatest")</f>
        <v>Baby Boomers</v>
      </c>
      <c r="E1634" s="1">
        <v>99902</v>
      </c>
      <c r="F1634">
        <v>54</v>
      </c>
      <c r="G1634" t="str" cm="1">
        <f t="array" ref="G1634">_xlfn.IFS(Table2[[#This Row],[Spending Score (1-100)]]&lt;=25,"Low",Table2[[#This Row],[Spending Score (1-100)]]&lt;=50,"Medium",Table2[[#This Row],[Spending Score (1-100)]]&lt;=75,"High",Table2[[#This Row],[Spending Score (1-100)]]&lt;=100,"Very High")</f>
        <v>High</v>
      </c>
      <c r="H1634" t="s">
        <v>10</v>
      </c>
      <c r="I1634">
        <v>10</v>
      </c>
      <c r="J1634" t="str">
        <f>CONCATENATE(Table2[[#This Row],[Work Experience]],"years")</f>
        <v>10years</v>
      </c>
      <c r="K1634" t="str">
        <f>CONCATENATE(Table2[[#This Row],[Family Size2]],"members")</f>
        <v>2members</v>
      </c>
      <c r="L1634" t="str">
        <f>CONCATENATE(Table2[[#This Row],[Family Size2]],"members")</f>
        <v>2members</v>
      </c>
      <c r="M1634">
        <v>2</v>
      </c>
    </row>
    <row r="1635" spans="1:13">
      <c r="A1635">
        <v>1634</v>
      </c>
      <c r="B1635" t="s">
        <v>11</v>
      </c>
      <c r="C1635">
        <v>1</v>
      </c>
      <c r="D1635" t="str" cm="1">
        <f t="array" ref="D1635">_xlfn.IFS(Table2[[#This Row],[Age]]&lt;=11,"Gen A",Table2[[#This Row],[Age]]&lt;=27,"Gen Z",Table2[[#This Row],[Age]]&lt;=43,"Millenials",Table2[[#This Row],[Age]]&lt;=59,"Gen X",Table2[[#This Row],[Age]]&lt;=78,"Baby Boomers",Table2[[#This Row],[Age]]&lt;=96,"Silent",Table2[[#This Row],[Age]]&gt;=97,"Greatest")</f>
        <v>Gen A</v>
      </c>
      <c r="E1635" s="1">
        <v>165711</v>
      </c>
      <c r="F1635">
        <v>50</v>
      </c>
      <c r="G1635" t="str" cm="1">
        <f t="array" ref="G1635">_xlfn.IFS(Table2[[#This Row],[Spending Score (1-100)]]&lt;=25,"Low",Table2[[#This Row],[Spending Score (1-100)]]&lt;=50,"Medium",Table2[[#This Row],[Spending Score (1-100)]]&lt;=75,"High",Table2[[#This Row],[Spending Score (1-100)]]&lt;=100,"Very High")</f>
        <v>Medium</v>
      </c>
      <c r="H1635" t="s">
        <v>14</v>
      </c>
      <c r="I1635">
        <v>1</v>
      </c>
      <c r="J1635" t="str">
        <f>CONCATENATE(Table2[[#This Row],[Work Experience]],"years")</f>
        <v>1years</v>
      </c>
      <c r="K1635" t="str">
        <f>CONCATENATE(Table2[[#This Row],[Family Size2]],"members")</f>
        <v>2members</v>
      </c>
      <c r="L1635" t="str">
        <f>CONCATENATE(Table2[[#This Row],[Family Size2]],"members")</f>
        <v>2members</v>
      </c>
      <c r="M1635">
        <v>2</v>
      </c>
    </row>
    <row r="1636" spans="1:13">
      <c r="A1636">
        <v>1635</v>
      </c>
      <c r="B1636" t="s">
        <v>8</v>
      </c>
      <c r="C1636">
        <v>73</v>
      </c>
      <c r="D1636" t="str" cm="1">
        <f t="array" ref="D1636">_xlfn.IFS(Table2[[#This Row],[Age]]&lt;=11,"Gen A",Table2[[#This Row],[Age]]&lt;=27,"Gen Z",Table2[[#This Row],[Age]]&lt;=43,"Millenials",Table2[[#This Row],[Age]]&lt;=59,"Gen X",Table2[[#This Row],[Age]]&lt;=78,"Baby Boomers",Table2[[#This Row],[Age]]&lt;=96,"Silent",Table2[[#This Row],[Age]]&gt;=97,"Greatest")</f>
        <v>Baby Boomers</v>
      </c>
      <c r="E1636" s="1">
        <v>97455</v>
      </c>
      <c r="F1636">
        <v>55</v>
      </c>
      <c r="G1636" t="str" cm="1">
        <f t="array" ref="G1636">_xlfn.IFS(Table2[[#This Row],[Spending Score (1-100)]]&lt;=25,"Low",Table2[[#This Row],[Spending Score (1-100)]]&lt;=50,"Medium",Table2[[#This Row],[Spending Score (1-100)]]&lt;=75,"High",Table2[[#This Row],[Spending Score (1-100)]]&lt;=100,"Very High")</f>
        <v>High</v>
      </c>
      <c r="H1636" t="s">
        <v>19</v>
      </c>
      <c r="I1636">
        <v>6</v>
      </c>
      <c r="J1636" t="str">
        <f>CONCATENATE(Table2[[#This Row],[Work Experience]],"years")</f>
        <v>6years</v>
      </c>
      <c r="K1636" t="str">
        <f>CONCATENATE(Table2[[#This Row],[Family Size2]],"members")</f>
        <v>4members</v>
      </c>
      <c r="L1636" t="str">
        <f>CONCATENATE(Table2[[#This Row],[Family Size2]],"members")</f>
        <v>4members</v>
      </c>
      <c r="M1636">
        <v>4</v>
      </c>
    </row>
    <row r="1637" spans="1:13">
      <c r="A1637">
        <v>1636</v>
      </c>
      <c r="B1637" t="s">
        <v>11</v>
      </c>
      <c r="C1637">
        <v>34</v>
      </c>
      <c r="D1637" t="str" cm="1">
        <f t="array" ref="D1637">_xlfn.IFS(Table2[[#This Row],[Age]]&lt;=11,"Gen A",Table2[[#This Row],[Age]]&lt;=27,"Gen Z",Table2[[#This Row],[Age]]&lt;=43,"Millenials",Table2[[#This Row],[Age]]&lt;=59,"Gen X",Table2[[#This Row],[Age]]&lt;=78,"Baby Boomers",Table2[[#This Row],[Age]]&lt;=96,"Silent",Table2[[#This Row],[Age]]&gt;=97,"Greatest")</f>
        <v>Millenials</v>
      </c>
      <c r="E1637" s="1">
        <v>93866</v>
      </c>
      <c r="F1637">
        <v>43</v>
      </c>
      <c r="G1637" t="str" cm="1">
        <f t="array" ref="G1637">_xlfn.IFS(Table2[[#This Row],[Spending Score (1-100)]]&lt;=25,"Low",Table2[[#This Row],[Spending Score (1-100)]]&lt;=50,"Medium",Table2[[#This Row],[Spending Score (1-100)]]&lt;=75,"High",Table2[[#This Row],[Spending Score (1-100)]]&lt;=100,"Very High")</f>
        <v>Medium</v>
      </c>
      <c r="H1637" t="s">
        <v>13</v>
      </c>
      <c r="I1637">
        <v>9</v>
      </c>
      <c r="J1637" t="str">
        <f>CONCATENATE(Table2[[#This Row],[Work Experience]],"years")</f>
        <v>9years</v>
      </c>
      <c r="K1637" t="str">
        <f>CONCATENATE(Table2[[#This Row],[Family Size2]],"members")</f>
        <v>2members</v>
      </c>
      <c r="L1637" t="str">
        <f>CONCATENATE(Table2[[#This Row],[Family Size2]],"members")</f>
        <v>2members</v>
      </c>
      <c r="M1637">
        <v>2</v>
      </c>
    </row>
    <row r="1638" spans="1:13">
      <c r="A1638">
        <v>1637</v>
      </c>
      <c r="B1638" t="s">
        <v>11</v>
      </c>
      <c r="C1638">
        <v>1</v>
      </c>
      <c r="D1638" t="str" cm="1">
        <f t="array" ref="D1638">_xlfn.IFS(Table2[[#This Row],[Age]]&lt;=11,"Gen A",Table2[[#This Row],[Age]]&lt;=27,"Gen Z",Table2[[#This Row],[Age]]&lt;=43,"Millenials",Table2[[#This Row],[Age]]&lt;=59,"Gen X",Table2[[#This Row],[Age]]&lt;=78,"Baby Boomers",Table2[[#This Row],[Age]]&lt;=96,"Silent",Table2[[#This Row],[Age]]&gt;=97,"Greatest")</f>
        <v>Gen A</v>
      </c>
      <c r="E1638" s="1">
        <v>141307</v>
      </c>
      <c r="F1638">
        <v>17</v>
      </c>
      <c r="G1638" t="str" cm="1">
        <f t="array" ref="G1638">_xlfn.IFS(Table2[[#This Row],[Spending Score (1-100)]]&lt;=25,"Low",Table2[[#This Row],[Spending Score (1-100)]]&lt;=50,"Medium",Table2[[#This Row],[Spending Score (1-100)]]&lt;=75,"High",Table2[[#This Row],[Spending Score (1-100)]]&lt;=100,"Very High")</f>
        <v>Low</v>
      </c>
      <c r="H1638" t="s">
        <v>9</v>
      </c>
      <c r="I1638">
        <v>1</v>
      </c>
      <c r="J1638" t="str">
        <f>CONCATENATE(Table2[[#This Row],[Work Experience]],"years")</f>
        <v>1years</v>
      </c>
      <c r="K1638" t="str">
        <f>CONCATENATE(Table2[[#This Row],[Family Size2]],"members")</f>
        <v>3members</v>
      </c>
      <c r="L1638" t="str">
        <f>CONCATENATE(Table2[[#This Row],[Family Size2]],"members")</f>
        <v>3members</v>
      </c>
      <c r="M1638">
        <v>3</v>
      </c>
    </row>
    <row r="1639" spans="1:13">
      <c r="A1639">
        <v>1638</v>
      </c>
      <c r="B1639" t="s">
        <v>8</v>
      </c>
      <c r="C1639">
        <v>73</v>
      </c>
      <c r="D1639" t="str" cm="1">
        <f t="array" ref="D1639">_xlfn.IFS(Table2[[#This Row],[Age]]&lt;=11,"Gen A",Table2[[#This Row],[Age]]&lt;=27,"Gen Z",Table2[[#This Row],[Age]]&lt;=43,"Millenials",Table2[[#This Row],[Age]]&lt;=59,"Gen X",Table2[[#This Row],[Age]]&lt;=78,"Baby Boomers",Table2[[#This Row],[Age]]&lt;=96,"Silent",Table2[[#This Row],[Age]]&gt;=97,"Greatest")</f>
        <v>Baby Boomers</v>
      </c>
      <c r="E1639" s="1">
        <v>172011</v>
      </c>
      <c r="F1639">
        <v>9</v>
      </c>
      <c r="G1639" t="str" cm="1">
        <f t="array" ref="G1639">_xlfn.IFS(Table2[[#This Row],[Spending Score (1-100)]]&lt;=25,"Low",Table2[[#This Row],[Spending Score (1-100)]]&lt;=50,"Medium",Table2[[#This Row],[Spending Score (1-100)]]&lt;=75,"High",Table2[[#This Row],[Spending Score (1-100)]]&lt;=100,"Very High")</f>
        <v>Low</v>
      </c>
      <c r="H1639" t="s">
        <v>16</v>
      </c>
      <c r="I1639">
        <v>1</v>
      </c>
      <c r="J1639" t="str">
        <f>CONCATENATE(Table2[[#This Row],[Work Experience]],"years")</f>
        <v>1years</v>
      </c>
      <c r="K1639" t="str">
        <f>CONCATENATE(Table2[[#This Row],[Family Size2]],"members")</f>
        <v>5members</v>
      </c>
      <c r="L1639" t="str">
        <f>CONCATENATE(Table2[[#This Row],[Family Size2]],"members")</f>
        <v>5members</v>
      </c>
      <c r="M1639">
        <v>5</v>
      </c>
    </row>
    <row r="1640" spans="1:13">
      <c r="A1640">
        <v>1639</v>
      </c>
      <c r="B1640" t="s">
        <v>8</v>
      </c>
      <c r="C1640">
        <v>90</v>
      </c>
      <c r="D1640" t="str" cm="1">
        <f t="array" ref="D1640">_xlfn.IFS(Table2[[#This Row],[Age]]&lt;=11,"Gen A",Table2[[#This Row],[Age]]&lt;=27,"Gen Z",Table2[[#This Row],[Age]]&lt;=43,"Millenials",Table2[[#This Row],[Age]]&lt;=59,"Gen X",Table2[[#This Row],[Age]]&lt;=78,"Baby Boomers",Table2[[#This Row],[Age]]&lt;=96,"Silent",Table2[[#This Row],[Age]]&gt;=97,"Greatest")</f>
        <v>Silent</v>
      </c>
      <c r="E1640" s="1">
        <v>68138</v>
      </c>
      <c r="F1640">
        <v>18</v>
      </c>
      <c r="G1640" t="str" cm="1">
        <f t="array" ref="G1640">_xlfn.IFS(Table2[[#This Row],[Spending Score (1-100)]]&lt;=25,"Low",Table2[[#This Row],[Spending Score (1-100)]]&lt;=50,"Medium",Table2[[#This Row],[Spending Score (1-100)]]&lt;=75,"High",Table2[[#This Row],[Spending Score (1-100)]]&lt;=100,"Very High")</f>
        <v>Low</v>
      </c>
      <c r="H1640" t="s">
        <v>9</v>
      </c>
      <c r="I1640">
        <v>2</v>
      </c>
      <c r="J1640" t="str">
        <f>CONCATENATE(Table2[[#This Row],[Work Experience]],"years")</f>
        <v>2years</v>
      </c>
      <c r="K1640" t="str">
        <f>CONCATENATE(Table2[[#This Row],[Family Size2]],"members")</f>
        <v>7members</v>
      </c>
      <c r="L1640" t="str">
        <f>CONCATENATE(Table2[[#This Row],[Family Size2]],"members")</f>
        <v>7members</v>
      </c>
      <c r="M1640">
        <v>7</v>
      </c>
    </row>
    <row r="1641" spans="1:13">
      <c r="A1641">
        <v>1640</v>
      </c>
      <c r="B1641" t="s">
        <v>11</v>
      </c>
      <c r="C1641">
        <v>32</v>
      </c>
      <c r="D1641" t="str" cm="1">
        <f t="array" ref="D1641">_xlfn.IFS(Table2[[#This Row],[Age]]&lt;=11,"Gen A",Table2[[#This Row],[Age]]&lt;=27,"Gen Z",Table2[[#This Row],[Age]]&lt;=43,"Millenials",Table2[[#This Row],[Age]]&lt;=59,"Gen X",Table2[[#This Row],[Age]]&lt;=78,"Baby Boomers",Table2[[#This Row],[Age]]&lt;=96,"Silent",Table2[[#This Row],[Age]]&gt;=97,"Greatest")</f>
        <v>Millenials</v>
      </c>
      <c r="E1641" s="1">
        <v>123246</v>
      </c>
      <c r="F1641">
        <v>100</v>
      </c>
      <c r="G1641" t="str" cm="1">
        <f t="array" ref="G1641">_xlfn.IFS(Table2[[#This Row],[Spending Score (1-100)]]&lt;=25,"Low",Table2[[#This Row],[Spending Score (1-100)]]&lt;=50,"Medium",Table2[[#This Row],[Spending Score (1-100)]]&lt;=75,"High",Table2[[#This Row],[Spending Score (1-100)]]&lt;=100,"Very High")</f>
        <v>Very High</v>
      </c>
      <c r="H1641" t="s">
        <v>17</v>
      </c>
      <c r="I1641">
        <v>8</v>
      </c>
      <c r="J1641" t="str">
        <f>CONCATENATE(Table2[[#This Row],[Work Experience]],"years")</f>
        <v>8years</v>
      </c>
      <c r="K1641" t="str">
        <f>CONCATENATE(Table2[[#This Row],[Family Size2]],"members")</f>
        <v>6members</v>
      </c>
      <c r="L1641" t="str">
        <f>CONCATENATE(Table2[[#This Row],[Family Size2]],"members")</f>
        <v>6members</v>
      </c>
      <c r="M1641">
        <v>6</v>
      </c>
    </row>
    <row r="1642" spans="1:13">
      <c r="A1642">
        <v>1641</v>
      </c>
      <c r="B1642" t="s">
        <v>11</v>
      </c>
      <c r="C1642">
        <v>47</v>
      </c>
      <c r="D1642" t="str" cm="1">
        <f t="array" ref="D1642">_xlfn.IFS(Table2[[#This Row],[Age]]&lt;=11,"Gen A",Table2[[#This Row],[Age]]&lt;=27,"Gen Z",Table2[[#This Row],[Age]]&lt;=43,"Millenials",Table2[[#This Row],[Age]]&lt;=59,"Gen X",Table2[[#This Row],[Age]]&lt;=78,"Baby Boomers",Table2[[#This Row],[Age]]&lt;=96,"Silent",Table2[[#This Row],[Age]]&gt;=97,"Greatest")</f>
        <v>Gen X</v>
      </c>
      <c r="E1642" s="1">
        <v>124194</v>
      </c>
      <c r="F1642">
        <v>32</v>
      </c>
      <c r="G1642" t="str" cm="1">
        <f t="array" ref="G1642">_xlfn.IFS(Table2[[#This Row],[Spending Score (1-100)]]&lt;=25,"Low",Table2[[#This Row],[Spending Score (1-100)]]&lt;=50,"Medium",Table2[[#This Row],[Spending Score (1-100)]]&lt;=75,"High",Table2[[#This Row],[Spending Score (1-100)]]&lt;=100,"Very High")</f>
        <v>Medium</v>
      </c>
      <c r="H1642" t="s">
        <v>16</v>
      </c>
      <c r="I1642">
        <v>1</v>
      </c>
      <c r="J1642" t="str">
        <f>CONCATENATE(Table2[[#This Row],[Work Experience]],"years")</f>
        <v>1years</v>
      </c>
      <c r="K1642" t="str">
        <f>CONCATENATE(Table2[[#This Row],[Family Size2]],"members")</f>
        <v>7members</v>
      </c>
      <c r="L1642" t="str">
        <f>CONCATENATE(Table2[[#This Row],[Family Size2]],"members")</f>
        <v>7members</v>
      </c>
      <c r="M1642">
        <v>7</v>
      </c>
    </row>
    <row r="1643" spans="1:13">
      <c r="A1643">
        <v>1642</v>
      </c>
      <c r="B1643" t="s">
        <v>8</v>
      </c>
      <c r="C1643">
        <v>15</v>
      </c>
      <c r="D1643" t="str" cm="1">
        <f t="array" ref="D1643">_xlfn.IFS(Table2[[#This Row],[Age]]&lt;=11,"Gen A",Table2[[#This Row],[Age]]&lt;=27,"Gen Z",Table2[[#This Row],[Age]]&lt;=43,"Millenials",Table2[[#This Row],[Age]]&lt;=59,"Gen X",Table2[[#This Row],[Age]]&lt;=78,"Baby Boomers",Table2[[#This Row],[Age]]&lt;=96,"Silent",Table2[[#This Row],[Age]]&gt;=97,"Greatest")</f>
        <v>Gen Z</v>
      </c>
      <c r="E1643" s="1">
        <v>188696</v>
      </c>
      <c r="F1643">
        <v>87</v>
      </c>
      <c r="G1643" t="str" cm="1">
        <f t="array" ref="G1643">_xlfn.IFS(Table2[[#This Row],[Spending Score (1-100)]]&lt;=25,"Low",Table2[[#This Row],[Spending Score (1-100)]]&lt;=50,"Medium",Table2[[#This Row],[Spending Score (1-100)]]&lt;=75,"High",Table2[[#This Row],[Spending Score (1-100)]]&lt;=100,"Very High")</f>
        <v>Very High</v>
      </c>
      <c r="H1643" t="s">
        <v>17</v>
      </c>
      <c r="I1643">
        <v>8</v>
      </c>
      <c r="J1643" t="str">
        <f>CONCATENATE(Table2[[#This Row],[Work Experience]],"years")</f>
        <v>8years</v>
      </c>
      <c r="K1643" t="str">
        <f>CONCATENATE(Table2[[#This Row],[Family Size2]],"members")</f>
        <v>3members</v>
      </c>
      <c r="L1643" t="str">
        <f>CONCATENATE(Table2[[#This Row],[Family Size2]],"members")</f>
        <v>3members</v>
      </c>
      <c r="M1643">
        <v>3</v>
      </c>
    </row>
    <row r="1644" spans="1:13">
      <c r="A1644">
        <v>1643</v>
      </c>
      <c r="B1644" t="s">
        <v>11</v>
      </c>
      <c r="C1644">
        <v>78</v>
      </c>
      <c r="D1644" t="str" cm="1">
        <f t="array" ref="D1644">_xlfn.IFS(Table2[[#This Row],[Age]]&lt;=11,"Gen A",Table2[[#This Row],[Age]]&lt;=27,"Gen Z",Table2[[#This Row],[Age]]&lt;=43,"Millenials",Table2[[#This Row],[Age]]&lt;=59,"Gen X",Table2[[#This Row],[Age]]&lt;=78,"Baby Boomers",Table2[[#This Row],[Age]]&lt;=96,"Silent",Table2[[#This Row],[Age]]&gt;=97,"Greatest")</f>
        <v>Baby Boomers</v>
      </c>
      <c r="E1644" s="1">
        <v>91213</v>
      </c>
      <c r="F1644">
        <v>84</v>
      </c>
      <c r="G1644" t="str" cm="1">
        <f t="array" ref="G1644">_xlfn.IFS(Table2[[#This Row],[Spending Score (1-100)]]&lt;=25,"Low",Table2[[#This Row],[Spending Score (1-100)]]&lt;=50,"Medium",Table2[[#This Row],[Spending Score (1-100)]]&lt;=75,"High",Table2[[#This Row],[Spending Score (1-100)]]&lt;=100,"Very High")</f>
        <v>Very High</v>
      </c>
      <c r="H1644" t="s">
        <v>12</v>
      </c>
      <c r="I1644">
        <v>3</v>
      </c>
      <c r="J1644" t="str">
        <f>CONCATENATE(Table2[[#This Row],[Work Experience]],"years")</f>
        <v>3years</v>
      </c>
      <c r="K1644" t="str">
        <f>CONCATENATE(Table2[[#This Row],[Family Size2]],"members")</f>
        <v>5members</v>
      </c>
      <c r="L1644" t="str">
        <f>CONCATENATE(Table2[[#This Row],[Family Size2]],"members")</f>
        <v>5members</v>
      </c>
      <c r="M1644">
        <v>5</v>
      </c>
    </row>
    <row r="1645" spans="1:13">
      <c r="A1645">
        <v>1644</v>
      </c>
      <c r="B1645" t="s">
        <v>11</v>
      </c>
      <c r="C1645">
        <v>83</v>
      </c>
      <c r="D1645" t="str" cm="1">
        <f t="array" ref="D1645">_xlfn.IFS(Table2[[#This Row],[Age]]&lt;=11,"Gen A",Table2[[#This Row],[Age]]&lt;=27,"Gen Z",Table2[[#This Row],[Age]]&lt;=43,"Millenials",Table2[[#This Row],[Age]]&lt;=59,"Gen X",Table2[[#This Row],[Age]]&lt;=78,"Baby Boomers",Table2[[#This Row],[Age]]&lt;=96,"Silent",Table2[[#This Row],[Age]]&gt;=97,"Greatest")</f>
        <v>Silent</v>
      </c>
      <c r="E1645" s="1">
        <v>166650</v>
      </c>
      <c r="F1645">
        <v>99</v>
      </c>
      <c r="G1645" t="str" cm="1">
        <f t="array" ref="G1645">_xlfn.IFS(Table2[[#This Row],[Spending Score (1-100)]]&lt;=25,"Low",Table2[[#This Row],[Spending Score (1-100)]]&lt;=50,"Medium",Table2[[#This Row],[Spending Score (1-100)]]&lt;=75,"High",Table2[[#This Row],[Spending Score (1-100)]]&lt;=100,"Very High")</f>
        <v>Very High</v>
      </c>
      <c r="H1645" t="s">
        <v>9</v>
      </c>
      <c r="I1645">
        <v>1</v>
      </c>
      <c r="J1645" t="str">
        <f>CONCATENATE(Table2[[#This Row],[Work Experience]],"years")</f>
        <v>1years</v>
      </c>
      <c r="K1645" t="str">
        <f>CONCATENATE(Table2[[#This Row],[Family Size2]],"members")</f>
        <v>3members</v>
      </c>
      <c r="L1645" t="str">
        <f>CONCATENATE(Table2[[#This Row],[Family Size2]],"members")</f>
        <v>3members</v>
      </c>
      <c r="M1645">
        <v>3</v>
      </c>
    </row>
    <row r="1646" spans="1:13">
      <c r="A1646">
        <v>1645</v>
      </c>
      <c r="B1646" t="s">
        <v>8</v>
      </c>
      <c r="C1646">
        <v>2</v>
      </c>
      <c r="D1646" t="str" cm="1">
        <f t="array" ref="D1646">_xlfn.IFS(Table2[[#This Row],[Age]]&lt;=11,"Gen A",Table2[[#This Row],[Age]]&lt;=27,"Gen Z",Table2[[#This Row],[Age]]&lt;=43,"Millenials",Table2[[#This Row],[Age]]&lt;=59,"Gen X",Table2[[#This Row],[Age]]&lt;=78,"Baby Boomers",Table2[[#This Row],[Age]]&lt;=96,"Silent",Table2[[#This Row],[Age]]&gt;=97,"Greatest")</f>
        <v>Gen A</v>
      </c>
      <c r="E1646" s="1">
        <v>52727</v>
      </c>
      <c r="F1646">
        <v>60</v>
      </c>
      <c r="G1646" t="str" cm="1">
        <f t="array" ref="G1646">_xlfn.IFS(Table2[[#This Row],[Spending Score (1-100)]]&lt;=25,"Low",Table2[[#This Row],[Spending Score (1-100)]]&lt;=50,"Medium",Table2[[#This Row],[Spending Score (1-100)]]&lt;=75,"High",Table2[[#This Row],[Spending Score (1-100)]]&lt;=100,"Very High")</f>
        <v>High</v>
      </c>
      <c r="H1646" t="s">
        <v>14</v>
      </c>
      <c r="I1646">
        <v>1</v>
      </c>
      <c r="J1646" t="str">
        <f>CONCATENATE(Table2[[#This Row],[Work Experience]],"years")</f>
        <v>1years</v>
      </c>
      <c r="K1646" t="str">
        <f>CONCATENATE(Table2[[#This Row],[Family Size2]],"members")</f>
        <v>3members</v>
      </c>
      <c r="L1646" t="str">
        <f>CONCATENATE(Table2[[#This Row],[Family Size2]],"members")</f>
        <v>3members</v>
      </c>
      <c r="M1646">
        <v>3</v>
      </c>
    </row>
    <row r="1647" spans="1:13">
      <c r="A1647">
        <v>1646</v>
      </c>
      <c r="B1647" t="s">
        <v>8</v>
      </c>
      <c r="C1647">
        <v>75</v>
      </c>
      <c r="D1647" t="str" cm="1">
        <f t="array" ref="D1647">_xlfn.IFS(Table2[[#This Row],[Age]]&lt;=11,"Gen A",Table2[[#This Row],[Age]]&lt;=27,"Gen Z",Table2[[#This Row],[Age]]&lt;=43,"Millenials",Table2[[#This Row],[Age]]&lt;=59,"Gen X",Table2[[#This Row],[Age]]&lt;=78,"Baby Boomers",Table2[[#This Row],[Age]]&lt;=96,"Silent",Table2[[#This Row],[Age]]&gt;=97,"Greatest")</f>
        <v>Baby Boomers</v>
      </c>
      <c r="E1647" s="1">
        <v>126469</v>
      </c>
      <c r="F1647">
        <v>86</v>
      </c>
      <c r="G1647" t="str" cm="1">
        <f t="array" ref="G1647">_xlfn.IFS(Table2[[#This Row],[Spending Score (1-100)]]&lt;=25,"Low",Table2[[#This Row],[Spending Score (1-100)]]&lt;=50,"Medium",Table2[[#This Row],[Spending Score (1-100)]]&lt;=75,"High",Table2[[#This Row],[Spending Score (1-100)]]&lt;=100,"Very High")</f>
        <v>Very High</v>
      </c>
      <c r="H1647" t="s">
        <v>13</v>
      </c>
      <c r="I1647">
        <v>1</v>
      </c>
      <c r="J1647" t="str">
        <f>CONCATENATE(Table2[[#This Row],[Work Experience]],"years")</f>
        <v>1years</v>
      </c>
      <c r="K1647" t="str">
        <f>CONCATENATE(Table2[[#This Row],[Family Size2]],"members")</f>
        <v>2members</v>
      </c>
      <c r="L1647" t="str">
        <f>CONCATENATE(Table2[[#This Row],[Family Size2]],"members")</f>
        <v>2members</v>
      </c>
      <c r="M1647">
        <v>2</v>
      </c>
    </row>
    <row r="1648" spans="1:13">
      <c r="A1648">
        <v>1647</v>
      </c>
      <c r="B1648" t="s">
        <v>8</v>
      </c>
      <c r="C1648">
        <v>45</v>
      </c>
      <c r="D1648" t="str" cm="1">
        <f t="array" ref="D1648">_xlfn.IFS(Table2[[#This Row],[Age]]&lt;=11,"Gen A",Table2[[#This Row],[Age]]&lt;=27,"Gen Z",Table2[[#This Row],[Age]]&lt;=43,"Millenials",Table2[[#This Row],[Age]]&lt;=59,"Gen X",Table2[[#This Row],[Age]]&lt;=78,"Baby Boomers",Table2[[#This Row],[Age]]&lt;=96,"Silent",Table2[[#This Row],[Age]]&gt;=97,"Greatest")</f>
        <v>Gen X</v>
      </c>
      <c r="E1648" s="1">
        <v>138775</v>
      </c>
      <c r="F1648">
        <v>17</v>
      </c>
      <c r="G1648" t="str" cm="1">
        <f t="array" ref="G1648">_xlfn.IFS(Table2[[#This Row],[Spending Score (1-100)]]&lt;=25,"Low",Table2[[#This Row],[Spending Score (1-100)]]&lt;=50,"Medium",Table2[[#This Row],[Spending Score (1-100)]]&lt;=75,"High",Table2[[#This Row],[Spending Score (1-100)]]&lt;=100,"Very High")</f>
        <v>Low</v>
      </c>
      <c r="H1648" t="s">
        <v>15</v>
      </c>
      <c r="I1648">
        <v>0</v>
      </c>
      <c r="J1648" t="str">
        <f>CONCATENATE(Table2[[#This Row],[Work Experience]],"years")</f>
        <v>0years</v>
      </c>
      <c r="K1648" t="str">
        <f>CONCATENATE(Table2[[#This Row],[Family Size2]],"members")</f>
        <v>7members</v>
      </c>
      <c r="L1648" t="str">
        <f>CONCATENATE(Table2[[#This Row],[Family Size2]],"members")</f>
        <v>7members</v>
      </c>
      <c r="M1648">
        <v>7</v>
      </c>
    </row>
    <row r="1649" spans="1:13">
      <c r="A1649">
        <v>1648</v>
      </c>
      <c r="B1649" t="s">
        <v>11</v>
      </c>
      <c r="C1649">
        <v>49</v>
      </c>
      <c r="D1649" t="str" cm="1">
        <f t="array" ref="D1649">_xlfn.IFS(Table2[[#This Row],[Age]]&lt;=11,"Gen A",Table2[[#This Row],[Age]]&lt;=27,"Gen Z",Table2[[#This Row],[Age]]&lt;=43,"Millenials",Table2[[#This Row],[Age]]&lt;=59,"Gen X",Table2[[#This Row],[Age]]&lt;=78,"Baby Boomers",Table2[[#This Row],[Age]]&lt;=96,"Silent",Table2[[#This Row],[Age]]&gt;=97,"Greatest")</f>
        <v>Gen X</v>
      </c>
      <c r="E1649" s="1">
        <v>68901</v>
      </c>
      <c r="F1649">
        <v>70</v>
      </c>
      <c r="G1649" t="str" cm="1">
        <f t="array" ref="G1649">_xlfn.IFS(Table2[[#This Row],[Spending Score (1-100)]]&lt;=25,"Low",Table2[[#This Row],[Spending Score (1-100)]]&lt;=50,"Medium",Table2[[#This Row],[Spending Score (1-100)]]&lt;=75,"High",Table2[[#This Row],[Spending Score (1-100)]]&lt;=100,"Very High")</f>
        <v>High</v>
      </c>
      <c r="H1649" t="s">
        <v>16</v>
      </c>
      <c r="I1649">
        <v>7</v>
      </c>
      <c r="J1649" t="str">
        <f>CONCATENATE(Table2[[#This Row],[Work Experience]],"years")</f>
        <v>7years</v>
      </c>
      <c r="K1649" t="str">
        <f>CONCATENATE(Table2[[#This Row],[Family Size2]],"members")</f>
        <v>7members</v>
      </c>
      <c r="L1649" t="str">
        <f>CONCATENATE(Table2[[#This Row],[Family Size2]],"members")</f>
        <v>7members</v>
      </c>
      <c r="M1649">
        <v>7</v>
      </c>
    </row>
    <row r="1650" spans="1:13">
      <c r="A1650">
        <v>1649</v>
      </c>
      <c r="B1650" t="s">
        <v>11</v>
      </c>
      <c r="C1650">
        <v>41</v>
      </c>
      <c r="D1650" t="str" cm="1">
        <f t="array" ref="D1650">_xlfn.IFS(Table2[[#This Row],[Age]]&lt;=11,"Gen A",Table2[[#This Row],[Age]]&lt;=27,"Gen Z",Table2[[#This Row],[Age]]&lt;=43,"Millenials",Table2[[#This Row],[Age]]&lt;=59,"Gen X",Table2[[#This Row],[Age]]&lt;=78,"Baby Boomers",Table2[[#This Row],[Age]]&lt;=96,"Silent",Table2[[#This Row],[Age]]&gt;=97,"Greatest")</f>
        <v>Millenials</v>
      </c>
      <c r="E1650" s="1">
        <v>118621</v>
      </c>
      <c r="F1650">
        <v>7</v>
      </c>
      <c r="G1650" t="str" cm="1">
        <f t="array" ref="G1650">_xlfn.IFS(Table2[[#This Row],[Spending Score (1-100)]]&lt;=25,"Low",Table2[[#This Row],[Spending Score (1-100)]]&lt;=50,"Medium",Table2[[#This Row],[Spending Score (1-100)]]&lt;=75,"High",Table2[[#This Row],[Spending Score (1-100)]]&lt;=100,"Very High")</f>
        <v>Low</v>
      </c>
      <c r="H1650" t="s">
        <v>17</v>
      </c>
      <c r="I1650">
        <v>0</v>
      </c>
      <c r="J1650" t="str">
        <f>CONCATENATE(Table2[[#This Row],[Work Experience]],"years")</f>
        <v>0years</v>
      </c>
      <c r="K1650" t="str">
        <f>CONCATENATE(Table2[[#This Row],[Family Size2]],"members")</f>
        <v>7members</v>
      </c>
      <c r="L1650" t="str">
        <f>CONCATENATE(Table2[[#This Row],[Family Size2]],"members")</f>
        <v>7members</v>
      </c>
      <c r="M1650">
        <v>7</v>
      </c>
    </row>
    <row r="1651" spans="1:13">
      <c r="A1651">
        <v>1650</v>
      </c>
      <c r="B1651" t="s">
        <v>8</v>
      </c>
      <c r="C1651">
        <v>34</v>
      </c>
      <c r="D1651" t="str" cm="1">
        <f t="array" ref="D1651">_xlfn.IFS(Table2[[#This Row],[Age]]&lt;=11,"Gen A",Table2[[#This Row],[Age]]&lt;=27,"Gen Z",Table2[[#This Row],[Age]]&lt;=43,"Millenials",Table2[[#This Row],[Age]]&lt;=59,"Gen X",Table2[[#This Row],[Age]]&lt;=78,"Baby Boomers",Table2[[#This Row],[Age]]&lt;=96,"Silent",Table2[[#This Row],[Age]]&gt;=97,"Greatest")</f>
        <v>Millenials</v>
      </c>
      <c r="E1651" s="1">
        <v>109263</v>
      </c>
      <c r="F1651">
        <v>77</v>
      </c>
      <c r="G1651" t="str" cm="1">
        <f t="array" ref="G1651">_xlfn.IFS(Table2[[#This Row],[Spending Score (1-100)]]&lt;=25,"Low",Table2[[#This Row],[Spending Score (1-100)]]&lt;=50,"Medium",Table2[[#This Row],[Spending Score (1-100)]]&lt;=75,"High",Table2[[#This Row],[Spending Score (1-100)]]&lt;=100,"Very High")</f>
        <v>Very High</v>
      </c>
      <c r="H1651" t="s">
        <v>13</v>
      </c>
      <c r="I1651">
        <v>0</v>
      </c>
      <c r="J1651" t="str">
        <f>CONCATENATE(Table2[[#This Row],[Work Experience]],"years")</f>
        <v>0years</v>
      </c>
      <c r="K1651" t="str">
        <f>CONCATENATE(Table2[[#This Row],[Family Size2]],"members")</f>
        <v>1members</v>
      </c>
      <c r="L1651" t="str">
        <f>CONCATENATE(Table2[[#This Row],[Family Size2]],"members")</f>
        <v>1members</v>
      </c>
      <c r="M1651">
        <v>1</v>
      </c>
    </row>
    <row r="1652" spans="1:13">
      <c r="A1652">
        <v>1651</v>
      </c>
      <c r="B1652" t="s">
        <v>8</v>
      </c>
      <c r="C1652">
        <v>82</v>
      </c>
      <c r="D1652" t="str" cm="1">
        <f t="array" ref="D1652">_xlfn.IFS(Table2[[#This Row],[Age]]&lt;=11,"Gen A",Table2[[#This Row],[Age]]&lt;=27,"Gen Z",Table2[[#This Row],[Age]]&lt;=43,"Millenials",Table2[[#This Row],[Age]]&lt;=59,"Gen X",Table2[[#This Row],[Age]]&lt;=78,"Baby Boomers",Table2[[#This Row],[Age]]&lt;=96,"Silent",Table2[[#This Row],[Age]]&gt;=97,"Greatest")</f>
        <v>Silent</v>
      </c>
      <c r="E1652" s="1">
        <v>150012</v>
      </c>
      <c r="F1652">
        <v>83</v>
      </c>
      <c r="G1652" t="str" cm="1">
        <f t="array" ref="G1652">_xlfn.IFS(Table2[[#This Row],[Spending Score (1-100)]]&lt;=25,"Low",Table2[[#This Row],[Spending Score (1-100)]]&lt;=50,"Medium",Table2[[#This Row],[Spending Score (1-100)]]&lt;=75,"High",Table2[[#This Row],[Spending Score (1-100)]]&lt;=100,"Very High")</f>
        <v>Very High</v>
      </c>
      <c r="H1652" t="s">
        <v>9</v>
      </c>
      <c r="I1652">
        <v>3</v>
      </c>
      <c r="J1652" t="str">
        <f>CONCATENATE(Table2[[#This Row],[Work Experience]],"years")</f>
        <v>3years</v>
      </c>
      <c r="K1652" t="str">
        <f>CONCATENATE(Table2[[#This Row],[Family Size2]],"members")</f>
        <v>6members</v>
      </c>
      <c r="L1652" t="str">
        <f>CONCATENATE(Table2[[#This Row],[Family Size2]],"members")</f>
        <v>6members</v>
      </c>
      <c r="M1652">
        <v>6</v>
      </c>
    </row>
    <row r="1653" spans="1:13">
      <c r="A1653">
        <v>1652</v>
      </c>
      <c r="B1653" t="s">
        <v>8</v>
      </c>
      <c r="C1653">
        <v>37</v>
      </c>
      <c r="D1653" t="str" cm="1">
        <f t="array" ref="D1653">_xlfn.IFS(Table2[[#This Row],[Age]]&lt;=11,"Gen A",Table2[[#This Row],[Age]]&lt;=27,"Gen Z",Table2[[#This Row],[Age]]&lt;=43,"Millenials",Table2[[#This Row],[Age]]&lt;=59,"Gen X",Table2[[#This Row],[Age]]&lt;=78,"Baby Boomers",Table2[[#This Row],[Age]]&lt;=96,"Silent",Table2[[#This Row],[Age]]&gt;=97,"Greatest")</f>
        <v>Millenials</v>
      </c>
      <c r="E1653" s="1">
        <v>133850</v>
      </c>
      <c r="F1653">
        <v>85</v>
      </c>
      <c r="G1653" t="str" cm="1">
        <f t="array" ref="G1653">_xlfn.IFS(Table2[[#This Row],[Spending Score (1-100)]]&lt;=25,"Low",Table2[[#This Row],[Spending Score (1-100)]]&lt;=50,"Medium",Table2[[#This Row],[Spending Score (1-100)]]&lt;=75,"High",Table2[[#This Row],[Spending Score (1-100)]]&lt;=100,"Very High")</f>
        <v>Very High</v>
      </c>
      <c r="H1653" t="s">
        <v>18</v>
      </c>
      <c r="I1653">
        <v>9</v>
      </c>
      <c r="J1653" t="str">
        <f>CONCATENATE(Table2[[#This Row],[Work Experience]],"years")</f>
        <v>9years</v>
      </c>
      <c r="K1653" t="str">
        <f>CONCATENATE(Table2[[#This Row],[Family Size2]],"members")</f>
        <v>3members</v>
      </c>
      <c r="L1653" t="str">
        <f>CONCATENATE(Table2[[#This Row],[Family Size2]],"members")</f>
        <v>3members</v>
      </c>
      <c r="M1653">
        <v>3</v>
      </c>
    </row>
    <row r="1654" spans="1:13">
      <c r="A1654">
        <v>1653</v>
      </c>
      <c r="B1654" t="s">
        <v>11</v>
      </c>
      <c r="C1654">
        <v>25</v>
      </c>
      <c r="D1654" t="str" cm="1">
        <f t="array" ref="D1654">_xlfn.IFS(Table2[[#This Row],[Age]]&lt;=11,"Gen A",Table2[[#This Row],[Age]]&lt;=27,"Gen Z",Table2[[#This Row],[Age]]&lt;=43,"Millenials",Table2[[#This Row],[Age]]&lt;=59,"Gen X",Table2[[#This Row],[Age]]&lt;=78,"Baby Boomers",Table2[[#This Row],[Age]]&lt;=96,"Silent",Table2[[#This Row],[Age]]&gt;=97,"Greatest")</f>
        <v>Gen Z</v>
      </c>
      <c r="E1654" s="1">
        <v>81640</v>
      </c>
      <c r="F1654">
        <v>95</v>
      </c>
      <c r="G1654" t="str" cm="1">
        <f t="array" ref="G1654">_xlfn.IFS(Table2[[#This Row],[Spending Score (1-100)]]&lt;=25,"Low",Table2[[#This Row],[Spending Score (1-100)]]&lt;=50,"Medium",Table2[[#This Row],[Spending Score (1-100)]]&lt;=75,"High",Table2[[#This Row],[Spending Score (1-100)]]&lt;=100,"Very High")</f>
        <v>Very High</v>
      </c>
      <c r="H1654" t="s">
        <v>13</v>
      </c>
      <c r="I1654">
        <v>1</v>
      </c>
      <c r="J1654" t="str">
        <f>CONCATENATE(Table2[[#This Row],[Work Experience]],"years")</f>
        <v>1years</v>
      </c>
      <c r="K1654" t="str">
        <f>CONCATENATE(Table2[[#This Row],[Family Size2]],"members")</f>
        <v>6members</v>
      </c>
      <c r="L1654" t="str">
        <f>CONCATENATE(Table2[[#This Row],[Family Size2]],"members")</f>
        <v>6members</v>
      </c>
      <c r="M1654">
        <v>6</v>
      </c>
    </row>
    <row r="1655" spans="1:13">
      <c r="A1655">
        <v>1654</v>
      </c>
      <c r="B1655" t="s">
        <v>11</v>
      </c>
      <c r="C1655">
        <v>52</v>
      </c>
      <c r="D1655" t="str" cm="1">
        <f t="array" ref="D1655">_xlfn.IFS(Table2[[#This Row],[Age]]&lt;=11,"Gen A",Table2[[#This Row],[Age]]&lt;=27,"Gen Z",Table2[[#This Row],[Age]]&lt;=43,"Millenials",Table2[[#This Row],[Age]]&lt;=59,"Gen X",Table2[[#This Row],[Age]]&lt;=78,"Baby Boomers",Table2[[#This Row],[Age]]&lt;=96,"Silent",Table2[[#This Row],[Age]]&gt;=97,"Greatest")</f>
        <v>Gen X</v>
      </c>
      <c r="E1655" s="1">
        <v>133214</v>
      </c>
      <c r="F1655">
        <v>1</v>
      </c>
      <c r="G1655" t="str" cm="1">
        <f t="array" ref="G1655">_xlfn.IFS(Table2[[#This Row],[Spending Score (1-100)]]&lt;=25,"Low",Table2[[#This Row],[Spending Score (1-100)]]&lt;=50,"Medium",Table2[[#This Row],[Spending Score (1-100)]]&lt;=75,"High",Table2[[#This Row],[Spending Score (1-100)]]&lt;=100,"Very High")</f>
        <v>Low</v>
      </c>
      <c r="H1655" t="s">
        <v>18</v>
      </c>
      <c r="I1655">
        <v>9</v>
      </c>
      <c r="J1655" t="str">
        <f>CONCATENATE(Table2[[#This Row],[Work Experience]],"years")</f>
        <v>9years</v>
      </c>
      <c r="K1655" t="str">
        <f>CONCATENATE(Table2[[#This Row],[Family Size2]],"members")</f>
        <v>7members</v>
      </c>
      <c r="L1655" t="str">
        <f>CONCATENATE(Table2[[#This Row],[Family Size2]],"members")</f>
        <v>7members</v>
      </c>
      <c r="M1655">
        <v>7</v>
      </c>
    </row>
    <row r="1656" spans="1:13">
      <c r="A1656">
        <v>1655</v>
      </c>
      <c r="B1656" t="s">
        <v>11</v>
      </c>
      <c r="C1656">
        <v>23</v>
      </c>
      <c r="D1656" t="str" cm="1">
        <f t="array" ref="D1656">_xlfn.IFS(Table2[[#This Row],[Age]]&lt;=11,"Gen A",Table2[[#This Row],[Age]]&lt;=27,"Gen Z",Table2[[#This Row],[Age]]&lt;=43,"Millenials",Table2[[#This Row],[Age]]&lt;=59,"Gen X",Table2[[#This Row],[Age]]&lt;=78,"Baby Boomers",Table2[[#This Row],[Age]]&lt;=96,"Silent",Table2[[#This Row],[Age]]&gt;=97,"Greatest")</f>
        <v>Gen Z</v>
      </c>
      <c r="E1656" s="1">
        <v>186723</v>
      </c>
      <c r="F1656">
        <v>42</v>
      </c>
      <c r="G1656" t="str" cm="1">
        <f t="array" ref="G1656">_xlfn.IFS(Table2[[#This Row],[Spending Score (1-100)]]&lt;=25,"Low",Table2[[#This Row],[Spending Score (1-100)]]&lt;=50,"Medium",Table2[[#This Row],[Spending Score (1-100)]]&lt;=75,"High",Table2[[#This Row],[Spending Score (1-100)]]&lt;=100,"Very High")</f>
        <v>Medium</v>
      </c>
      <c r="H1656" t="s">
        <v>13</v>
      </c>
      <c r="I1656">
        <v>8</v>
      </c>
      <c r="J1656" t="str">
        <f>CONCATENATE(Table2[[#This Row],[Work Experience]],"years")</f>
        <v>8years</v>
      </c>
      <c r="K1656" t="str">
        <f>CONCATENATE(Table2[[#This Row],[Family Size2]],"members")</f>
        <v>5members</v>
      </c>
      <c r="L1656" t="str">
        <f>CONCATENATE(Table2[[#This Row],[Family Size2]],"members")</f>
        <v>5members</v>
      </c>
      <c r="M1656">
        <v>5</v>
      </c>
    </row>
    <row r="1657" spans="1:13">
      <c r="A1657">
        <v>1656</v>
      </c>
      <c r="B1657" t="s">
        <v>11</v>
      </c>
      <c r="C1657">
        <v>96</v>
      </c>
      <c r="D1657" t="str" cm="1">
        <f t="array" ref="D1657">_xlfn.IFS(Table2[[#This Row],[Age]]&lt;=11,"Gen A",Table2[[#This Row],[Age]]&lt;=27,"Gen Z",Table2[[#This Row],[Age]]&lt;=43,"Millenials",Table2[[#This Row],[Age]]&lt;=59,"Gen X",Table2[[#This Row],[Age]]&lt;=78,"Baby Boomers",Table2[[#This Row],[Age]]&lt;=96,"Silent",Table2[[#This Row],[Age]]&gt;=97,"Greatest")</f>
        <v>Silent</v>
      </c>
      <c r="E1657" s="1">
        <v>92100</v>
      </c>
      <c r="F1657">
        <v>23</v>
      </c>
      <c r="G1657" t="str" cm="1">
        <f t="array" ref="G1657">_xlfn.IFS(Table2[[#This Row],[Spending Score (1-100)]]&lt;=25,"Low",Table2[[#This Row],[Spending Score (1-100)]]&lt;=50,"Medium",Table2[[#This Row],[Spending Score (1-100)]]&lt;=75,"High",Table2[[#This Row],[Spending Score (1-100)]]&lt;=100,"Very High")</f>
        <v>Low</v>
      </c>
      <c r="H1657" t="s">
        <v>14</v>
      </c>
      <c r="I1657">
        <v>9</v>
      </c>
      <c r="J1657" t="str">
        <f>CONCATENATE(Table2[[#This Row],[Work Experience]],"years")</f>
        <v>9years</v>
      </c>
      <c r="K1657" t="str">
        <f>CONCATENATE(Table2[[#This Row],[Family Size2]],"members")</f>
        <v>3members</v>
      </c>
      <c r="L1657" t="str">
        <f>CONCATENATE(Table2[[#This Row],[Family Size2]],"members")</f>
        <v>3members</v>
      </c>
      <c r="M1657">
        <v>3</v>
      </c>
    </row>
    <row r="1658" spans="1:13">
      <c r="A1658">
        <v>1657</v>
      </c>
      <c r="B1658" t="s">
        <v>8</v>
      </c>
      <c r="C1658">
        <v>5</v>
      </c>
      <c r="D1658" t="str" cm="1">
        <f t="array" ref="D1658">_xlfn.IFS(Table2[[#This Row],[Age]]&lt;=11,"Gen A",Table2[[#This Row],[Age]]&lt;=27,"Gen Z",Table2[[#This Row],[Age]]&lt;=43,"Millenials",Table2[[#This Row],[Age]]&lt;=59,"Gen X",Table2[[#This Row],[Age]]&lt;=78,"Baby Boomers",Table2[[#This Row],[Age]]&lt;=96,"Silent",Table2[[#This Row],[Age]]&gt;=97,"Greatest")</f>
        <v>Gen A</v>
      </c>
      <c r="E1658" s="1">
        <v>64484</v>
      </c>
      <c r="F1658">
        <v>10</v>
      </c>
      <c r="G1658" t="str" cm="1">
        <f t="array" ref="G1658">_xlfn.IFS(Table2[[#This Row],[Spending Score (1-100)]]&lt;=25,"Low",Table2[[#This Row],[Spending Score (1-100)]]&lt;=50,"Medium",Table2[[#This Row],[Spending Score (1-100)]]&lt;=75,"High",Table2[[#This Row],[Spending Score (1-100)]]&lt;=100,"Very High")</f>
        <v>Low</v>
      </c>
      <c r="H1658" t="s">
        <v>17</v>
      </c>
      <c r="I1658">
        <v>0</v>
      </c>
      <c r="J1658" t="str">
        <f>CONCATENATE(Table2[[#This Row],[Work Experience]],"years")</f>
        <v>0years</v>
      </c>
      <c r="K1658" t="str">
        <f>CONCATENATE(Table2[[#This Row],[Family Size2]],"members")</f>
        <v>5members</v>
      </c>
      <c r="L1658" t="str">
        <f>CONCATENATE(Table2[[#This Row],[Family Size2]],"members")</f>
        <v>5members</v>
      </c>
      <c r="M1658">
        <v>5</v>
      </c>
    </row>
    <row r="1659" spans="1:13">
      <c r="A1659">
        <v>1658</v>
      </c>
      <c r="B1659" t="s">
        <v>11</v>
      </c>
      <c r="C1659">
        <v>47</v>
      </c>
      <c r="D1659" t="str" cm="1">
        <f t="array" ref="D1659">_xlfn.IFS(Table2[[#This Row],[Age]]&lt;=11,"Gen A",Table2[[#This Row],[Age]]&lt;=27,"Gen Z",Table2[[#This Row],[Age]]&lt;=43,"Millenials",Table2[[#This Row],[Age]]&lt;=59,"Gen X",Table2[[#This Row],[Age]]&lt;=78,"Baby Boomers",Table2[[#This Row],[Age]]&lt;=96,"Silent",Table2[[#This Row],[Age]]&gt;=97,"Greatest")</f>
        <v>Gen X</v>
      </c>
      <c r="E1659" s="1">
        <v>69024</v>
      </c>
      <c r="F1659">
        <v>3</v>
      </c>
      <c r="G1659" t="str" cm="1">
        <f t="array" ref="G1659">_xlfn.IFS(Table2[[#This Row],[Spending Score (1-100)]]&lt;=25,"Low",Table2[[#This Row],[Spending Score (1-100)]]&lt;=50,"Medium",Table2[[#This Row],[Spending Score (1-100)]]&lt;=75,"High",Table2[[#This Row],[Spending Score (1-100)]]&lt;=100,"Very High")</f>
        <v>Low</v>
      </c>
      <c r="H1659" t="s">
        <v>9</v>
      </c>
      <c r="I1659">
        <v>4</v>
      </c>
      <c r="J1659" t="str">
        <f>CONCATENATE(Table2[[#This Row],[Work Experience]],"years")</f>
        <v>4years</v>
      </c>
      <c r="K1659" t="str">
        <f>CONCATENATE(Table2[[#This Row],[Family Size2]],"members")</f>
        <v>5members</v>
      </c>
      <c r="L1659" t="str">
        <f>CONCATENATE(Table2[[#This Row],[Family Size2]],"members")</f>
        <v>5members</v>
      </c>
      <c r="M1659">
        <v>5</v>
      </c>
    </row>
    <row r="1660" spans="1:13">
      <c r="A1660">
        <v>1659</v>
      </c>
      <c r="B1660" t="s">
        <v>8</v>
      </c>
      <c r="C1660">
        <v>81</v>
      </c>
      <c r="D1660" t="str" cm="1">
        <f t="array" ref="D1660">_xlfn.IFS(Table2[[#This Row],[Age]]&lt;=11,"Gen A",Table2[[#This Row],[Age]]&lt;=27,"Gen Z",Table2[[#This Row],[Age]]&lt;=43,"Millenials",Table2[[#This Row],[Age]]&lt;=59,"Gen X",Table2[[#This Row],[Age]]&lt;=78,"Baby Boomers",Table2[[#This Row],[Age]]&lt;=96,"Silent",Table2[[#This Row],[Age]]&gt;=97,"Greatest")</f>
        <v>Silent</v>
      </c>
      <c r="E1660" s="1">
        <v>171194</v>
      </c>
      <c r="F1660">
        <v>55</v>
      </c>
      <c r="G1660" t="str" cm="1">
        <f t="array" ref="G1660">_xlfn.IFS(Table2[[#This Row],[Spending Score (1-100)]]&lt;=25,"Low",Table2[[#This Row],[Spending Score (1-100)]]&lt;=50,"Medium",Table2[[#This Row],[Spending Score (1-100)]]&lt;=75,"High",Table2[[#This Row],[Spending Score (1-100)]]&lt;=100,"Very High")</f>
        <v>High</v>
      </c>
      <c r="H1660" t="s">
        <v>14</v>
      </c>
      <c r="I1660">
        <v>0</v>
      </c>
      <c r="J1660" t="str">
        <f>CONCATENATE(Table2[[#This Row],[Work Experience]],"years")</f>
        <v>0years</v>
      </c>
      <c r="K1660" t="str">
        <f>CONCATENATE(Table2[[#This Row],[Family Size2]],"members")</f>
        <v>5members</v>
      </c>
      <c r="L1660" t="str">
        <f>CONCATENATE(Table2[[#This Row],[Family Size2]],"members")</f>
        <v>5members</v>
      </c>
      <c r="M1660">
        <v>5</v>
      </c>
    </row>
    <row r="1661" spans="1:13">
      <c r="A1661">
        <v>1660</v>
      </c>
      <c r="B1661" t="s">
        <v>11</v>
      </c>
      <c r="C1661">
        <v>4</v>
      </c>
      <c r="D1661" t="str" cm="1">
        <f t="array" ref="D1661">_xlfn.IFS(Table2[[#This Row],[Age]]&lt;=11,"Gen A",Table2[[#This Row],[Age]]&lt;=27,"Gen Z",Table2[[#This Row],[Age]]&lt;=43,"Millenials",Table2[[#This Row],[Age]]&lt;=59,"Gen X",Table2[[#This Row],[Age]]&lt;=78,"Baby Boomers",Table2[[#This Row],[Age]]&lt;=96,"Silent",Table2[[#This Row],[Age]]&gt;=97,"Greatest")</f>
        <v>Gen A</v>
      </c>
      <c r="E1661" s="1">
        <v>183282</v>
      </c>
      <c r="F1661">
        <v>34</v>
      </c>
      <c r="G1661" t="str" cm="1">
        <f t="array" ref="G1661">_xlfn.IFS(Table2[[#This Row],[Spending Score (1-100)]]&lt;=25,"Low",Table2[[#This Row],[Spending Score (1-100)]]&lt;=50,"Medium",Table2[[#This Row],[Spending Score (1-100)]]&lt;=75,"High",Table2[[#This Row],[Spending Score (1-100)]]&lt;=100,"Very High")</f>
        <v>Medium</v>
      </c>
      <c r="H1661" t="s">
        <v>14</v>
      </c>
      <c r="I1661">
        <v>1</v>
      </c>
      <c r="J1661" t="str">
        <f>CONCATENATE(Table2[[#This Row],[Work Experience]],"years")</f>
        <v>1years</v>
      </c>
      <c r="K1661" t="str">
        <f>CONCATENATE(Table2[[#This Row],[Family Size2]],"members")</f>
        <v>1members</v>
      </c>
      <c r="L1661" t="str">
        <f>CONCATENATE(Table2[[#This Row],[Family Size2]],"members")</f>
        <v>1members</v>
      </c>
      <c r="M1661">
        <v>1</v>
      </c>
    </row>
    <row r="1662" spans="1:13">
      <c r="A1662">
        <v>1661</v>
      </c>
      <c r="B1662" t="s">
        <v>11</v>
      </c>
      <c r="C1662">
        <v>8</v>
      </c>
      <c r="D1662" t="str" cm="1">
        <f t="array" ref="D1662">_xlfn.IFS(Table2[[#This Row],[Age]]&lt;=11,"Gen A",Table2[[#This Row],[Age]]&lt;=27,"Gen Z",Table2[[#This Row],[Age]]&lt;=43,"Millenials",Table2[[#This Row],[Age]]&lt;=59,"Gen X",Table2[[#This Row],[Age]]&lt;=78,"Baby Boomers",Table2[[#This Row],[Age]]&lt;=96,"Silent",Table2[[#This Row],[Age]]&gt;=97,"Greatest")</f>
        <v>Gen A</v>
      </c>
      <c r="E1662" s="1">
        <v>100099</v>
      </c>
      <c r="F1662">
        <v>74</v>
      </c>
      <c r="G1662" t="str" cm="1">
        <f t="array" ref="G1662">_xlfn.IFS(Table2[[#This Row],[Spending Score (1-100)]]&lt;=25,"Low",Table2[[#This Row],[Spending Score (1-100)]]&lt;=50,"Medium",Table2[[#This Row],[Spending Score (1-100)]]&lt;=75,"High",Table2[[#This Row],[Spending Score (1-100)]]&lt;=100,"Very High")</f>
        <v>High</v>
      </c>
      <c r="H1662" t="s">
        <v>9</v>
      </c>
      <c r="I1662">
        <v>1</v>
      </c>
      <c r="J1662" t="str">
        <f>CONCATENATE(Table2[[#This Row],[Work Experience]],"years")</f>
        <v>1years</v>
      </c>
      <c r="K1662" t="str">
        <f>CONCATENATE(Table2[[#This Row],[Family Size2]],"members")</f>
        <v>3members</v>
      </c>
      <c r="L1662" t="str">
        <f>CONCATENATE(Table2[[#This Row],[Family Size2]],"members")</f>
        <v>3members</v>
      </c>
      <c r="M1662">
        <v>3</v>
      </c>
    </row>
    <row r="1663" spans="1:13">
      <c r="A1663">
        <v>1662</v>
      </c>
      <c r="B1663" t="s">
        <v>11</v>
      </c>
      <c r="C1663">
        <v>35</v>
      </c>
      <c r="D1663" t="str" cm="1">
        <f t="array" ref="D1663">_xlfn.IFS(Table2[[#This Row],[Age]]&lt;=11,"Gen A",Table2[[#This Row],[Age]]&lt;=27,"Gen Z",Table2[[#This Row],[Age]]&lt;=43,"Millenials",Table2[[#This Row],[Age]]&lt;=59,"Gen X",Table2[[#This Row],[Age]]&lt;=78,"Baby Boomers",Table2[[#This Row],[Age]]&lt;=96,"Silent",Table2[[#This Row],[Age]]&gt;=97,"Greatest")</f>
        <v>Millenials</v>
      </c>
      <c r="E1663" s="1">
        <v>164435</v>
      </c>
      <c r="F1663">
        <v>26</v>
      </c>
      <c r="G1663" t="str" cm="1">
        <f t="array" ref="G1663">_xlfn.IFS(Table2[[#This Row],[Spending Score (1-100)]]&lt;=25,"Low",Table2[[#This Row],[Spending Score (1-100)]]&lt;=50,"Medium",Table2[[#This Row],[Spending Score (1-100)]]&lt;=75,"High",Table2[[#This Row],[Spending Score (1-100)]]&lt;=100,"Very High")</f>
        <v>Medium</v>
      </c>
      <c r="H1663" t="s">
        <v>12</v>
      </c>
      <c r="I1663">
        <v>1</v>
      </c>
      <c r="J1663" t="str">
        <f>CONCATENATE(Table2[[#This Row],[Work Experience]],"years")</f>
        <v>1years</v>
      </c>
      <c r="K1663" t="str">
        <f>CONCATENATE(Table2[[#This Row],[Family Size2]],"members")</f>
        <v>3members</v>
      </c>
      <c r="L1663" t="str">
        <f>CONCATENATE(Table2[[#This Row],[Family Size2]],"members")</f>
        <v>3members</v>
      </c>
      <c r="M1663">
        <v>3</v>
      </c>
    </row>
    <row r="1664" spans="1:13">
      <c r="A1664">
        <v>1663</v>
      </c>
      <c r="B1664" t="s">
        <v>8</v>
      </c>
      <c r="C1664">
        <v>67</v>
      </c>
      <c r="D1664" t="str" cm="1">
        <f t="array" ref="D1664">_xlfn.IFS(Table2[[#This Row],[Age]]&lt;=11,"Gen A",Table2[[#This Row],[Age]]&lt;=27,"Gen Z",Table2[[#This Row],[Age]]&lt;=43,"Millenials",Table2[[#This Row],[Age]]&lt;=59,"Gen X",Table2[[#This Row],[Age]]&lt;=78,"Baby Boomers",Table2[[#This Row],[Age]]&lt;=96,"Silent",Table2[[#This Row],[Age]]&gt;=97,"Greatest")</f>
        <v>Baby Boomers</v>
      </c>
      <c r="E1664" s="1">
        <v>172407</v>
      </c>
      <c r="F1664">
        <v>60</v>
      </c>
      <c r="G1664" t="str" cm="1">
        <f t="array" ref="G1664">_xlfn.IFS(Table2[[#This Row],[Spending Score (1-100)]]&lt;=25,"Low",Table2[[#This Row],[Spending Score (1-100)]]&lt;=50,"Medium",Table2[[#This Row],[Spending Score (1-100)]]&lt;=75,"High",Table2[[#This Row],[Spending Score (1-100)]]&lt;=100,"Very High")</f>
        <v>High</v>
      </c>
      <c r="H1664" t="s">
        <v>16</v>
      </c>
      <c r="I1664">
        <v>9</v>
      </c>
      <c r="J1664" t="str">
        <f>CONCATENATE(Table2[[#This Row],[Work Experience]],"years")</f>
        <v>9years</v>
      </c>
      <c r="K1664" t="str">
        <f>CONCATENATE(Table2[[#This Row],[Family Size2]],"members")</f>
        <v>3members</v>
      </c>
      <c r="L1664" t="str">
        <f>CONCATENATE(Table2[[#This Row],[Family Size2]],"members")</f>
        <v>3members</v>
      </c>
      <c r="M1664">
        <v>3</v>
      </c>
    </row>
    <row r="1665" spans="1:13">
      <c r="A1665">
        <v>1664</v>
      </c>
      <c r="B1665" t="s">
        <v>11</v>
      </c>
      <c r="C1665">
        <v>9</v>
      </c>
      <c r="D1665" t="str" cm="1">
        <f t="array" ref="D1665">_xlfn.IFS(Table2[[#This Row],[Age]]&lt;=11,"Gen A",Table2[[#This Row],[Age]]&lt;=27,"Gen Z",Table2[[#This Row],[Age]]&lt;=43,"Millenials",Table2[[#This Row],[Age]]&lt;=59,"Gen X",Table2[[#This Row],[Age]]&lt;=78,"Baby Boomers",Table2[[#This Row],[Age]]&lt;=96,"Silent",Table2[[#This Row],[Age]]&gt;=97,"Greatest")</f>
        <v>Gen A</v>
      </c>
      <c r="E1665" s="1">
        <v>84781</v>
      </c>
      <c r="F1665">
        <v>14</v>
      </c>
      <c r="G1665" t="str" cm="1">
        <f t="array" ref="G1665">_xlfn.IFS(Table2[[#This Row],[Spending Score (1-100)]]&lt;=25,"Low",Table2[[#This Row],[Spending Score (1-100)]]&lt;=50,"Medium",Table2[[#This Row],[Spending Score (1-100)]]&lt;=75,"High",Table2[[#This Row],[Spending Score (1-100)]]&lt;=100,"Very High")</f>
        <v>Low</v>
      </c>
      <c r="H1665" t="s">
        <v>15</v>
      </c>
      <c r="I1665">
        <v>1</v>
      </c>
      <c r="J1665" t="str">
        <f>CONCATENATE(Table2[[#This Row],[Work Experience]],"years")</f>
        <v>1years</v>
      </c>
      <c r="K1665" t="str">
        <f>CONCATENATE(Table2[[#This Row],[Family Size2]],"members")</f>
        <v>3members</v>
      </c>
      <c r="L1665" t="str">
        <f>CONCATENATE(Table2[[#This Row],[Family Size2]],"members")</f>
        <v>3members</v>
      </c>
      <c r="M1665">
        <v>3</v>
      </c>
    </row>
    <row r="1666" spans="1:13">
      <c r="A1666">
        <v>1665</v>
      </c>
      <c r="B1666" t="s">
        <v>8</v>
      </c>
      <c r="C1666">
        <v>82</v>
      </c>
      <c r="D1666" t="str" cm="1">
        <f t="array" ref="D1666">_xlfn.IFS(Table2[[#This Row],[Age]]&lt;=11,"Gen A",Table2[[#This Row],[Age]]&lt;=27,"Gen Z",Table2[[#This Row],[Age]]&lt;=43,"Millenials",Table2[[#This Row],[Age]]&lt;=59,"Gen X",Table2[[#This Row],[Age]]&lt;=78,"Baby Boomers",Table2[[#This Row],[Age]]&lt;=96,"Silent",Table2[[#This Row],[Age]]&gt;=97,"Greatest")</f>
        <v>Silent</v>
      </c>
      <c r="E1666" s="1">
        <v>186130</v>
      </c>
      <c r="F1666">
        <v>61</v>
      </c>
      <c r="G1666" t="str" cm="1">
        <f t="array" ref="G1666">_xlfn.IFS(Table2[[#This Row],[Spending Score (1-100)]]&lt;=25,"Low",Table2[[#This Row],[Spending Score (1-100)]]&lt;=50,"Medium",Table2[[#This Row],[Spending Score (1-100)]]&lt;=75,"High",Table2[[#This Row],[Spending Score (1-100)]]&lt;=100,"Very High")</f>
        <v>High</v>
      </c>
      <c r="H1666" t="s">
        <v>12</v>
      </c>
      <c r="I1666">
        <v>3</v>
      </c>
      <c r="J1666" t="str">
        <f>CONCATENATE(Table2[[#This Row],[Work Experience]],"years")</f>
        <v>3years</v>
      </c>
      <c r="K1666" t="str">
        <f>CONCATENATE(Table2[[#This Row],[Family Size2]],"members")</f>
        <v>7members</v>
      </c>
      <c r="L1666" t="str">
        <f>CONCATENATE(Table2[[#This Row],[Family Size2]],"members")</f>
        <v>7members</v>
      </c>
      <c r="M1666">
        <v>7</v>
      </c>
    </row>
    <row r="1667" spans="1:13">
      <c r="A1667">
        <v>1666</v>
      </c>
      <c r="B1667" t="s">
        <v>11</v>
      </c>
      <c r="C1667">
        <v>2</v>
      </c>
      <c r="D1667" t="str" cm="1">
        <f t="array" ref="D1667">_xlfn.IFS(Table2[[#This Row],[Age]]&lt;=11,"Gen A",Table2[[#This Row],[Age]]&lt;=27,"Gen Z",Table2[[#This Row],[Age]]&lt;=43,"Millenials",Table2[[#This Row],[Age]]&lt;=59,"Gen X",Table2[[#This Row],[Age]]&lt;=78,"Baby Boomers",Table2[[#This Row],[Age]]&lt;=96,"Silent",Table2[[#This Row],[Age]]&gt;=97,"Greatest")</f>
        <v>Gen A</v>
      </c>
      <c r="E1667" s="1">
        <v>56782</v>
      </c>
      <c r="F1667">
        <v>10</v>
      </c>
      <c r="G1667" t="str" cm="1">
        <f t="array" ref="G1667">_xlfn.IFS(Table2[[#This Row],[Spending Score (1-100)]]&lt;=25,"Low",Table2[[#This Row],[Spending Score (1-100)]]&lt;=50,"Medium",Table2[[#This Row],[Spending Score (1-100)]]&lt;=75,"High",Table2[[#This Row],[Spending Score (1-100)]]&lt;=100,"Very High")</f>
        <v>Low</v>
      </c>
      <c r="H1667" t="s">
        <v>14</v>
      </c>
      <c r="I1667">
        <v>9</v>
      </c>
      <c r="J1667" t="str">
        <f>CONCATENATE(Table2[[#This Row],[Work Experience]],"years")</f>
        <v>9years</v>
      </c>
      <c r="K1667" t="str">
        <f>CONCATENATE(Table2[[#This Row],[Family Size2]],"members")</f>
        <v>5members</v>
      </c>
      <c r="L1667" t="str">
        <f>CONCATENATE(Table2[[#This Row],[Family Size2]],"members")</f>
        <v>5members</v>
      </c>
      <c r="M1667">
        <v>5</v>
      </c>
    </row>
    <row r="1668" spans="1:13">
      <c r="A1668">
        <v>1667</v>
      </c>
      <c r="B1668" t="s">
        <v>8</v>
      </c>
      <c r="C1668">
        <v>95</v>
      </c>
      <c r="D1668" t="str" cm="1">
        <f t="array" ref="D1668">_xlfn.IFS(Table2[[#This Row],[Age]]&lt;=11,"Gen A",Table2[[#This Row],[Age]]&lt;=27,"Gen Z",Table2[[#This Row],[Age]]&lt;=43,"Millenials",Table2[[#This Row],[Age]]&lt;=59,"Gen X",Table2[[#This Row],[Age]]&lt;=78,"Baby Boomers",Table2[[#This Row],[Age]]&lt;=96,"Silent",Table2[[#This Row],[Age]]&gt;=97,"Greatest")</f>
        <v>Silent</v>
      </c>
      <c r="E1668" s="1">
        <v>137206</v>
      </c>
      <c r="F1668">
        <v>4</v>
      </c>
      <c r="G1668" t="str" cm="1">
        <f t="array" ref="G1668">_xlfn.IFS(Table2[[#This Row],[Spending Score (1-100)]]&lt;=25,"Low",Table2[[#This Row],[Spending Score (1-100)]]&lt;=50,"Medium",Table2[[#This Row],[Spending Score (1-100)]]&lt;=75,"High",Table2[[#This Row],[Spending Score (1-100)]]&lt;=100,"Very High")</f>
        <v>Low</v>
      </c>
      <c r="H1668" t="s">
        <v>14</v>
      </c>
      <c r="I1668">
        <v>0</v>
      </c>
      <c r="J1668" t="str">
        <f>CONCATENATE(Table2[[#This Row],[Work Experience]],"years")</f>
        <v>0years</v>
      </c>
      <c r="K1668" t="str">
        <f>CONCATENATE(Table2[[#This Row],[Family Size2]],"members")</f>
        <v>4members</v>
      </c>
      <c r="L1668" t="str">
        <f>CONCATENATE(Table2[[#This Row],[Family Size2]],"members")</f>
        <v>4members</v>
      </c>
      <c r="M1668">
        <v>4</v>
      </c>
    </row>
    <row r="1669" spans="1:13">
      <c r="A1669">
        <v>1668</v>
      </c>
      <c r="B1669" t="s">
        <v>11</v>
      </c>
      <c r="C1669">
        <v>9</v>
      </c>
      <c r="D1669" t="str" cm="1">
        <f t="array" ref="D1669">_xlfn.IFS(Table2[[#This Row],[Age]]&lt;=11,"Gen A",Table2[[#This Row],[Age]]&lt;=27,"Gen Z",Table2[[#This Row],[Age]]&lt;=43,"Millenials",Table2[[#This Row],[Age]]&lt;=59,"Gen X",Table2[[#This Row],[Age]]&lt;=78,"Baby Boomers",Table2[[#This Row],[Age]]&lt;=96,"Silent",Table2[[#This Row],[Age]]&gt;=97,"Greatest")</f>
        <v>Gen A</v>
      </c>
      <c r="E1669" s="1">
        <v>146950</v>
      </c>
      <c r="F1669">
        <v>92</v>
      </c>
      <c r="G1669" t="str" cm="1">
        <f t="array" ref="G1669">_xlfn.IFS(Table2[[#This Row],[Spending Score (1-100)]]&lt;=25,"Low",Table2[[#This Row],[Spending Score (1-100)]]&lt;=50,"Medium",Table2[[#This Row],[Spending Score (1-100)]]&lt;=75,"High",Table2[[#This Row],[Spending Score (1-100)]]&lt;=100,"Very High")</f>
        <v>Very High</v>
      </c>
      <c r="H1669" t="s">
        <v>16</v>
      </c>
      <c r="I1669">
        <v>6</v>
      </c>
      <c r="J1669" t="str">
        <f>CONCATENATE(Table2[[#This Row],[Work Experience]],"years")</f>
        <v>6years</v>
      </c>
      <c r="K1669" t="str">
        <f>CONCATENATE(Table2[[#This Row],[Family Size2]],"members")</f>
        <v>5members</v>
      </c>
      <c r="L1669" t="str">
        <f>CONCATENATE(Table2[[#This Row],[Family Size2]],"members")</f>
        <v>5members</v>
      </c>
      <c r="M1669">
        <v>5</v>
      </c>
    </row>
    <row r="1670" spans="1:13">
      <c r="A1670">
        <v>1669</v>
      </c>
      <c r="B1670" t="s">
        <v>11</v>
      </c>
      <c r="C1670">
        <v>99</v>
      </c>
      <c r="D1670" t="str" cm="1">
        <f t="array" ref="D1670">_xlfn.IFS(Table2[[#This Row],[Age]]&lt;=11,"Gen A",Table2[[#This Row],[Age]]&lt;=27,"Gen Z",Table2[[#This Row],[Age]]&lt;=43,"Millenials",Table2[[#This Row],[Age]]&lt;=59,"Gen X",Table2[[#This Row],[Age]]&lt;=78,"Baby Boomers",Table2[[#This Row],[Age]]&lt;=96,"Silent",Table2[[#This Row],[Age]]&gt;=97,"Greatest")</f>
        <v>Greatest</v>
      </c>
      <c r="E1670" s="1">
        <v>174275</v>
      </c>
      <c r="F1670">
        <v>4</v>
      </c>
      <c r="G1670" t="str" cm="1">
        <f t="array" ref="G1670">_xlfn.IFS(Table2[[#This Row],[Spending Score (1-100)]]&lt;=25,"Low",Table2[[#This Row],[Spending Score (1-100)]]&lt;=50,"Medium",Table2[[#This Row],[Spending Score (1-100)]]&lt;=75,"High",Table2[[#This Row],[Spending Score (1-100)]]&lt;=100,"Very High")</f>
        <v>Low</v>
      </c>
      <c r="H1670" t="s">
        <v>9</v>
      </c>
      <c r="I1670">
        <v>0</v>
      </c>
      <c r="J1670" t="str">
        <f>CONCATENATE(Table2[[#This Row],[Work Experience]],"years")</f>
        <v>0years</v>
      </c>
      <c r="K1670" t="str">
        <f>CONCATENATE(Table2[[#This Row],[Family Size2]],"members")</f>
        <v>2members</v>
      </c>
      <c r="L1670" t="str">
        <f>CONCATENATE(Table2[[#This Row],[Family Size2]],"members")</f>
        <v>2members</v>
      </c>
      <c r="M1670">
        <v>2</v>
      </c>
    </row>
    <row r="1671" spans="1:13">
      <c r="A1671">
        <v>1670</v>
      </c>
      <c r="B1671" t="s">
        <v>8</v>
      </c>
      <c r="C1671">
        <v>96</v>
      </c>
      <c r="D1671" t="str" cm="1">
        <f t="array" ref="D1671">_xlfn.IFS(Table2[[#This Row],[Age]]&lt;=11,"Gen A",Table2[[#This Row],[Age]]&lt;=27,"Gen Z",Table2[[#This Row],[Age]]&lt;=43,"Millenials",Table2[[#This Row],[Age]]&lt;=59,"Gen X",Table2[[#This Row],[Age]]&lt;=78,"Baby Boomers",Table2[[#This Row],[Age]]&lt;=96,"Silent",Table2[[#This Row],[Age]]&gt;=97,"Greatest")</f>
        <v>Silent</v>
      </c>
      <c r="E1671" s="1">
        <v>97705</v>
      </c>
      <c r="F1671">
        <v>41</v>
      </c>
      <c r="G1671" t="str" cm="1">
        <f t="array" ref="G1671">_xlfn.IFS(Table2[[#This Row],[Spending Score (1-100)]]&lt;=25,"Low",Table2[[#This Row],[Spending Score (1-100)]]&lt;=50,"Medium",Table2[[#This Row],[Spending Score (1-100)]]&lt;=75,"High",Table2[[#This Row],[Spending Score (1-100)]]&lt;=100,"Very High")</f>
        <v>Medium</v>
      </c>
      <c r="H1671" t="s">
        <v>17</v>
      </c>
      <c r="I1671">
        <v>8</v>
      </c>
      <c r="J1671" t="str">
        <f>CONCATENATE(Table2[[#This Row],[Work Experience]],"years")</f>
        <v>8years</v>
      </c>
      <c r="K1671" t="str">
        <f>CONCATENATE(Table2[[#This Row],[Family Size2]],"members")</f>
        <v>2members</v>
      </c>
      <c r="L1671" t="str">
        <f>CONCATENATE(Table2[[#This Row],[Family Size2]],"members")</f>
        <v>2members</v>
      </c>
      <c r="M1671">
        <v>2</v>
      </c>
    </row>
    <row r="1672" spans="1:13">
      <c r="A1672">
        <v>1671</v>
      </c>
      <c r="B1672" t="s">
        <v>8</v>
      </c>
      <c r="C1672">
        <v>92</v>
      </c>
      <c r="D1672" t="str" cm="1">
        <f t="array" ref="D1672">_xlfn.IFS(Table2[[#This Row],[Age]]&lt;=11,"Gen A",Table2[[#This Row],[Age]]&lt;=27,"Gen Z",Table2[[#This Row],[Age]]&lt;=43,"Millenials",Table2[[#This Row],[Age]]&lt;=59,"Gen X",Table2[[#This Row],[Age]]&lt;=78,"Baby Boomers",Table2[[#This Row],[Age]]&lt;=96,"Silent",Table2[[#This Row],[Age]]&gt;=97,"Greatest")</f>
        <v>Silent</v>
      </c>
      <c r="E1672" s="1">
        <v>188984</v>
      </c>
      <c r="F1672">
        <v>69</v>
      </c>
      <c r="G1672" t="str" cm="1">
        <f t="array" ref="G1672">_xlfn.IFS(Table2[[#This Row],[Spending Score (1-100)]]&lt;=25,"Low",Table2[[#This Row],[Spending Score (1-100)]]&lt;=50,"Medium",Table2[[#This Row],[Spending Score (1-100)]]&lt;=75,"High",Table2[[#This Row],[Spending Score (1-100)]]&lt;=100,"Very High")</f>
        <v>High</v>
      </c>
      <c r="H1672" t="s">
        <v>12</v>
      </c>
      <c r="I1672">
        <v>1</v>
      </c>
      <c r="J1672" t="str">
        <f>CONCATENATE(Table2[[#This Row],[Work Experience]],"years")</f>
        <v>1years</v>
      </c>
      <c r="K1672" t="str">
        <f>CONCATENATE(Table2[[#This Row],[Family Size2]],"members")</f>
        <v>4members</v>
      </c>
      <c r="L1672" t="str">
        <f>CONCATENATE(Table2[[#This Row],[Family Size2]],"members")</f>
        <v>4members</v>
      </c>
      <c r="M1672">
        <v>4</v>
      </c>
    </row>
    <row r="1673" spans="1:13">
      <c r="A1673">
        <v>1672</v>
      </c>
      <c r="B1673" t="s">
        <v>8</v>
      </c>
      <c r="C1673">
        <v>24</v>
      </c>
      <c r="D1673" t="str" cm="1">
        <f t="array" ref="D1673">_xlfn.IFS(Table2[[#This Row],[Age]]&lt;=11,"Gen A",Table2[[#This Row],[Age]]&lt;=27,"Gen Z",Table2[[#This Row],[Age]]&lt;=43,"Millenials",Table2[[#This Row],[Age]]&lt;=59,"Gen X",Table2[[#This Row],[Age]]&lt;=78,"Baby Boomers",Table2[[#This Row],[Age]]&lt;=96,"Silent",Table2[[#This Row],[Age]]&gt;=97,"Greatest")</f>
        <v>Gen Z</v>
      </c>
      <c r="E1673" s="1">
        <v>119238</v>
      </c>
      <c r="F1673">
        <v>55</v>
      </c>
      <c r="G1673" t="str" cm="1">
        <f t="array" ref="G1673">_xlfn.IFS(Table2[[#This Row],[Spending Score (1-100)]]&lt;=25,"Low",Table2[[#This Row],[Spending Score (1-100)]]&lt;=50,"Medium",Table2[[#This Row],[Spending Score (1-100)]]&lt;=75,"High",Table2[[#This Row],[Spending Score (1-100)]]&lt;=100,"Very High")</f>
        <v>High</v>
      </c>
      <c r="H1673" t="s">
        <v>14</v>
      </c>
      <c r="I1673">
        <v>1</v>
      </c>
      <c r="J1673" t="str">
        <f>CONCATENATE(Table2[[#This Row],[Work Experience]],"years")</f>
        <v>1years</v>
      </c>
      <c r="K1673" t="str">
        <f>CONCATENATE(Table2[[#This Row],[Family Size2]],"members")</f>
        <v>3members</v>
      </c>
      <c r="L1673" t="str">
        <f>CONCATENATE(Table2[[#This Row],[Family Size2]],"members")</f>
        <v>3members</v>
      </c>
      <c r="M1673">
        <v>3</v>
      </c>
    </row>
    <row r="1674" spans="1:13">
      <c r="A1674">
        <v>1673</v>
      </c>
      <c r="B1674" t="s">
        <v>8</v>
      </c>
      <c r="C1674">
        <v>58</v>
      </c>
      <c r="D1674" t="str" cm="1">
        <f t="array" ref="D1674">_xlfn.IFS(Table2[[#This Row],[Age]]&lt;=11,"Gen A",Table2[[#This Row],[Age]]&lt;=27,"Gen Z",Table2[[#This Row],[Age]]&lt;=43,"Millenials",Table2[[#This Row],[Age]]&lt;=59,"Gen X",Table2[[#This Row],[Age]]&lt;=78,"Baby Boomers",Table2[[#This Row],[Age]]&lt;=96,"Silent",Table2[[#This Row],[Age]]&gt;=97,"Greatest")</f>
        <v>Gen X</v>
      </c>
      <c r="E1674" s="1">
        <v>87923</v>
      </c>
      <c r="F1674">
        <v>19</v>
      </c>
      <c r="G1674" t="str" cm="1">
        <f t="array" ref="G1674">_xlfn.IFS(Table2[[#This Row],[Spending Score (1-100)]]&lt;=25,"Low",Table2[[#This Row],[Spending Score (1-100)]]&lt;=50,"Medium",Table2[[#This Row],[Spending Score (1-100)]]&lt;=75,"High",Table2[[#This Row],[Spending Score (1-100)]]&lt;=100,"Very High")</f>
        <v>Low</v>
      </c>
      <c r="H1674" t="s">
        <v>13</v>
      </c>
      <c r="I1674">
        <v>0</v>
      </c>
      <c r="J1674" t="str">
        <f>CONCATENATE(Table2[[#This Row],[Work Experience]],"years")</f>
        <v>0years</v>
      </c>
      <c r="K1674" t="str">
        <f>CONCATENATE(Table2[[#This Row],[Family Size2]],"members")</f>
        <v>5members</v>
      </c>
      <c r="L1674" t="str">
        <f>CONCATENATE(Table2[[#This Row],[Family Size2]],"members")</f>
        <v>5members</v>
      </c>
      <c r="M1674">
        <v>5</v>
      </c>
    </row>
    <row r="1675" spans="1:13">
      <c r="A1675">
        <v>1674</v>
      </c>
      <c r="B1675" t="s">
        <v>8</v>
      </c>
      <c r="C1675">
        <v>15</v>
      </c>
      <c r="D1675" t="str" cm="1">
        <f t="array" ref="D1675">_xlfn.IFS(Table2[[#This Row],[Age]]&lt;=11,"Gen A",Table2[[#This Row],[Age]]&lt;=27,"Gen Z",Table2[[#This Row],[Age]]&lt;=43,"Millenials",Table2[[#This Row],[Age]]&lt;=59,"Gen X",Table2[[#This Row],[Age]]&lt;=78,"Baby Boomers",Table2[[#This Row],[Age]]&lt;=96,"Silent",Table2[[#This Row],[Age]]&gt;=97,"Greatest")</f>
        <v>Gen Z</v>
      </c>
      <c r="E1675" s="1">
        <v>128573</v>
      </c>
      <c r="F1675">
        <v>97</v>
      </c>
      <c r="G1675" t="str" cm="1">
        <f t="array" ref="G1675">_xlfn.IFS(Table2[[#This Row],[Spending Score (1-100)]]&lt;=25,"Low",Table2[[#This Row],[Spending Score (1-100)]]&lt;=50,"Medium",Table2[[#This Row],[Spending Score (1-100)]]&lt;=75,"High",Table2[[#This Row],[Spending Score (1-100)]]&lt;=100,"Very High")</f>
        <v>Very High</v>
      </c>
      <c r="H1675" t="s">
        <v>15</v>
      </c>
      <c r="I1675">
        <v>1</v>
      </c>
      <c r="J1675" t="str">
        <f>CONCATENATE(Table2[[#This Row],[Work Experience]],"years")</f>
        <v>1years</v>
      </c>
      <c r="K1675" t="str">
        <f>CONCATENATE(Table2[[#This Row],[Family Size2]],"members")</f>
        <v>1members</v>
      </c>
      <c r="L1675" t="str">
        <f>CONCATENATE(Table2[[#This Row],[Family Size2]],"members")</f>
        <v>1members</v>
      </c>
      <c r="M1675">
        <v>1</v>
      </c>
    </row>
    <row r="1676" spans="1:13">
      <c r="A1676">
        <v>1675</v>
      </c>
      <c r="B1676" t="s">
        <v>11</v>
      </c>
      <c r="C1676">
        <v>13</v>
      </c>
      <c r="D1676" t="str" cm="1">
        <f t="array" ref="D1676">_xlfn.IFS(Table2[[#This Row],[Age]]&lt;=11,"Gen A",Table2[[#This Row],[Age]]&lt;=27,"Gen Z",Table2[[#This Row],[Age]]&lt;=43,"Millenials",Table2[[#This Row],[Age]]&lt;=59,"Gen X",Table2[[#This Row],[Age]]&lt;=78,"Baby Boomers",Table2[[#This Row],[Age]]&lt;=96,"Silent",Table2[[#This Row],[Age]]&gt;=97,"Greatest")</f>
        <v>Gen Z</v>
      </c>
      <c r="E1676" s="1">
        <v>132374</v>
      </c>
      <c r="F1676">
        <v>96</v>
      </c>
      <c r="G1676" t="str" cm="1">
        <f t="array" ref="G1676">_xlfn.IFS(Table2[[#This Row],[Spending Score (1-100)]]&lt;=25,"Low",Table2[[#This Row],[Spending Score (1-100)]]&lt;=50,"Medium",Table2[[#This Row],[Spending Score (1-100)]]&lt;=75,"High",Table2[[#This Row],[Spending Score (1-100)]]&lt;=100,"Very High")</f>
        <v>Very High</v>
      </c>
      <c r="H1676" t="s">
        <v>18</v>
      </c>
      <c r="I1676">
        <v>0</v>
      </c>
      <c r="J1676" t="str">
        <f>CONCATENATE(Table2[[#This Row],[Work Experience]],"years")</f>
        <v>0years</v>
      </c>
      <c r="K1676" t="str">
        <f>CONCATENATE(Table2[[#This Row],[Family Size2]],"members")</f>
        <v>3members</v>
      </c>
      <c r="L1676" t="str">
        <f>CONCATENATE(Table2[[#This Row],[Family Size2]],"members")</f>
        <v>3members</v>
      </c>
      <c r="M1676">
        <v>3</v>
      </c>
    </row>
    <row r="1677" spans="1:13">
      <c r="A1677">
        <v>1676</v>
      </c>
      <c r="B1677" t="s">
        <v>11</v>
      </c>
      <c r="C1677">
        <v>51</v>
      </c>
      <c r="D1677" t="str" cm="1">
        <f t="array" ref="D1677">_xlfn.IFS(Table2[[#This Row],[Age]]&lt;=11,"Gen A",Table2[[#This Row],[Age]]&lt;=27,"Gen Z",Table2[[#This Row],[Age]]&lt;=43,"Millenials",Table2[[#This Row],[Age]]&lt;=59,"Gen X",Table2[[#This Row],[Age]]&lt;=78,"Baby Boomers",Table2[[#This Row],[Age]]&lt;=96,"Silent",Table2[[#This Row],[Age]]&gt;=97,"Greatest")</f>
        <v>Gen X</v>
      </c>
      <c r="E1677" s="1">
        <v>135164</v>
      </c>
      <c r="F1677">
        <v>75</v>
      </c>
      <c r="G1677" t="str" cm="1">
        <f t="array" ref="G1677">_xlfn.IFS(Table2[[#This Row],[Spending Score (1-100)]]&lt;=25,"Low",Table2[[#This Row],[Spending Score (1-100)]]&lt;=50,"Medium",Table2[[#This Row],[Spending Score (1-100)]]&lt;=75,"High",Table2[[#This Row],[Spending Score (1-100)]]&lt;=100,"Very High")</f>
        <v>High</v>
      </c>
      <c r="H1677" t="s">
        <v>14</v>
      </c>
      <c r="I1677">
        <v>9</v>
      </c>
      <c r="J1677" t="str">
        <f>CONCATENATE(Table2[[#This Row],[Work Experience]],"years")</f>
        <v>9years</v>
      </c>
      <c r="K1677" t="str">
        <f>CONCATENATE(Table2[[#This Row],[Family Size2]],"members")</f>
        <v>3members</v>
      </c>
      <c r="L1677" t="str">
        <f>CONCATENATE(Table2[[#This Row],[Family Size2]],"members")</f>
        <v>3members</v>
      </c>
      <c r="M1677">
        <v>3</v>
      </c>
    </row>
    <row r="1678" spans="1:13">
      <c r="A1678">
        <v>1677</v>
      </c>
      <c r="B1678" t="s">
        <v>8</v>
      </c>
      <c r="C1678">
        <v>9</v>
      </c>
      <c r="D1678" t="str" cm="1">
        <f t="array" ref="D1678">_xlfn.IFS(Table2[[#This Row],[Age]]&lt;=11,"Gen A",Table2[[#This Row],[Age]]&lt;=27,"Gen Z",Table2[[#This Row],[Age]]&lt;=43,"Millenials",Table2[[#This Row],[Age]]&lt;=59,"Gen X",Table2[[#This Row],[Age]]&lt;=78,"Baby Boomers",Table2[[#This Row],[Age]]&lt;=96,"Silent",Table2[[#This Row],[Age]]&gt;=97,"Greatest")</f>
        <v>Gen A</v>
      </c>
      <c r="E1678" s="1">
        <v>165194</v>
      </c>
      <c r="F1678">
        <v>10</v>
      </c>
      <c r="G1678" t="str" cm="1">
        <f t="array" ref="G1678">_xlfn.IFS(Table2[[#This Row],[Spending Score (1-100)]]&lt;=25,"Low",Table2[[#This Row],[Spending Score (1-100)]]&lt;=50,"Medium",Table2[[#This Row],[Spending Score (1-100)]]&lt;=75,"High",Table2[[#This Row],[Spending Score (1-100)]]&lt;=100,"Very High")</f>
        <v>Low</v>
      </c>
      <c r="H1678" t="s">
        <v>14</v>
      </c>
      <c r="I1678">
        <v>8</v>
      </c>
      <c r="J1678" t="str">
        <f>CONCATENATE(Table2[[#This Row],[Work Experience]],"years")</f>
        <v>8years</v>
      </c>
      <c r="K1678" t="str">
        <f>CONCATENATE(Table2[[#This Row],[Family Size2]],"members")</f>
        <v>3members</v>
      </c>
      <c r="L1678" t="str">
        <f>CONCATENATE(Table2[[#This Row],[Family Size2]],"members")</f>
        <v>3members</v>
      </c>
      <c r="M1678">
        <v>3</v>
      </c>
    </row>
    <row r="1679" spans="1:13">
      <c r="A1679">
        <v>1678</v>
      </c>
      <c r="B1679" t="s">
        <v>8</v>
      </c>
      <c r="C1679">
        <v>0</v>
      </c>
      <c r="D1679" t="str" cm="1">
        <f t="array" ref="D1679">_xlfn.IFS(Table2[[#This Row],[Age]]&lt;=11,"Gen A",Table2[[#This Row],[Age]]&lt;=27,"Gen Z",Table2[[#This Row],[Age]]&lt;=43,"Millenials",Table2[[#This Row],[Age]]&lt;=59,"Gen X",Table2[[#This Row],[Age]]&lt;=78,"Baby Boomers",Table2[[#This Row],[Age]]&lt;=96,"Silent",Table2[[#This Row],[Age]]&gt;=97,"Greatest")</f>
        <v>Gen A</v>
      </c>
      <c r="E1679" s="1">
        <v>126060</v>
      </c>
      <c r="F1679">
        <v>92</v>
      </c>
      <c r="G1679" t="str" cm="1">
        <f t="array" ref="G1679">_xlfn.IFS(Table2[[#This Row],[Spending Score (1-100)]]&lt;=25,"Low",Table2[[#This Row],[Spending Score (1-100)]]&lt;=50,"Medium",Table2[[#This Row],[Spending Score (1-100)]]&lt;=75,"High",Table2[[#This Row],[Spending Score (1-100)]]&lt;=100,"Very High")</f>
        <v>Very High</v>
      </c>
      <c r="H1679" t="s">
        <v>16</v>
      </c>
      <c r="I1679">
        <v>1</v>
      </c>
      <c r="J1679" t="str">
        <f>CONCATENATE(Table2[[#This Row],[Work Experience]],"years")</f>
        <v>1years</v>
      </c>
      <c r="K1679" t="str">
        <f>CONCATENATE(Table2[[#This Row],[Family Size2]],"members")</f>
        <v>3members</v>
      </c>
      <c r="L1679" t="str">
        <f>CONCATENATE(Table2[[#This Row],[Family Size2]],"members")</f>
        <v>3members</v>
      </c>
      <c r="M1679">
        <v>3</v>
      </c>
    </row>
    <row r="1680" spans="1:13">
      <c r="A1680">
        <v>1679</v>
      </c>
      <c r="B1680" t="s">
        <v>8</v>
      </c>
      <c r="C1680">
        <v>67</v>
      </c>
      <c r="D1680" t="str" cm="1">
        <f t="array" ref="D1680">_xlfn.IFS(Table2[[#This Row],[Age]]&lt;=11,"Gen A",Table2[[#This Row],[Age]]&lt;=27,"Gen Z",Table2[[#This Row],[Age]]&lt;=43,"Millenials",Table2[[#This Row],[Age]]&lt;=59,"Gen X",Table2[[#This Row],[Age]]&lt;=78,"Baby Boomers",Table2[[#This Row],[Age]]&lt;=96,"Silent",Table2[[#This Row],[Age]]&gt;=97,"Greatest")</f>
        <v>Baby Boomers</v>
      </c>
      <c r="E1680" s="1">
        <v>89366</v>
      </c>
      <c r="F1680">
        <v>55</v>
      </c>
      <c r="G1680" t="str" cm="1">
        <f t="array" ref="G1680">_xlfn.IFS(Table2[[#This Row],[Spending Score (1-100)]]&lt;=25,"Low",Table2[[#This Row],[Spending Score (1-100)]]&lt;=50,"Medium",Table2[[#This Row],[Spending Score (1-100)]]&lt;=75,"High",Table2[[#This Row],[Spending Score (1-100)]]&lt;=100,"Very High")</f>
        <v>High</v>
      </c>
      <c r="H1680" t="s">
        <v>9</v>
      </c>
      <c r="I1680">
        <v>9</v>
      </c>
      <c r="J1680" t="str">
        <f>CONCATENATE(Table2[[#This Row],[Work Experience]],"years")</f>
        <v>9years</v>
      </c>
      <c r="K1680" t="str">
        <f>CONCATENATE(Table2[[#This Row],[Family Size2]],"members")</f>
        <v>3members</v>
      </c>
      <c r="L1680" t="str">
        <f>CONCATENATE(Table2[[#This Row],[Family Size2]],"members")</f>
        <v>3members</v>
      </c>
      <c r="M1680">
        <v>3</v>
      </c>
    </row>
    <row r="1681" spans="1:13">
      <c r="A1681">
        <v>1680</v>
      </c>
      <c r="B1681" t="s">
        <v>8</v>
      </c>
      <c r="C1681">
        <v>58</v>
      </c>
      <c r="D1681" t="str" cm="1">
        <f t="array" ref="D1681">_xlfn.IFS(Table2[[#This Row],[Age]]&lt;=11,"Gen A",Table2[[#This Row],[Age]]&lt;=27,"Gen Z",Table2[[#This Row],[Age]]&lt;=43,"Millenials",Table2[[#This Row],[Age]]&lt;=59,"Gen X",Table2[[#This Row],[Age]]&lt;=78,"Baby Boomers",Table2[[#This Row],[Age]]&lt;=96,"Silent",Table2[[#This Row],[Age]]&gt;=97,"Greatest")</f>
        <v>Gen X</v>
      </c>
      <c r="E1681" s="1">
        <v>95172</v>
      </c>
      <c r="F1681">
        <v>77</v>
      </c>
      <c r="G1681" t="str" cm="1">
        <f t="array" ref="G1681">_xlfn.IFS(Table2[[#This Row],[Spending Score (1-100)]]&lt;=25,"Low",Table2[[#This Row],[Spending Score (1-100)]]&lt;=50,"Medium",Table2[[#This Row],[Spending Score (1-100)]]&lt;=75,"High",Table2[[#This Row],[Spending Score (1-100)]]&lt;=100,"Very High")</f>
        <v>Very High</v>
      </c>
      <c r="H1681" t="s">
        <v>9</v>
      </c>
      <c r="I1681">
        <v>1</v>
      </c>
      <c r="J1681" t="str">
        <f>CONCATENATE(Table2[[#This Row],[Work Experience]],"years")</f>
        <v>1years</v>
      </c>
      <c r="K1681" t="str">
        <f>CONCATENATE(Table2[[#This Row],[Family Size2]],"members")</f>
        <v>5members</v>
      </c>
      <c r="L1681" t="str">
        <f>CONCATENATE(Table2[[#This Row],[Family Size2]],"members")</f>
        <v>5members</v>
      </c>
      <c r="M1681">
        <v>5</v>
      </c>
    </row>
    <row r="1682" spans="1:13">
      <c r="A1682">
        <v>1681</v>
      </c>
      <c r="B1682" t="s">
        <v>11</v>
      </c>
      <c r="C1682">
        <v>55</v>
      </c>
      <c r="D1682" t="str" cm="1">
        <f t="array" ref="D1682">_xlfn.IFS(Table2[[#This Row],[Age]]&lt;=11,"Gen A",Table2[[#This Row],[Age]]&lt;=27,"Gen Z",Table2[[#This Row],[Age]]&lt;=43,"Millenials",Table2[[#This Row],[Age]]&lt;=59,"Gen X",Table2[[#This Row],[Age]]&lt;=78,"Baby Boomers",Table2[[#This Row],[Age]]&lt;=96,"Silent",Table2[[#This Row],[Age]]&gt;=97,"Greatest")</f>
        <v>Gen X</v>
      </c>
      <c r="E1682" s="1">
        <v>95975</v>
      </c>
      <c r="F1682">
        <v>49</v>
      </c>
      <c r="G1682" t="str" cm="1">
        <f t="array" ref="G1682">_xlfn.IFS(Table2[[#This Row],[Spending Score (1-100)]]&lt;=25,"Low",Table2[[#This Row],[Spending Score (1-100)]]&lt;=50,"Medium",Table2[[#This Row],[Spending Score (1-100)]]&lt;=75,"High",Table2[[#This Row],[Spending Score (1-100)]]&lt;=100,"Very High")</f>
        <v>Medium</v>
      </c>
      <c r="H1682" t="s">
        <v>15</v>
      </c>
      <c r="I1682">
        <v>0</v>
      </c>
      <c r="J1682" t="str">
        <f>CONCATENATE(Table2[[#This Row],[Work Experience]],"years")</f>
        <v>0years</v>
      </c>
      <c r="K1682" t="str">
        <f>CONCATENATE(Table2[[#This Row],[Family Size2]],"members")</f>
        <v>1members</v>
      </c>
      <c r="L1682" t="str">
        <f>CONCATENATE(Table2[[#This Row],[Family Size2]],"members")</f>
        <v>1members</v>
      </c>
      <c r="M1682">
        <v>1</v>
      </c>
    </row>
    <row r="1683" spans="1:13">
      <c r="A1683">
        <v>1682</v>
      </c>
      <c r="B1683" t="s">
        <v>11</v>
      </c>
      <c r="C1683">
        <v>52</v>
      </c>
      <c r="D1683" t="str" cm="1">
        <f t="array" ref="D1683">_xlfn.IFS(Table2[[#This Row],[Age]]&lt;=11,"Gen A",Table2[[#This Row],[Age]]&lt;=27,"Gen Z",Table2[[#This Row],[Age]]&lt;=43,"Millenials",Table2[[#This Row],[Age]]&lt;=59,"Gen X",Table2[[#This Row],[Age]]&lt;=78,"Baby Boomers",Table2[[#This Row],[Age]]&lt;=96,"Silent",Table2[[#This Row],[Age]]&gt;=97,"Greatest")</f>
        <v>Gen X</v>
      </c>
      <c r="E1683" s="1">
        <v>165573</v>
      </c>
      <c r="F1683">
        <v>59</v>
      </c>
      <c r="G1683" t="str" cm="1">
        <f t="array" ref="G1683">_xlfn.IFS(Table2[[#This Row],[Spending Score (1-100)]]&lt;=25,"Low",Table2[[#This Row],[Spending Score (1-100)]]&lt;=50,"Medium",Table2[[#This Row],[Spending Score (1-100)]]&lt;=75,"High",Table2[[#This Row],[Spending Score (1-100)]]&lt;=100,"Very High")</f>
        <v>High</v>
      </c>
      <c r="H1683" t="s">
        <v>9</v>
      </c>
      <c r="I1683">
        <v>0</v>
      </c>
      <c r="J1683" t="str">
        <f>CONCATENATE(Table2[[#This Row],[Work Experience]],"years")</f>
        <v>0years</v>
      </c>
      <c r="K1683" t="str">
        <f>CONCATENATE(Table2[[#This Row],[Family Size2]],"members")</f>
        <v>7members</v>
      </c>
      <c r="L1683" t="str">
        <f>CONCATENATE(Table2[[#This Row],[Family Size2]],"members")</f>
        <v>7members</v>
      </c>
      <c r="M1683">
        <v>7</v>
      </c>
    </row>
    <row r="1684" spans="1:13">
      <c r="A1684">
        <v>1683</v>
      </c>
      <c r="B1684" t="s">
        <v>8</v>
      </c>
      <c r="C1684">
        <v>83</v>
      </c>
      <c r="D1684" t="str" cm="1">
        <f t="array" ref="D1684">_xlfn.IFS(Table2[[#This Row],[Age]]&lt;=11,"Gen A",Table2[[#This Row],[Age]]&lt;=27,"Gen Z",Table2[[#This Row],[Age]]&lt;=43,"Millenials",Table2[[#This Row],[Age]]&lt;=59,"Gen X",Table2[[#This Row],[Age]]&lt;=78,"Baby Boomers",Table2[[#This Row],[Age]]&lt;=96,"Silent",Table2[[#This Row],[Age]]&gt;=97,"Greatest")</f>
        <v>Silent</v>
      </c>
      <c r="E1684" s="1">
        <v>180887</v>
      </c>
      <c r="F1684">
        <v>59</v>
      </c>
      <c r="G1684" t="str" cm="1">
        <f t="array" ref="G1684">_xlfn.IFS(Table2[[#This Row],[Spending Score (1-100)]]&lt;=25,"Low",Table2[[#This Row],[Spending Score (1-100)]]&lt;=50,"Medium",Table2[[#This Row],[Spending Score (1-100)]]&lt;=75,"High",Table2[[#This Row],[Spending Score (1-100)]]&lt;=100,"Very High")</f>
        <v>High</v>
      </c>
      <c r="H1684" t="s">
        <v>13</v>
      </c>
      <c r="I1684">
        <v>1</v>
      </c>
      <c r="J1684" t="str">
        <f>CONCATENATE(Table2[[#This Row],[Work Experience]],"years")</f>
        <v>1years</v>
      </c>
      <c r="K1684" t="str">
        <f>CONCATENATE(Table2[[#This Row],[Family Size2]],"members")</f>
        <v>1members</v>
      </c>
      <c r="L1684" t="str">
        <f>CONCATENATE(Table2[[#This Row],[Family Size2]],"members")</f>
        <v>1members</v>
      </c>
      <c r="M1684">
        <v>1</v>
      </c>
    </row>
    <row r="1685" spans="1:13">
      <c r="A1685">
        <v>1684</v>
      </c>
      <c r="B1685" t="s">
        <v>11</v>
      </c>
      <c r="C1685">
        <v>83</v>
      </c>
      <c r="D1685" t="str" cm="1">
        <f t="array" ref="D1685">_xlfn.IFS(Table2[[#This Row],[Age]]&lt;=11,"Gen A",Table2[[#This Row],[Age]]&lt;=27,"Gen Z",Table2[[#This Row],[Age]]&lt;=43,"Millenials",Table2[[#This Row],[Age]]&lt;=59,"Gen X",Table2[[#This Row],[Age]]&lt;=78,"Baby Boomers",Table2[[#This Row],[Age]]&lt;=96,"Silent",Table2[[#This Row],[Age]]&gt;=97,"Greatest")</f>
        <v>Silent</v>
      </c>
      <c r="E1685" s="1">
        <v>142720</v>
      </c>
      <c r="F1685">
        <v>86</v>
      </c>
      <c r="G1685" t="str" cm="1">
        <f t="array" ref="G1685">_xlfn.IFS(Table2[[#This Row],[Spending Score (1-100)]]&lt;=25,"Low",Table2[[#This Row],[Spending Score (1-100)]]&lt;=50,"Medium",Table2[[#This Row],[Spending Score (1-100)]]&lt;=75,"High",Table2[[#This Row],[Spending Score (1-100)]]&lt;=100,"Very High")</f>
        <v>Very High</v>
      </c>
      <c r="H1685" t="s">
        <v>15</v>
      </c>
      <c r="I1685">
        <v>0</v>
      </c>
      <c r="J1685" t="str">
        <f>CONCATENATE(Table2[[#This Row],[Work Experience]],"years")</f>
        <v>0years</v>
      </c>
      <c r="K1685" t="str">
        <f>CONCATENATE(Table2[[#This Row],[Family Size2]],"members")</f>
        <v>1members</v>
      </c>
      <c r="L1685" t="str">
        <f>CONCATENATE(Table2[[#This Row],[Family Size2]],"members")</f>
        <v>1members</v>
      </c>
      <c r="M1685">
        <v>1</v>
      </c>
    </row>
    <row r="1686" spans="1:13">
      <c r="A1686">
        <v>1685</v>
      </c>
      <c r="B1686" t="s">
        <v>11</v>
      </c>
      <c r="C1686">
        <v>90</v>
      </c>
      <c r="D1686" t="str" cm="1">
        <f t="array" ref="D1686">_xlfn.IFS(Table2[[#This Row],[Age]]&lt;=11,"Gen A",Table2[[#This Row],[Age]]&lt;=27,"Gen Z",Table2[[#This Row],[Age]]&lt;=43,"Millenials",Table2[[#This Row],[Age]]&lt;=59,"Gen X",Table2[[#This Row],[Age]]&lt;=78,"Baby Boomers",Table2[[#This Row],[Age]]&lt;=96,"Silent",Table2[[#This Row],[Age]]&gt;=97,"Greatest")</f>
        <v>Silent</v>
      </c>
      <c r="E1686" s="1">
        <v>113460</v>
      </c>
      <c r="F1686">
        <v>54</v>
      </c>
      <c r="G1686" t="str" cm="1">
        <f t="array" ref="G1686">_xlfn.IFS(Table2[[#This Row],[Spending Score (1-100)]]&lt;=25,"Low",Table2[[#This Row],[Spending Score (1-100)]]&lt;=50,"Medium",Table2[[#This Row],[Spending Score (1-100)]]&lt;=75,"High",Table2[[#This Row],[Spending Score (1-100)]]&lt;=100,"Very High")</f>
        <v>High</v>
      </c>
      <c r="H1686" t="s">
        <v>12</v>
      </c>
      <c r="I1686">
        <v>1</v>
      </c>
      <c r="J1686" t="str">
        <f>CONCATENATE(Table2[[#This Row],[Work Experience]],"years")</f>
        <v>1years</v>
      </c>
      <c r="K1686" t="str">
        <f>CONCATENATE(Table2[[#This Row],[Family Size2]],"members")</f>
        <v>7members</v>
      </c>
      <c r="L1686" t="str">
        <f>CONCATENATE(Table2[[#This Row],[Family Size2]],"members")</f>
        <v>7members</v>
      </c>
      <c r="M1686">
        <v>7</v>
      </c>
    </row>
    <row r="1687" spans="1:13">
      <c r="A1687">
        <v>1686</v>
      </c>
      <c r="B1687" t="s">
        <v>8</v>
      </c>
      <c r="C1687">
        <v>87</v>
      </c>
      <c r="D1687" t="str" cm="1">
        <f t="array" ref="D1687">_xlfn.IFS(Table2[[#This Row],[Age]]&lt;=11,"Gen A",Table2[[#This Row],[Age]]&lt;=27,"Gen Z",Table2[[#This Row],[Age]]&lt;=43,"Millenials",Table2[[#This Row],[Age]]&lt;=59,"Gen X",Table2[[#This Row],[Age]]&lt;=78,"Baby Boomers",Table2[[#This Row],[Age]]&lt;=96,"Silent",Table2[[#This Row],[Age]]&gt;=97,"Greatest")</f>
        <v>Silent</v>
      </c>
      <c r="E1687" s="1">
        <v>110434</v>
      </c>
      <c r="F1687">
        <v>20</v>
      </c>
      <c r="G1687" t="str" cm="1">
        <f t="array" ref="G1687">_xlfn.IFS(Table2[[#This Row],[Spending Score (1-100)]]&lt;=25,"Low",Table2[[#This Row],[Spending Score (1-100)]]&lt;=50,"Medium",Table2[[#This Row],[Spending Score (1-100)]]&lt;=75,"High",Table2[[#This Row],[Spending Score (1-100)]]&lt;=100,"Very High")</f>
        <v>Low</v>
      </c>
      <c r="H1687" t="s">
        <v>14</v>
      </c>
      <c r="I1687">
        <v>7</v>
      </c>
      <c r="J1687" t="str">
        <f>CONCATENATE(Table2[[#This Row],[Work Experience]],"years")</f>
        <v>7years</v>
      </c>
      <c r="K1687" t="str">
        <f>CONCATENATE(Table2[[#This Row],[Family Size2]],"members")</f>
        <v>3members</v>
      </c>
      <c r="L1687" t="str">
        <f>CONCATENATE(Table2[[#This Row],[Family Size2]],"members")</f>
        <v>3members</v>
      </c>
      <c r="M1687">
        <v>3</v>
      </c>
    </row>
    <row r="1688" spans="1:13">
      <c r="A1688">
        <v>1687</v>
      </c>
      <c r="B1688" t="s">
        <v>11</v>
      </c>
      <c r="C1688">
        <v>67</v>
      </c>
      <c r="D1688" t="str" cm="1">
        <f t="array" ref="D1688">_xlfn.IFS(Table2[[#This Row],[Age]]&lt;=11,"Gen A",Table2[[#This Row],[Age]]&lt;=27,"Gen Z",Table2[[#This Row],[Age]]&lt;=43,"Millenials",Table2[[#This Row],[Age]]&lt;=59,"Gen X",Table2[[#This Row],[Age]]&lt;=78,"Baby Boomers",Table2[[#This Row],[Age]]&lt;=96,"Silent",Table2[[#This Row],[Age]]&gt;=97,"Greatest")</f>
        <v>Baby Boomers</v>
      </c>
      <c r="E1688" s="1">
        <v>146016</v>
      </c>
      <c r="F1688">
        <v>38</v>
      </c>
      <c r="G1688" t="str" cm="1">
        <f t="array" ref="G1688">_xlfn.IFS(Table2[[#This Row],[Spending Score (1-100)]]&lt;=25,"Low",Table2[[#This Row],[Spending Score (1-100)]]&lt;=50,"Medium",Table2[[#This Row],[Spending Score (1-100)]]&lt;=75,"High",Table2[[#This Row],[Spending Score (1-100)]]&lt;=100,"Very High")</f>
        <v>Medium</v>
      </c>
      <c r="H1688" t="s">
        <v>14</v>
      </c>
      <c r="I1688">
        <v>1</v>
      </c>
      <c r="J1688" t="str">
        <f>CONCATENATE(Table2[[#This Row],[Work Experience]],"years")</f>
        <v>1years</v>
      </c>
      <c r="K1688" t="str">
        <f>CONCATENATE(Table2[[#This Row],[Family Size2]],"members")</f>
        <v>6members</v>
      </c>
      <c r="L1688" t="str">
        <f>CONCATENATE(Table2[[#This Row],[Family Size2]],"members")</f>
        <v>6members</v>
      </c>
      <c r="M1688">
        <v>6</v>
      </c>
    </row>
    <row r="1689" spans="1:13">
      <c r="A1689">
        <v>1688</v>
      </c>
      <c r="B1689" t="s">
        <v>8</v>
      </c>
      <c r="C1689">
        <v>81</v>
      </c>
      <c r="D1689" t="str" cm="1">
        <f t="array" ref="D1689">_xlfn.IFS(Table2[[#This Row],[Age]]&lt;=11,"Gen A",Table2[[#This Row],[Age]]&lt;=27,"Gen Z",Table2[[#This Row],[Age]]&lt;=43,"Millenials",Table2[[#This Row],[Age]]&lt;=59,"Gen X",Table2[[#This Row],[Age]]&lt;=78,"Baby Boomers",Table2[[#This Row],[Age]]&lt;=96,"Silent",Table2[[#This Row],[Age]]&gt;=97,"Greatest")</f>
        <v>Silent</v>
      </c>
      <c r="E1689" s="1">
        <v>101073</v>
      </c>
      <c r="F1689">
        <v>67</v>
      </c>
      <c r="G1689" t="str" cm="1">
        <f t="array" ref="G1689">_xlfn.IFS(Table2[[#This Row],[Spending Score (1-100)]]&lt;=25,"Low",Table2[[#This Row],[Spending Score (1-100)]]&lt;=50,"Medium",Table2[[#This Row],[Spending Score (1-100)]]&lt;=75,"High",Table2[[#This Row],[Spending Score (1-100)]]&lt;=100,"Very High")</f>
        <v>High</v>
      </c>
      <c r="H1689" t="s">
        <v>15</v>
      </c>
      <c r="I1689">
        <v>0</v>
      </c>
      <c r="J1689" t="str">
        <f>CONCATENATE(Table2[[#This Row],[Work Experience]],"years")</f>
        <v>0years</v>
      </c>
      <c r="K1689" t="str">
        <f>CONCATENATE(Table2[[#This Row],[Family Size2]],"members")</f>
        <v>7members</v>
      </c>
      <c r="L1689" t="str">
        <f>CONCATENATE(Table2[[#This Row],[Family Size2]],"members")</f>
        <v>7members</v>
      </c>
      <c r="M1689">
        <v>7</v>
      </c>
    </row>
    <row r="1690" spans="1:13">
      <c r="A1690">
        <v>1689</v>
      </c>
      <c r="B1690" t="s">
        <v>11</v>
      </c>
      <c r="C1690">
        <v>36</v>
      </c>
      <c r="D1690" t="str" cm="1">
        <f t="array" ref="D1690">_xlfn.IFS(Table2[[#This Row],[Age]]&lt;=11,"Gen A",Table2[[#This Row],[Age]]&lt;=27,"Gen Z",Table2[[#This Row],[Age]]&lt;=43,"Millenials",Table2[[#This Row],[Age]]&lt;=59,"Gen X",Table2[[#This Row],[Age]]&lt;=78,"Baby Boomers",Table2[[#This Row],[Age]]&lt;=96,"Silent",Table2[[#This Row],[Age]]&gt;=97,"Greatest")</f>
        <v>Millenials</v>
      </c>
      <c r="E1690" s="1">
        <v>62617</v>
      </c>
      <c r="F1690">
        <v>10</v>
      </c>
      <c r="G1690" t="str" cm="1">
        <f t="array" ref="G1690">_xlfn.IFS(Table2[[#This Row],[Spending Score (1-100)]]&lt;=25,"Low",Table2[[#This Row],[Spending Score (1-100)]]&lt;=50,"Medium",Table2[[#This Row],[Spending Score (1-100)]]&lt;=75,"High",Table2[[#This Row],[Spending Score (1-100)]]&lt;=100,"Very High")</f>
        <v>Low</v>
      </c>
      <c r="H1690" t="s">
        <v>14</v>
      </c>
      <c r="I1690">
        <v>9</v>
      </c>
      <c r="J1690" t="str">
        <f>CONCATENATE(Table2[[#This Row],[Work Experience]],"years")</f>
        <v>9years</v>
      </c>
      <c r="K1690" t="str">
        <f>CONCATENATE(Table2[[#This Row],[Family Size2]],"members")</f>
        <v>3members</v>
      </c>
      <c r="L1690" t="str">
        <f>CONCATENATE(Table2[[#This Row],[Family Size2]],"members")</f>
        <v>3members</v>
      </c>
      <c r="M1690">
        <v>3</v>
      </c>
    </row>
    <row r="1691" spans="1:13">
      <c r="A1691">
        <v>1690</v>
      </c>
      <c r="B1691" t="s">
        <v>11</v>
      </c>
      <c r="C1691">
        <v>51</v>
      </c>
      <c r="D1691" t="str" cm="1">
        <f t="array" ref="D1691">_xlfn.IFS(Table2[[#This Row],[Age]]&lt;=11,"Gen A",Table2[[#This Row],[Age]]&lt;=27,"Gen Z",Table2[[#This Row],[Age]]&lt;=43,"Millenials",Table2[[#This Row],[Age]]&lt;=59,"Gen X",Table2[[#This Row],[Age]]&lt;=78,"Baby Boomers",Table2[[#This Row],[Age]]&lt;=96,"Silent",Table2[[#This Row],[Age]]&gt;=97,"Greatest")</f>
        <v>Gen X</v>
      </c>
      <c r="E1691" s="1">
        <v>96028</v>
      </c>
      <c r="F1691">
        <v>37</v>
      </c>
      <c r="G1691" t="str" cm="1">
        <f t="array" ref="G1691">_xlfn.IFS(Table2[[#This Row],[Spending Score (1-100)]]&lt;=25,"Low",Table2[[#This Row],[Spending Score (1-100)]]&lt;=50,"Medium",Table2[[#This Row],[Spending Score (1-100)]]&lt;=75,"High",Table2[[#This Row],[Spending Score (1-100)]]&lt;=100,"Very High")</f>
        <v>Medium</v>
      </c>
      <c r="H1691" t="s">
        <v>14</v>
      </c>
      <c r="I1691">
        <v>0</v>
      </c>
      <c r="J1691" t="str">
        <f>CONCATENATE(Table2[[#This Row],[Work Experience]],"years")</f>
        <v>0years</v>
      </c>
      <c r="K1691" t="str">
        <f>CONCATENATE(Table2[[#This Row],[Family Size2]],"members")</f>
        <v>5members</v>
      </c>
      <c r="L1691" t="str">
        <f>CONCATENATE(Table2[[#This Row],[Family Size2]],"members")</f>
        <v>5members</v>
      </c>
      <c r="M1691">
        <v>5</v>
      </c>
    </row>
    <row r="1692" spans="1:13">
      <c r="A1692">
        <v>1691</v>
      </c>
      <c r="B1692" t="s">
        <v>11</v>
      </c>
      <c r="C1692">
        <v>31</v>
      </c>
      <c r="D1692" t="str" cm="1">
        <f t="array" ref="D1692">_xlfn.IFS(Table2[[#This Row],[Age]]&lt;=11,"Gen A",Table2[[#This Row],[Age]]&lt;=27,"Gen Z",Table2[[#This Row],[Age]]&lt;=43,"Millenials",Table2[[#This Row],[Age]]&lt;=59,"Gen X",Table2[[#This Row],[Age]]&lt;=78,"Baby Boomers",Table2[[#This Row],[Age]]&lt;=96,"Silent",Table2[[#This Row],[Age]]&gt;=97,"Greatest")</f>
        <v>Millenials</v>
      </c>
      <c r="E1692" s="1">
        <v>186334</v>
      </c>
      <c r="F1692">
        <v>37</v>
      </c>
      <c r="G1692" t="str" cm="1">
        <f t="array" ref="G1692">_xlfn.IFS(Table2[[#This Row],[Spending Score (1-100)]]&lt;=25,"Low",Table2[[#This Row],[Spending Score (1-100)]]&lt;=50,"Medium",Table2[[#This Row],[Spending Score (1-100)]]&lt;=75,"High",Table2[[#This Row],[Spending Score (1-100)]]&lt;=100,"Very High")</f>
        <v>Medium</v>
      </c>
      <c r="H1692" t="s">
        <v>14</v>
      </c>
      <c r="I1692">
        <v>0</v>
      </c>
      <c r="J1692" t="str">
        <f>CONCATENATE(Table2[[#This Row],[Work Experience]],"years")</f>
        <v>0years</v>
      </c>
      <c r="K1692" t="str">
        <f>CONCATENATE(Table2[[#This Row],[Family Size2]],"members")</f>
        <v>1members</v>
      </c>
      <c r="L1692" t="str">
        <f>CONCATENATE(Table2[[#This Row],[Family Size2]],"members")</f>
        <v>1members</v>
      </c>
      <c r="M1692">
        <v>1</v>
      </c>
    </row>
    <row r="1693" spans="1:13">
      <c r="A1693">
        <v>1692</v>
      </c>
      <c r="B1693" t="s">
        <v>11</v>
      </c>
      <c r="C1693">
        <v>57</v>
      </c>
      <c r="D1693" t="str" cm="1">
        <f t="array" ref="D1693">_xlfn.IFS(Table2[[#This Row],[Age]]&lt;=11,"Gen A",Table2[[#This Row],[Age]]&lt;=27,"Gen Z",Table2[[#This Row],[Age]]&lt;=43,"Millenials",Table2[[#This Row],[Age]]&lt;=59,"Gen X",Table2[[#This Row],[Age]]&lt;=78,"Baby Boomers",Table2[[#This Row],[Age]]&lt;=96,"Silent",Table2[[#This Row],[Age]]&gt;=97,"Greatest")</f>
        <v>Gen X</v>
      </c>
      <c r="E1693" s="1">
        <v>163473</v>
      </c>
      <c r="F1693">
        <v>52</v>
      </c>
      <c r="G1693" t="str" cm="1">
        <f t="array" ref="G1693">_xlfn.IFS(Table2[[#This Row],[Spending Score (1-100)]]&lt;=25,"Low",Table2[[#This Row],[Spending Score (1-100)]]&lt;=50,"Medium",Table2[[#This Row],[Spending Score (1-100)]]&lt;=75,"High",Table2[[#This Row],[Spending Score (1-100)]]&lt;=100,"Very High")</f>
        <v>High</v>
      </c>
      <c r="H1693" t="s">
        <v>14</v>
      </c>
      <c r="I1693">
        <v>0</v>
      </c>
      <c r="J1693" t="str">
        <f>CONCATENATE(Table2[[#This Row],[Work Experience]],"years")</f>
        <v>0years</v>
      </c>
      <c r="K1693" t="str">
        <f>CONCATENATE(Table2[[#This Row],[Family Size2]],"members")</f>
        <v>1members</v>
      </c>
      <c r="L1693" t="str">
        <f>CONCATENATE(Table2[[#This Row],[Family Size2]],"members")</f>
        <v>1members</v>
      </c>
      <c r="M1693">
        <v>1</v>
      </c>
    </row>
    <row r="1694" spans="1:13">
      <c r="A1694">
        <v>1693</v>
      </c>
      <c r="B1694" t="s">
        <v>8</v>
      </c>
      <c r="C1694">
        <v>83</v>
      </c>
      <c r="D1694" t="str" cm="1">
        <f t="array" ref="D1694">_xlfn.IFS(Table2[[#This Row],[Age]]&lt;=11,"Gen A",Table2[[#This Row],[Age]]&lt;=27,"Gen Z",Table2[[#This Row],[Age]]&lt;=43,"Millenials",Table2[[#This Row],[Age]]&lt;=59,"Gen X",Table2[[#This Row],[Age]]&lt;=78,"Baby Boomers",Table2[[#This Row],[Age]]&lt;=96,"Silent",Table2[[#This Row],[Age]]&gt;=97,"Greatest")</f>
        <v>Silent</v>
      </c>
      <c r="E1694" s="1">
        <v>89819</v>
      </c>
      <c r="F1694">
        <v>59</v>
      </c>
      <c r="G1694" t="str" cm="1">
        <f t="array" ref="G1694">_xlfn.IFS(Table2[[#This Row],[Spending Score (1-100)]]&lt;=25,"Low",Table2[[#This Row],[Spending Score (1-100)]]&lt;=50,"Medium",Table2[[#This Row],[Spending Score (1-100)]]&lt;=75,"High",Table2[[#This Row],[Spending Score (1-100)]]&lt;=100,"Very High")</f>
        <v>High</v>
      </c>
      <c r="H1694" t="s">
        <v>14</v>
      </c>
      <c r="I1694">
        <v>4</v>
      </c>
      <c r="J1694" t="str">
        <f>CONCATENATE(Table2[[#This Row],[Work Experience]],"years")</f>
        <v>4years</v>
      </c>
      <c r="K1694" t="str">
        <f>CONCATENATE(Table2[[#This Row],[Family Size2]],"members")</f>
        <v>2members</v>
      </c>
      <c r="L1694" t="str">
        <f>CONCATENATE(Table2[[#This Row],[Family Size2]],"members")</f>
        <v>2members</v>
      </c>
      <c r="M1694">
        <v>2</v>
      </c>
    </row>
    <row r="1695" spans="1:13">
      <c r="A1695">
        <v>1694</v>
      </c>
      <c r="B1695" t="s">
        <v>11</v>
      </c>
      <c r="C1695">
        <v>51</v>
      </c>
      <c r="D1695" t="str" cm="1">
        <f t="array" ref="D1695">_xlfn.IFS(Table2[[#This Row],[Age]]&lt;=11,"Gen A",Table2[[#This Row],[Age]]&lt;=27,"Gen Z",Table2[[#This Row],[Age]]&lt;=43,"Millenials",Table2[[#This Row],[Age]]&lt;=59,"Gen X",Table2[[#This Row],[Age]]&lt;=78,"Baby Boomers",Table2[[#This Row],[Age]]&lt;=96,"Silent",Table2[[#This Row],[Age]]&gt;=97,"Greatest")</f>
        <v>Gen X</v>
      </c>
      <c r="E1695" s="1">
        <v>69388</v>
      </c>
      <c r="F1695">
        <v>33</v>
      </c>
      <c r="G1695" t="str" cm="1">
        <f t="array" ref="G1695">_xlfn.IFS(Table2[[#This Row],[Spending Score (1-100)]]&lt;=25,"Low",Table2[[#This Row],[Spending Score (1-100)]]&lt;=50,"Medium",Table2[[#This Row],[Spending Score (1-100)]]&lt;=75,"High",Table2[[#This Row],[Spending Score (1-100)]]&lt;=100,"Very High")</f>
        <v>Medium</v>
      </c>
      <c r="H1695" t="s">
        <v>10</v>
      </c>
      <c r="I1695">
        <v>3</v>
      </c>
      <c r="J1695" t="str">
        <f>CONCATENATE(Table2[[#This Row],[Work Experience]],"years")</f>
        <v>3years</v>
      </c>
      <c r="K1695" t="str">
        <f>CONCATENATE(Table2[[#This Row],[Family Size2]],"members")</f>
        <v>4members</v>
      </c>
      <c r="L1695" t="str">
        <f>CONCATENATE(Table2[[#This Row],[Family Size2]],"members")</f>
        <v>4members</v>
      </c>
      <c r="M1695">
        <v>4</v>
      </c>
    </row>
    <row r="1696" spans="1:13">
      <c r="A1696">
        <v>1695</v>
      </c>
      <c r="B1696" t="s">
        <v>11</v>
      </c>
      <c r="C1696">
        <v>15</v>
      </c>
      <c r="D1696" t="str" cm="1">
        <f t="array" ref="D1696">_xlfn.IFS(Table2[[#This Row],[Age]]&lt;=11,"Gen A",Table2[[#This Row],[Age]]&lt;=27,"Gen Z",Table2[[#This Row],[Age]]&lt;=43,"Millenials",Table2[[#This Row],[Age]]&lt;=59,"Gen X",Table2[[#This Row],[Age]]&lt;=78,"Baby Boomers",Table2[[#This Row],[Age]]&lt;=96,"Silent",Table2[[#This Row],[Age]]&gt;=97,"Greatest")</f>
        <v>Gen Z</v>
      </c>
      <c r="E1696" s="1">
        <v>134748</v>
      </c>
      <c r="F1696">
        <v>76</v>
      </c>
      <c r="G1696" t="str" cm="1">
        <f t="array" ref="G1696">_xlfn.IFS(Table2[[#This Row],[Spending Score (1-100)]]&lt;=25,"Low",Table2[[#This Row],[Spending Score (1-100)]]&lt;=50,"Medium",Table2[[#This Row],[Spending Score (1-100)]]&lt;=75,"High",Table2[[#This Row],[Spending Score (1-100)]]&lt;=100,"Very High")</f>
        <v>Very High</v>
      </c>
      <c r="H1696" t="s">
        <v>18</v>
      </c>
      <c r="I1696">
        <v>1</v>
      </c>
      <c r="J1696" t="str">
        <f>CONCATENATE(Table2[[#This Row],[Work Experience]],"years")</f>
        <v>1years</v>
      </c>
      <c r="K1696" t="str">
        <f>CONCATENATE(Table2[[#This Row],[Family Size2]],"members")</f>
        <v>6members</v>
      </c>
      <c r="L1696" t="str">
        <f>CONCATENATE(Table2[[#This Row],[Family Size2]],"members")</f>
        <v>6members</v>
      </c>
      <c r="M1696">
        <v>6</v>
      </c>
    </row>
    <row r="1697" spans="1:13">
      <c r="A1697">
        <v>1696</v>
      </c>
      <c r="B1697" t="s">
        <v>11</v>
      </c>
      <c r="C1697">
        <v>18</v>
      </c>
      <c r="D1697" t="str" cm="1">
        <f t="array" ref="D1697">_xlfn.IFS(Table2[[#This Row],[Age]]&lt;=11,"Gen A",Table2[[#This Row],[Age]]&lt;=27,"Gen Z",Table2[[#This Row],[Age]]&lt;=43,"Millenials",Table2[[#This Row],[Age]]&lt;=59,"Gen X",Table2[[#This Row],[Age]]&lt;=78,"Baby Boomers",Table2[[#This Row],[Age]]&lt;=96,"Silent",Table2[[#This Row],[Age]]&gt;=97,"Greatest")</f>
        <v>Gen Z</v>
      </c>
      <c r="E1697" s="1">
        <v>149915</v>
      </c>
      <c r="F1697">
        <v>94</v>
      </c>
      <c r="G1697" t="str" cm="1">
        <f t="array" ref="G1697">_xlfn.IFS(Table2[[#This Row],[Spending Score (1-100)]]&lt;=25,"Low",Table2[[#This Row],[Spending Score (1-100)]]&lt;=50,"Medium",Table2[[#This Row],[Spending Score (1-100)]]&lt;=75,"High",Table2[[#This Row],[Spending Score (1-100)]]&lt;=100,"Very High")</f>
        <v>Very High</v>
      </c>
      <c r="H1697" t="s">
        <v>16</v>
      </c>
      <c r="I1697">
        <v>14</v>
      </c>
      <c r="J1697" t="str">
        <f>CONCATENATE(Table2[[#This Row],[Work Experience]],"years")</f>
        <v>14years</v>
      </c>
      <c r="K1697" t="str">
        <f>CONCATENATE(Table2[[#This Row],[Family Size2]],"members")</f>
        <v>1members</v>
      </c>
      <c r="L1697" t="str">
        <f>CONCATENATE(Table2[[#This Row],[Family Size2]],"members")</f>
        <v>1members</v>
      </c>
      <c r="M1697">
        <v>1</v>
      </c>
    </row>
    <row r="1698" spans="1:13">
      <c r="A1698">
        <v>1697</v>
      </c>
      <c r="B1698" t="s">
        <v>11</v>
      </c>
      <c r="C1698">
        <v>88</v>
      </c>
      <c r="D1698" t="str" cm="1">
        <f t="array" ref="D1698">_xlfn.IFS(Table2[[#This Row],[Age]]&lt;=11,"Gen A",Table2[[#This Row],[Age]]&lt;=27,"Gen Z",Table2[[#This Row],[Age]]&lt;=43,"Millenials",Table2[[#This Row],[Age]]&lt;=59,"Gen X",Table2[[#This Row],[Age]]&lt;=78,"Baby Boomers",Table2[[#This Row],[Age]]&lt;=96,"Silent",Table2[[#This Row],[Age]]&gt;=97,"Greatest")</f>
        <v>Silent</v>
      </c>
      <c r="E1698" s="1">
        <v>104098</v>
      </c>
      <c r="F1698">
        <v>48</v>
      </c>
      <c r="G1698" t="str" cm="1">
        <f t="array" ref="G1698">_xlfn.IFS(Table2[[#This Row],[Spending Score (1-100)]]&lt;=25,"Low",Table2[[#This Row],[Spending Score (1-100)]]&lt;=50,"Medium",Table2[[#This Row],[Spending Score (1-100)]]&lt;=75,"High",Table2[[#This Row],[Spending Score (1-100)]]&lt;=100,"Very High")</f>
        <v>Medium</v>
      </c>
      <c r="H1698" t="s">
        <v>9</v>
      </c>
      <c r="I1698">
        <v>1</v>
      </c>
      <c r="J1698" t="str">
        <f>CONCATENATE(Table2[[#This Row],[Work Experience]],"years")</f>
        <v>1years</v>
      </c>
      <c r="K1698" t="str">
        <f>CONCATENATE(Table2[[#This Row],[Family Size2]],"members")</f>
        <v>6members</v>
      </c>
      <c r="L1698" t="str">
        <f>CONCATENATE(Table2[[#This Row],[Family Size2]],"members")</f>
        <v>6members</v>
      </c>
      <c r="M1698">
        <v>6</v>
      </c>
    </row>
    <row r="1699" spans="1:13">
      <c r="A1699">
        <v>1698</v>
      </c>
      <c r="B1699" t="s">
        <v>8</v>
      </c>
      <c r="C1699">
        <v>70</v>
      </c>
      <c r="D1699" t="str" cm="1">
        <f t="array" ref="D1699">_xlfn.IFS(Table2[[#This Row],[Age]]&lt;=11,"Gen A",Table2[[#This Row],[Age]]&lt;=27,"Gen Z",Table2[[#This Row],[Age]]&lt;=43,"Millenials",Table2[[#This Row],[Age]]&lt;=59,"Gen X",Table2[[#This Row],[Age]]&lt;=78,"Baby Boomers",Table2[[#This Row],[Age]]&lt;=96,"Silent",Table2[[#This Row],[Age]]&gt;=97,"Greatest")</f>
        <v>Baby Boomers</v>
      </c>
      <c r="E1699" s="1">
        <v>80160</v>
      </c>
      <c r="F1699">
        <v>10</v>
      </c>
      <c r="G1699" t="str" cm="1">
        <f t="array" ref="G1699">_xlfn.IFS(Table2[[#This Row],[Spending Score (1-100)]]&lt;=25,"Low",Table2[[#This Row],[Spending Score (1-100)]]&lt;=50,"Medium",Table2[[#This Row],[Spending Score (1-100)]]&lt;=75,"High",Table2[[#This Row],[Spending Score (1-100)]]&lt;=100,"Very High")</f>
        <v>Low</v>
      </c>
      <c r="H1699" t="s">
        <v>14</v>
      </c>
      <c r="I1699">
        <v>8</v>
      </c>
      <c r="J1699" t="str">
        <f>CONCATENATE(Table2[[#This Row],[Work Experience]],"years")</f>
        <v>8years</v>
      </c>
      <c r="K1699" t="str">
        <f>CONCATENATE(Table2[[#This Row],[Family Size2]],"members")</f>
        <v>5members</v>
      </c>
      <c r="L1699" t="str">
        <f>CONCATENATE(Table2[[#This Row],[Family Size2]],"members")</f>
        <v>5members</v>
      </c>
      <c r="M1699">
        <v>5</v>
      </c>
    </row>
    <row r="1700" spans="1:13">
      <c r="A1700">
        <v>1699</v>
      </c>
      <c r="B1700" t="s">
        <v>8</v>
      </c>
      <c r="C1700">
        <v>9</v>
      </c>
      <c r="D1700" t="str" cm="1">
        <f t="array" ref="D1700">_xlfn.IFS(Table2[[#This Row],[Age]]&lt;=11,"Gen A",Table2[[#This Row],[Age]]&lt;=27,"Gen Z",Table2[[#This Row],[Age]]&lt;=43,"Millenials",Table2[[#This Row],[Age]]&lt;=59,"Gen X",Table2[[#This Row],[Age]]&lt;=78,"Baby Boomers",Table2[[#This Row],[Age]]&lt;=96,"Silent",Table2[[#This Row],[Age]]&gt;=97,"Greatest")</f>
        <v>Gen A</v>
      </c>
      <c r="E1700" s="1">
        <v>124125</v>
      </c>
      <c r="F1700">
        <v>91</v>
      </c>
      <c r="G1700" t="str" cm="1">
        <f t="array" ref="G1700">_xlfn.IFS(Table2[[#This Row],[Spending Score (1-100)]]&lt;=25,"Low",Table2[[#This Row],[Spending Score (1-100)]]&lt;=50,"Medium",Table2[[#This Row],[Spending Score (1-100)]]&lt;=75,"High",Table2[[#This Row],[Spending Score (1-100)]]&lt;=100,"Very High")</f>
        <v>Very High</v>
      </c>
      <c r="H1700" t="s">
        <v>14</v>
      </c>
      <c r="I1700">
        <v>1</v>
      </c>
      <c r="J1700" t="str">
        <f>CONCATENATE(Table2[[#This Row],[Work Experience]],"years")</f>
        <v>1years</v>
      </c>
      <c r="K1700" t="str">
        <f>CONCATENATE(Table2[[#This Row],[Family Size2]],"members")</f>
        <v>2members</v>
      </c>
      <c r="L1700" t="str">
        <f>CONCATENATE(Table2[[#This Row],[Family Size2]],"members")</f>
        <v>2members</v>
      </c>
      <c r="M1700">
        <v>2</v>
      </c>
    </row>
    <row r="1701" spans="1:13">
      <c r="A1701">
        <v>1700</v>
      </c>
      <c r="B1701" t="s">
        <v>8</v>
      </c>
      <c r="C1701">
        <v>6</v>
      </c>
      <c r="D1701" t="str" cm="1">
        <f t="array" ref="D1701">_xlfn.IFS(Table2[[#This Row],[Age]]&lt;=11,"Gen A",Table2[[#This Row],[Age]]&lt;=27,"Gen Z",Table2[[#This Row],[Age]]&lt;=43,"Millenials",Table2[[#This Row],[Age]]&lt;=59,"Gen X",Table2[[#This Row],[Age]]&lt;=78,"Baby Boomers",Table2[[#This Row],[Age]]&lt;=96,"Silent",Table2[[#This Row],[Age]]&gt;=97,"Greatest")</f>
        <v>Gen A</v>
      </c>
      <c r="E1701" s="1">
        <v>170226</v>
      </c>
      <c r="F1701">
        <v>31</v>
      </c>
      <c r="G1701" t="str" cm="1">
        <f t="array" ref="G1701">_xlfn.IFS(Table2[[#This Row],[Spending Score (1-100)]]&lt;=25,"Low",Table2[[#This Row],[Spending Score (1-100)]]&lt;=50,"Medium",Table2[[#This Row],[Spending Score (1-100)]]&lt;=75,"High",Table2[[#This Row],[Spending Score (1-100)]]&lt;=100,"Very High")</f>
        <v>Medium</v>
      </c>
      <c r="H1701" t="s">
        <v>12</v>
      </c>
      <c r="I1701">
        <v>0</v>
      </c>
      <c r="J1701" t="str">
        <f>CONCATENATE(Table2[[#This Row],[Work Experience]],"years")</f>
        <v>0years</v>
      </c>
      <c r="K1701" t="str">
        <f>CONCATENATE(Table2[[#This Row],[Family Size2]],"members")</f>
        <v>3members</v>
      </c>
      <c r="L1701" t="str">
        <f>CONCATENATE(Table2[[#This Row],[Family Size2]],"members")</f>
        <v>3members</v>
      </c>
      <c r="M1701">
        <v>3</v>
      </c>
    </row>
    <row r="1702" spans="1:13">
      <c r="A1702">
        <v>1701</v>
      </c>
      <c r="B1702" t="s">
        <v>11</v>
      </c>
      <c r="C1702">
        <v>8</v>
      </c>
      <c r="D1702" t="str" cm="1">
        <f t="array" ref="D1702">_xlfn.IFS(Table2[[#This Row],[Age]]&lt;=11,"Gen A",Table2[[#This Row],[Age]]&lt;=27,"Gen Z",Table2[[#This Row],[Age]]&lt;=43,"Millenials",Table2[[#This Row],[Age]]&lt;=59,"Gen X",Table2[[#This Row],[Age]]&lt;=78,"Baby Boomers",Table2[[#This Row],[Age]]&lt;=96,"Silent",Table2[[#This Row],[Age]]&gt;=97,"Greatest")</f>
        <v>Gen A</v>
      </c>
      <c r="E1702" s="1">
        <v>53306</v>
      </c>
      <c r="F1702">
        <v>98</v>
      </c>
      <c r="G1702" t="str" cm="1">
        <f t="array" ref="G1702">_xlfn.IFS(Table2[[#This Row],[Spending Score (1-100)]]&lt;=25,"Low",Table2[[#This Row],[Spending Score (1-100)]]&lt;=50,"Medium",Table2[[#This Row],[Spending Score (1-100)]]&lt;=75,"High",Table2[[#This Row],[Spending Score (1-100)]]&lt;=100,"Very High")</f>
        <v>Very High</v>
      </c>
      <c r="H1702" t="s">
        <v>10</v>
      </c>
      <c r="I1702">
        <v>0</v>
      </c>
      <c r="J1702" t="str">
        <f>CONCATENATE(Table2[[#This Row],[Work Experience]],"years")</f>
        <v>0years</v>
      </c>
      <c r="K1702" t="str">
        <f>CONCATENATE(Table2[[#This Row],[Family Size2]],"members")</f>
        <v>2members</v>
      </c>
      <c r="L1702" t="str">
        <f>CONCATENATE(Table2[[#This Row],[Family Size2]],"members")</f>
        <v>2members</v>
      </c>
      <c r="M1702">
        <v>2</v>
      </c>
    </row>
    <row r="1703" spans="1:13">
      <c r="A1703">
        <v>1702</v>
      </c>
      <c r="B1703" t="s">
        <v>8</v>
      </c>
      <c r="C1703">
        <v>55</v>
      </c>
      <c r="D1703" t="str" cm="1">
        <f t="array" ref="D1703">_xlfn.IFS(Table2[[#This Row],[Age]]&lt;=11,"Gen A",Table2[[#This Row],[Age]]&lt;=27,"Gen Z",Table2[[#This Row],[Age]]&lt;=43,"Millenials",Table2[[#This Row],[Age]]&lt;=59,"Gen X",Table2[[#This Row],[Age]]&lt;=78,"Baby Boomers",Table2[[#This Row],[Age]]&lt;=96,"Silent",Table2[[#This Row],[Age]]&gt;=97,"Greatest")</f>
        <v>Gen X</v>
      </c>
      <c r="E1703" s="1">
        <v>103933</v>
      </c>
      <c r="F1703">
        <v>31</v>
      </c>
      <c r="G1703" t="str" cm="1">
        <f t="array" ref="G1703">_xlfn.IFS(Table2[[#This Row],[Spending Score (1-100)]]&lt;=25,"Low",Table2[[#This Row],[Spending Score (1-100)]]&lt;=50,"Medium",Table2[[#This Row],[Spending Score (1-100)]]&lt;=75,"High",Table2[[#This Row],[Spending Score (1-100)]]&lt;=100,"Very High")</f>
        <v>Medium</v>
      </c>
      <c r="H1703" t="s">
        <v>15</v>
      </c>
      <c r="I1703">
        <v>6</v>
      </c>
      <c r="J1703" t="str">
        <f>CONCATENATE(Table2[[#This Row],[Work Experience]],"years")</f>
        <v>6years</v>
      </c>
      <c r="K1703" t="str">
        <f>CONCATENATE(Table2[[#This Row],[Family Size2]],"members")</f>
        <v>3members</v>
      </c>
      <c r="L1703" t="str">
        <f>CONCATENATE(Table2[[#This Row],[Family Size2]],"members")</f>
        <v>3members</v>
      </c>
      <c r="M1703">
        <v>3</v>
      </c>
    </row>
    <row r="1704" spans="1:13">
      <c r="A1704">
        <v>1703</v>
      </c>
      <c r="B1704" t="s">
        <v>11</v>
      </c>
      <c r="C1704">
        <v>69</v>
      </c>
      <c r="D1704" t="str" cm="1">
        <f t="array" ref="D1704">_xlfn.IFS(Table2[[#This Row],[Age]]&lt;=11,"Gen A",Table2[[#This Row],[Age]]&lt;=27,"Gen Z",Table2[[#This Row],[Age]]&lt;=43,"Millenials",Table2[[#This Row],[Age]]&lt;=59,"Gen X",Table2[[#This Row],[Age]]&lt;=78,"Baby Boomers",Table2[[#This Row],[Age]]&lt;=96,"Silent",Table2[[#This Row],[Age]]&gt;=97,"Greatest")</f>
        <v>Baby Boomers</v>
      </c>
      <c r="E1704" s="1">
        <v>85401</v>
      </c>
      <c r="F1704">
        <v>10</v>
      </c>
      <c r="G1704" t="str" cm="1">
        <f t="array" ref="G1704">_xlfn.IFS(Table2[[#This Row],[Spending Score (1-100)]]&lt;=25,"Low",Table2[[#This Row],[Spending Score (1-100)]]&lt;=50,"Medium",Table2[[#This Row],[Spending Score (1-100)]]&lt;=75,"High",Table2[[#This Row],[Spending Score (1-100)]]&lt;=100,"Very High")</f>
        <v>Low</v>
      </c>
      <c r="H1704" t="s">
        <v>13</v>
      </c>
      <c r="I1704">
        <v>4</v>
      </c>
      <c r="J1704" t="str">
        <f>CONCATENATE(Table2[[#This Row],[Work Experience]],"years")</f>
        <v>4years</v>
      </c>
      <c r="K1704" t="str">
        <f>CONCATENATE(Table2[[#This Row],[Family Size2]],"members")</f>
        <v>6members</v>
      </c>
      <c r="L1704" t="str">
        <f>CONCATENATE(Table2[[#This Row],[Family Size2]],"members")</f>
        <v>6members</v>
      </c>
      <c r="M1704">
        <v>6</v>
      </c>
    </row>
    <row r="1705" spans="1:13">
      <c r="A1705">
        <v>1704</v>
      </c>
      <c r="B1705" t="s">
        <v>11</v>
      </c>
      <c r="C1705">
        <v>18</v>
      </c>
      <c r="D1705" t="str" cm="1">
        <f t="array" ref="D1705">_xlfn.IFS(Table2[[#This Row],[Age]]&lt;=11,"Gen A",Table2[[#This Row],[Age]]&lt;=27,"Gen Z",Table2[[#This Row],[Age]]&lt;=43,"Millenials",Table2[[#This Row],[Age]]&lt;=59,"Gen X",Table2[[#This Row],[Age]]&lt;=78,"Baby Boomers",Table2[[#This Row],[Age]]&lt;=96,"Silent",Table2[[#This Row],[Age]]&gt;=97,"Greatest")</f>
        <v>Gen Z</v>
      </c>
      <c r="E1705" s="1">
        <v>53812</v>
      </c>
      <c r="F1705">
        <v>32</v>
      </c>
      <c r="G1705" t="str" cm="1">
        <f t="array" ref="G1705">_xlfn.IFS(Table2[[#This Row],[Spending Score (1-100)]]&lt;=25,"Low",Table2[[#This Row],[Spending Score (1-100)]]&lt;=50,"Medium",Table2[[#This Row],[Spending Score (1-100)]]&lt;=75,"High",Table2[[#This Row],[Spending Score (1-100)]]&lt;=100,"Very High")</f>
        <v>Medium</v>
      </c>
      <c r="H1705" t="s">
        <v>17</v>
      </c>
      <c r="I1705">
        <v>9</v>
      </c>
      <c r="J1705" t="str">
        <f>CONCATENATE(Table2[[#This Row],[Work Experience]],"years")</f>
        <v>9years</v>
      </c>
      <c r="K1705" t="str">
        <f>CONCATENATE(Table2[[#This Row],[Family Size2]],"members")</f>
        <v>5members</v>
      </c>
      <c r="L1705" t="str">
        <f>CONCATENATE(Table2[[#This Row],[Family Size2]],"members")</f>
        <v>5members</v>
      </c>
      <c r="M1705">
        <v>5</v>
      </c>
    </row>
    <row r="1706" spans="1:13">
      <c r="A1706">
        <v>1705</v>
      </c>
      <c r="B1706" t="s">
        <v>11</v>
      </c>
      <c r="C1706">
        <v>13</v>
      </c>
      <c r="D1706" t="str" cm="1">
        <f t="array" ref="D1706">_xlfn.IFS(Table2[[#This Row],[Age]]&lt;=11,"Gen A",Table2[[#This Row],[Age]]&lt;=27,"Gen Z",Table2[[#This Row],[Age]]&lt;=43,"Millenials",Table2[[#This Row],[Age]]&lt;=59,"Gen X",Table2[[#This Row],[Age]]&lt;=78,"Baby Boomers",Table2[[#This Row],[Age]]&lt;=96,"Silent",Table2[[#This Row],[Age]]&gt;=97,"Greatest")</f>
        <v>Gen Z</v>
      </c>
      <c r="E1706" s="1">
        <v>60771</v>
      </c>
      <c r="F1706">
        <v>50</v>
      </c>
      <c r="G1706" t="str" cm="1">
        <f t="array" ref="G1706">_xlfn.IFS(Table2[[#This Row],[Spending Score (1-100)]]&lt;=25,"Low",Table2[[#This Row],[Spending Score (1-100)]]&lt;=50,"Medium",Table2[[#This Row],[Spending Score (1-100)]]&lt;=75,"High",Table2[[#This Row],[Spending Score (1-100)]]&lt;=100,"Very High")</f>
        <v>Medium</v>
      </c>
      <c r="H1706" t="s">
        <v>13</v>
      </c>
      <c r="I1706">
        <v>1</v>
      </c>
      <c r="J1706" t="str">
        <f>CONCATENATE(Table2[[#This Row],[Work Experience]],"years")</f>
        <v>1years</v>
      </c>
      <c r="K1706" t="str">
        <f>CONCATENATE(Table2[[#This Row],[Family Size2]],"members")</f>
        <v>7members</v>
      </c>
      <c r="L1706" t="str">
        <f>CONCATENATE(Table2[[#This Row],[Family Size2]],"members")</f>
        <v>7members</v>
      </c>
      <c r="M1706">
        <v>7</v>
      </c>
    </row>
    <row r="1707" spans="1:13">
      <c r="A1707">
        <v>1706</v>
      </c>
      <c r="B1707" t="s">
        <v>11</v>
      </c>
      <c r="C1707">
        <v>69</v>
      </c>
      <c r="D1707" t="str" cm="1">
        <f t="array" ref="D1707">_xlfn.IFS(Table2[[#This Row],[Age]]&lt;=11,"Gen A",Table2[[#This Row],[Age]]&lt;=27,"Gen Z",Table2[[#This Row],[Age]]&lt;=43,"Millenials",Table2[[#This Row],[Age]]&lt;=59,"Gen X",Table2[[#This Row],[Age]]&lt;=78,"Baby Boomers",Table2[[#This Row],[Age]]&lt;=96,"Silent",Table2[[#This Row],[Age]]&gt;=97,"Greatest")</f>
        <v>Baby Boomers</v>
      </c>
      <c r="E1707" s="1">
        <v>56398</v>
      </c>
      <c r="F1707">
        <v>75</v>
      </c>
      <c r="G1707" t="str" cm="1">
        <f t="array" ref="G1707">_xlfn.IFS(Table2[[#This Row],[Spending Score (1-100)]]&lt;=25,"Low",Table2[[#This Row],[Spending Score (1-100)]]&lt;=50,"Medium",Table2[[#This Row],[Spending Score (1-100)]]&lt;=75,"High",Table2[[#This Row],[Spending Score (1-100)]]&lt;=100,"Very High")</f>
        <v>High</v>
      </c>
      <c r="H1707" t="s">
        <v>13</v>
      </c>
      <c r="I1707">
        <v>8</v>
      </c>
      <c r="J1707" t="str">
        <f>CONCATENATE(Table2[[#This Row],[Work Experience]],"years")</f>
        <v>8years</v>
      </c>
      <c r="K1707" t="str">
        <f>CONCATENATE(Table2[[#This Row],[Family Size2]],"members")</f>
        <v>3members</v>
      </c>
      <c r="L1707" t="str">
        <f>CONCATENATE(Table2[[#This Row],[Family Size2]],"members")</f>
        <v>3members</v>
      </c>
      <c r="M1707">
        <v>3</v>
      </c>
    </row>
    <row r="1708" spans="1:13">
      <c r="A1708">
        <v>1707</v>
      </c>
      <c r="B1708" t="s">
        <v>11</v>
      </c>
      <c r="C1708">
        <v>69</v>
      </c>
      <c r="D1708" t="str" cm="1">
        <f t="array" ref="D1708">_xlfn.IFS(Table2[[#This Row],[Age]]&lt;=11,"Gen A",Table2[[#This Row],[Age]]&lt;=27,"Gen Z",Table2[[#This Row],[Age]]&lt;=43,"Millenials",Table2[[#This Row],[Age]]&lt;=59,"Gen X",Table2[[#This Row],[Age]]&lt;=78,"Baby Boomers",Table2[[#This Row],[Age]]&lt;=96,"Silent",Table2[[#This Row],[Age]]&gt;=97,"Greatest")</f>
        <v>Baby Boomers</v>
      </c>
      <c r="E1708" s="1">
        <v>171118</v>
      </c>
      <c r="F1708">
        <v>91</v>
      </c>
      <c r="G1708" t="str" cm="1">
        <f t="array" ref="G1708">_xlfn.IFS(Table2[[#This Row],[Spending Score (1-100)]]&lt;=25,"Low",Table2[[#This Row],[Spending Score (1-100)]]&lt;=50,"Medium",Table2[[#This Row],[Spending Score (1-100)]]&lt;=75,"High",Table2[[#This Row],[Spending Score (1-100)]]&lt;=100,"Very High")</f>
        <v>Very High</v>
      </c>
      <c r="H1708" t="s">
        <v>10</v>
      </c>
      <c r="I1708">
        <v>9</v>
      </c>
      <c r="J1708" t="str">
        <f>CONCATENATE(Table2[[#This Row],[Work Experience]],"years")</f>
        <v>9years</v>
      </c>
      <c r="K1708" t="str">
        <f>CONCATENATE(Table2[[#This Row],[Family Size2]],"members")</f>
        <v>3members</v>
      </c>
      <c r="L1708" t="str">
        <f>CONCATENATE(Table2[[#This Row],[Family Size2]],"members")</f>
        <v>3members</v>
      </c>
      <c r="M1708">
        <v>3</v>
      </c>
    </row>
    <row r="1709" spans="1:13">
      <c r="A1709">
        <v>1708</v>
      </c>
      <c r="B1709" t="s">
        <v>8</v>
      </c>
      <c r="C1709">
        <v>69</v>
      </c>
      <c r="D1709" t="str" cm="1">
        <f t="array" ref="D1709">_xlfn.IFS(Table2[[#This Row],[Age]]&lt;=11,"Gen A",Table2[[#This Row],[Age]]&lt;=27,"Gen Z",Table2[[#This Row],[Age]]&lt;=43,"Millenials",Table2[[#This Row],[Age]]&lt;=59,"Gen X",Table2[[#This Row],[Age]]&lt;=78,"Baby Boomers",Table2[[#This Row],[Age]]&lt;=96,"Silent",Table2[[#This Row],[Age]]&gt;=97,"Greatest")</f>
        <v>Baby Boomers</v>
      </c>
      <c r="E1709" s="1">
        <v>79806</v>
      </c>
      <c r="F1709">
        <v>73</v>
      </c>
      <c r="G1709" t="str" cm="1">
        <f t="array" ref="G1709">_xlfn.IFS(Table2[[#This Row],[Spending Score (1-100)]]&lt;=25,"Low",Table2[[#This Row],[Spending Score (1-100)]]&lt;=50,"Medium",Table2[[#This Row],[Spending Score (1-100)]]&lt;=75,"High",Table2[[#This Row],[Spending Score (1-100)]]&lt;=100,"Very High")</f>
        <v>High</v>
      </c>
      <c r="H1709" t="s">
        <v>9</v>
      </c>
      <c r="I1709">
        <v>0</v>
      </c>
      <c r="J1709" t="str">
        <f>CONCATENATE(Table2[[#This Row],[Work Experience]],"years")</f>
        <v>0years</v>
      </c>
      <c r="K1709" t="str">
        <f>CONCATENATE(Table2[[#This Row],[Family Size2]],"members")</f>
        <v>5members</v>
      </c>
      <c r="L1709" t="str">
        <f>CONCATENATE(Table2[[#This Row],[Family Size2]],"members")</f>
        <v>5members</v>
      </c>
      <c r="M1709">
        <v>5</v>
      </c>
    </row>
    <row r="1710" spans="1:13">
      <c r="A1710">
        <v>1709</v>
      </c>
      <c r="B1710" t="s">
        <v>11</v>
      </c>
      <c r="C1710">
        <v>89</v>
      </c>
      <c r="D1710" t="str" cm="1">
        <f t="array" ref="D1710">_xlfn.IFS(Table2[[#This Row],[Age]]&lt;=11,"Gen A",Table2[[#This Row],[Age]]&lt;=27,"Gen Z",Table2[[#This Row],[Age]]&lt;=43,"Millenials",Table2[[#This Row],[Age]]&lt;=59,"Gen X",Table2[[#This Row],[Age]]&lt;=78,"Baby Boomers",Table2[[#This Row],[Age]]&lt;=96,"Silent",Table2[[#This Row],[Age]]&gt;=97,"Greatest")</f>
        <v>Silent</v>
      </c>
      <c r="E1710" s="1">
        <v>150187</v>
      </c>
      <c r="F1710">
        <v>35</v>
      </c>
      <c r="G1710" t="str" cm="1">
        <f t="array" ref="G1710">_xlfn.IFS(Table2[[#This Row],[Spending Score (1-100)]]&lt;=25,"Low",Table2[[#This Row],[Spending Score (1-100)]]&lt;=50,"Medium",Table2[[#This Row],[Spending Score (1-100)]]&lt;=75,"High",Table2[[#This Row],[Spending Score (1-100)]]&lt;=100,"Very High")</f>
        <v>Medium</v>
      </c>
      <c r="H1710" t="s">
        <v>9</v>
      </c>
      <c r="I1710">
        <v>0</v>
      </c>
      <c r="J1710" t="str">
        <f>CONCATENATE(Table2[[#This Row],[Work Experience]],"years")</f>
        <v>0years</v>
      </c>
      <c r="K1710" t="str">
        <f>CONCATENATE(Table2[[#This Row],[Family Size2]],"members")</f>
        <v>5members</v>
      </c>
      <c r="L1710" t="str">
        <f>CONCATENATE(Table2[[#This Row],[Family Size2]],"members")</f>
        <v>5members</v>
      </c>
      <c r="M1710">
        <v>5</v>
      </c>
    </row>
    <row r="1711" spans="1:13">
      <c r="A1711">
        <v>1710</v>
      </c>
      <c r="B1711" t="s">
        <v>11</v>
      </c>
      <c r="C1711">
        <v>45</v>
      </c>
      <c r="D1711" t="str" cm="1">
        <f t="array" ref="D1711">_xlfn.IFS(Table2[[#This Row],[Age]]&lt;=11,"Gen A",Table2[[#This Row],[Age]]&lt;=27,"Gen Z",Table2[[#This Row],[Age]]&lt;=43,"Millenials",Table2[[#This Row],[Age]]&lt;=59,"Gen X",Table2[[#This Row],[Age]]&lt;=78,"Baby Boomers",Table2[[#This Row],[Age]]&lt;=96,"Silent",Table2[[#This Row],[Age]]&gt;=97,"Greatest")</f>
        <v>Gen X</v>
      </c>
      <c r="E1711" s="1">
        <v>129455</v>
      </c>
      <c r="F1711">
        <v>14</v>
      </c>
      <c r="G1711" t="str" cm="1">
        <f t="array" ref="G1711">_xlfn.IFS(Table2[[#This Row],[Spending Score (1-100)]]&lt;=25,"Low",Table2[[#This Row],[Spending Score (1-100)]]&lt;=50,"Medium",Table2[[#This Row],[Spending Score (1-100)]]&lt;=75,"High",Table2[[#This Row],[Spending Score (1-100)]]&lt;=100,"Very High")</f>
        <v>Low</v>
      </c>
      <c r="H1711" t="s">
        <v>12</v>
      </c>
      <c r="I1711">
        <v>0</v>
      </c>
      <c r="J1711" t="str">
        <f>CONCATENATE(Table2[[#This Row],[Work Experience]],"years")</f>
        <v>0years</v>
      </c>
      <c r="K1711" t="str">
        <f>CONCATENATE(Table2[[#This Row],[Family Size2]],"members")</f>
        <v>3members</v>
      </c>
      <c r="L1711" t="str">
        <f>CONCATENATE(Table2[[#This Row],[Family Size2]],"members")</f>
        <v>3members</v>
      </c>
      <c r="M1711">
        <v>3</v>
      </c>
    </row>
    <row r="1712" spans="1:13">
      <c r="A1712">
        <v>1711</v>
      </c>
      <c r="B1712" t="s">
        <v>11</v>
      </c>
      <c r="C1712">
        <v>75</v>
      </c>
      <c r="D1712" t="str" cm="1">
        <f t="array" ref="D1712">_xlfn.IFS(Table2[[#This Row],[Age]]&lt;=11,"Gen A",Table2[[#This Row],[Age]]&lt;=27,"Gen Z",Table2[[#This Row],[Age]]&lt;=43,"Millenials",Table2[[#This Row],[Age]]&lt;=59,"Gen X",Table2[[#This Row],[Age]]&lt;=78,"Baby Boomers",Table2[[#This Row],[Age]]&lt;=96,"Silent",Table2[[#This Row],[Age]]&gt;=97,"Greatest")</f>
        <v>Baby Boomers</v>
      </c>
      <c r="E1712" s="1">
        <v>116813</v>
      </c>
      <c r="F1712">
        <v>72</v>
      </c>
      <c r="G1712" t="str" cm="1">
        <f t="array" ref="G1712">_xlfn.IFS(Table2[[#This Row],[Spending Score (1-100)]]&lt;=25,"Low",Table2[[#This Row],[Spending Score (1-100)]]&lt;=50,"Medium",Table2[[#This Row],[Spending Score (1-100)]]&lt;=75,"High",Table2[[#This Row],[Spending Score (1-100)]]&lt;=100,"Very High")</f>
        <v>High</v>
      </c>
      <c r="H1712" t="s">
        <v>13</v>
      </c>
      <c r="I1712">
        <v>10</v>
      </c>
      <c r="J1712" t="str">
        <f>CONCATENATE(Table2[[#This Row],[Work Experience]],"years")</f>
        <v>10years</v>
      </c>
      <c r="K1712" t="str">
        <f>CONCATENATE(Table2[[#This Row],[Family Size2]],"members")</f>
        <v>6members</v>
      </c>
      <c r="L1712" t="str">
        <f>CONCATENATE(Table2[[#This Row],[Family Size2]],"members")</f>
        <v>6members</v>
      </c>
      <c r="M1712">
        <v>6</v>
      </c>
    </row>
    <row r="1713" spans="1:13">
      <c r="A1713">
        <v>1712</v>
      </c>
      <c r="B1713" t="s">
        <v>11</v>
      </c>
      <c r="C1713">
        <v>54</v>
      </c>
      <c r="D1713" t="str" cm="1">
        <f t="array" ref="D1713">_xlfn.IFS(Table2[[#This Row],[Age]]&lt;=11,"Gen A",Table2[[#This Row],[Age]]&lt;=27,"Gen Z",Table2[[#This Row],[Age]]&lt;=43,"Millenials",Table2[[#This Row],[Age]]&lt;=59,"Gen X",Table2[[#This Row],[Age]]&lt;=78,"Baby Boomers",Table2[[#This Row],[Age]]&lt;=96,"Silent",Table2[[#This Row],[Age]]&gt;=97,"Greatest")</f>
        <v>Gen X</v>
      </c>
      <c r="E1713" s="1">
        <v>95734</v>
      </c>
      <c r="F1713">
        <v>39</v>
      </c>
      <c r="G1713" t="str" cm="1">
        <f t="array" ref="G1713">_xlfn.IFS(Table2[[#This Row],[Spending Score (1-100)]]&lt;=25,"Low",Table2[[#This Row],[Spending Score (1-100)]]&lt;=50,"Medium",Table2[[#This Row],[Spending Score (1-100)]]&lt;=75,"High",Table2[[#This Row],[Spending Score (1-100)]]&lt;=100,"Very High")</f>
        <v>Medium</v>
      </c>
      <c r="H1713" t="s">
        <v>17</v>
      </c>
      <c r="I1713">
        <v>8</v>
      </c>
      <c r="J1713" t="str">
        <f>CONCATENATE(Table2[[#This Row],[Work Experience]],"years")</f>
        <v>8years</v>
      </c>
      <c r="K1713" t="str">
        <f>CONCATENATE(Table2[[#This Row],[Family Size2]],"members")</f>
        <v>7members</v>
      </c>
      <c r="L1713" t="str">
        <f>CONCATENATE(Table2[[#This Row],[Family Size2]],"members")</f>
        <v>7members</v>
      </c>
      <c r="M1713">
        <v>7</v>
      </c>
    </row>
    <row r="1714" spans="1:13">
      <c r="A1714">
        <v>1713</v>
      </c>
      <c r="B1714" t="s">
        <v>8</v>
      </c>
      <c r="C1714">
        <v>33</v>
      </c>
      <c r="D1714" t="str" cm="1">
        <f t="array" ref="D1714">_xlfn.IFS(Table2[[#This Row],[Age]]&lt;=11,"Gen A",Table2[[#This Row],[Age]]&lt;=27,"Gen Z",Table2[[#This Row],[Age]]&lt;=43,"Millenials",Table2[[#This Row],[Age]]&lt;=59,"Gen X",Table2[[#This Row],[Age]]&lt;=78,"Baby Boomers",Table2[[#This Row],[Age]]&lt;=96,"Silent",Table2[[#This Row],[Age]]&gt;=97,"Greatest")</f>
        <v>Millenials</v>
      </c>
      <c r="E1714" s="1">
        <v>76654</v>
      </c>
      <c r="F1714">
        <v>48</v>
      </c>
      <c r="G1714" t="str" cm="1">
        <f t="array" ref="G1714">_xlfn.IFS(Table2[[#This Row],[Spending Score (1-100)]]&lt;=25,"Low",Table2[[#This Row],[Spending Score (1-100)]]&lt;=50,"Medium",Table2[[#This Row],[Spending Score (1-100)]]&lt;=75,"High",Table2[[#This Row],[Spending Score (1-100)]]&lt;=100,"Very High")</f>
        <v>Medium</v>
      </c>
      <c r="H1714" t="s">
        <v>14</v>
      </c>
      <c r="I1714">
        <v>4</v>
      </c>
      <c r="J1714" t="str">
        <f>CONCATENATE(Table2[[#This Row],[Work Experience]],"years")</f>
        <v>4years</v>
      </c>
      <c r="K1714" t="str">
        <f>CONCATENATE(Table2[[#This Row],[Family Size2]],"members")</f>
        <v>1members</v>
      </c>
      <c r="L1714" t="str">
        <f>CONCATENATE(Table2[[#This Row],[Family Size2]],"members")</f>
        <v>1members</v>
      </c>
      <c r="M1714">
        <v>1</v>
      </c>
    </row>
    <row r="1715" spans="1:13">
      <c r="A1715">
        <v>1714</v>
      </c>
      <c r="B1715" t="s">
        <v>8</v>
      </c>
      <c r="C1715">
        <v>67</v>
      </c>
      <c r="D1715" t="str" cm="1">
        <f t="array" ref="D1715">_xlfn.IFS(Table2[[#This Row],[Age]]&lt;=11,"Gen A",Table2[[#This Row],[Age]]&lt;=27,"Gen Z",Table2[[#This Row],[Age]]&lt;=43,"Millenials",Table2[[#This Row],[Age]]&lt;=59,"Gen X",Table2[[#This Row],[Age]]&lt;=78,"Baby Boomers",Table2[[#This Row],[Age]]&lt;=96,"Silent",Table2[[#This Row],[Age]]&gt;=97,"Greatest")</f>
        <v>Baby Boomers</v>
      </c>
      <c r="E1715" s="1">
        <v>86289</v>
      </c>
      <c r="F1715">
        <v>96</v>
      </c>
      <c r="G1715" t="str" cm="1">
        <f t="array" ref="G1715">_xlfn.IFS(Table2[[#This Row],[Spending Score (1-100)]]&lt;=25,"Low",Table2[[#This Row],[Spending Score (1-100)]]&lt;=50,"Medium",Table2[[#This Row],[Spending Score (1-100)]]&lt;=75,"High",Table2[[#This Row],[Spending Score (1-100)]]&lt;=100,"Very High")</f>
        <v>Very High</v>
      </c>
      <c r="H1715" t="s">
        <v>14</v>
      </c>
      <c r="I1715">
        <v>1</v>
      </c>
      <c r="J1715" t="str">
        <f>CONCATENATE(Table2[[#This Row],[Work Experience]],"years")</f>
        <v>1years</v>
      </c>
      <c r="K1715" t="str">
        <f>CONCATENATE(Table2[[#This Row],[Family Size2]],"members")</f>
        <v>5members</v>
      </c>
      <c r="L1715" t="str">
        <f>CONCATENATE(Table2[[#This Row],[Family Size2]],"members")</f>
        <v>5members</v>
      </c>
      <c r="M1715">
        <v>5</v>
      </c>
    </row>
    <row r="1716" spans="1:13">
      <c r="A1716">
        <v>1715</v>
      </c>
      <c r="B1716" t="s">
        <v>8</v>
      </c>
      <c r="C1716">
        <v>26</v>
      </c>
      <c r="D1716" t="str" cm="1">
        <f t="array" ref="D1716">_xlfn.IFS(Table2[[#This Row],[Age]]&lt;=11,"Gen A",Table2[[#This Row],[Age]]&lt;=27,"Gen Z",Table2[[#This Row],[Age]]&lt;=43,"Millenials",Table2[[#This Row],[Age]]&lt;=59,"Gen X",Table2[[#This Row],[Age]]&lt;=78,"Baby Boomers",Table2[[#This Row],[Age]]&lt;=96,"Silent",Table2[[#This Row],[Age]]&gt;=97,"Greatest")</f>
        <v>Gen Z</v>
      </c>
      <c r="E1716" s="1">
        <v>176147</v>
      </c>
      <c r="F1716">
        <v>19</v>
      </c>
      <c r="G1716" t="str" cm="1">
        <f t="array" ref="G1716">_xlfn.IFS(Table2[[#This Row],[Spending Score (1-100)]]&lt;=25,"Low",Table2[[#This Row],[Spending Score (1-100)]]&lt;=50,"Medium",Table2[[#This Row],[Spending Score (1-100)]]&lt;=75,"High",Table2[[#This Row],[Spending Score (1-100)]]&lt;=100,"Very High")</f>
        <v>Low</v>
      </c>
      <c r="H1716" t="s">
        <v>9</v>
      </c>
      <c r="I1716">
        <v>0</v>
      </c>
      <c r="J1716" t="str">
        <f>CONCATENATE(Table2[[#This Row],[Work Experience]],"years")</f>
        <v>0years</v>
      </c>
      <c r="K1716" t="str">
        <f>CONCATENATE(Table2[[#This Row],[Family Size2]],"members")</f>
        <v>1members</v>
      </c>
      <c r="L1716" t="str">
        <f>CONCATENATE(Table2[[#This Row],[Family Size2]],"members")</f>
        <v>1members</v>
      </c>
      <c r="M1716">
        <v>1</v>
      </c>
    </row>
    <row r="1717" spans="1:13">
      <c r="A1717">
        <v>1716</v>
      </c>
      <c r="B1717" t="s">
        <v>11</v>
      </c>
      <c r="C1717">
        <v>5</v>
      </c>
      <c r="D1717" t="str" cm="1">
        <f t="array" ref="D1717">_xlfn.IFS(Table2[[#This Row],[Age]]&lt;=11,"Gen A",Table2[[#This Row],[Age]]&lt;=27,"Gen Z",Table2[[#This Row],[Age]]&lt;=43,"Millenials",Table2[[#This Row],[Age]]&lt;=59,"Gen X",Table2[[#This Row],[Age]]&lt;=78,"Baby Boomers",Table2[[#This Row],[Age]]&lt;=96,"Silent",Table2[[#This Row],[Age]]&gt;=97,"Greatest")</f>
        <v>Gen A</v>
      </c>
      <c r="E1717" s="1">
        <v>142351</v>
      </c>
      <c r="F1717">
        <v>97</v>
      </c>
      <c r="G1717" t="str" cm="1">
        <f t="array" ref="G1717">_xlfn.IFS(Table2[[#This Row],[Spending Score (1-100)]]&lt;=25,"Low",Table2[[#This Row],[Spending Score (1-100)]]&lt;=50,"Medium",Table2[[#This Row],[Spending Score (1-100)]]&lt;=75,"High",Table2[[#This Row],[Spending Score (1-100)]]&lt;=100,"Very High")</f>
        <v>Very High</v>
      </c>
      <c r="H1717" t="s">
        <v>13</v>
      </c>
      <c r="I1717">
        <v>0</v>
      </c>
      <c r="J1717" t="str">
        <f>CONCATENATE(Table2[[#This Row],[Work Experience]],"years")</f>
        <v>0years</v>
      </c>
      <c r="K1717" t="str">
        <f>CONCATENATE(Table2[[#This Row],[Family Size2]],"members")</f>
        <v>7members</v>
      </c>
      <c r="L1717" t="str">
        <f>CONCATENATE(Table2[[#This Row],[Family Size2]],"members")</f>
        <v>7members</v>
      </c>
      <c r="M1717">
        <v>7</v>
      </c>
    </row>
    <row r="1718" spans="1:13">
      <c r="A1718">
        <v>1717</v>
      </c>
      <c r="B1718" t="s">
        <v>8</v>
      </c>
      <c r="C1718">
        <v>65</v>
      </c>
      <c r="D1718" t="str" cm="1">
        <f t="array" ref="D1718">_xlfn.IFS(Table2[[#This Row],[Age]]&lt;=11,"Gen A",Table2[[#This Row],[Age]]&lt;=27,"Gen Z",Table2[[#This Row],[Age]]&lt;=43,"Millenials",Table2[[#This Row],[Age]]&lt;=59,"Gen X",Table2[[#This Row],[Age]]&lt;=78,"Baby Boomers",Table2[[#This Row],[Age]]&lt;=96,"Silent",Table2[[#This Row],[Age]]&gt;=97,"Greatest")</f>
        <v>Baby Boomers</v>
      </c>
      <c r="E1718" s="1">
        <v>186673</v>
      </c>
      <c r="F1718">
        <v>51</v>
      </c>
      <c r="G1718" t="str" cm="1">
        <f t="array" ref="G1718">_xlfn.IFS(Table2[[#This Row],[Spending Score (1-100)]]&lt;=25,"Low",Table2[[#This Row],[Spending Score (1-100)]]&lt;=50,"Medium",Table2[[#This Row],[Spending Score (1-100)]]&lt;=75,"High",Table2[[#This Row],[Spending Score (1-100)]]&lt;=100,"Very High")</f>
        <v>High</v>
      </c>
      <c r="H1718" t="s">
        <v>16</v>
      </c>
      <c r="I1718">
        <v>1</v>
      </c>
      <c r="J1718" t="str">
        <f>CONCATENATE(Table2[[#This Row],[Work Experience]],"years")</f>
        <v>1years</v>
      </c>
      <c r="K1718" t="str">
        <f>CONCATENATE(Table2[[#This Row],[Family Size2]],"members")</f>
        <v>1members</v>
      </c>
      <c r="L1718" t="str">
        <f>CONCATENATE(Table2[[#This Row],[Family Size2]],"members")</f>
        <v>1members</v>
      </c>
      <c r="M1718">
        <v>1</v>
      </c>
    </row>
    <row r="1719" spans="1:13">
      <c r="A1719">
        <v>1718</v>
      </c>
      <c r="B1719" t="s">
        <v>11</v>
      </c>
      <c r="C1719">
        <v>94</v>
      </c>
      <c r="D1719" t="str" cm="1">
        <f t="array" ref="D1719">_xlfn.IFS(Table2[[#This Row],[Age]]&lt;=11,"Gen A",Table2[[#This Row],[Age]]&lt;=27,"Gen Z",Table2[[#This Row],[Age]]&lt;=43,"Millenials",Table2[[#This Row],[Age]]&lt;=59,"Gen X",Table2[[#This Row],[Age]]&lt;=78,"Baby Boomers",Table2[[#This Row],[Age]]&lt;=96,"Silent",Table2[[#This Row],[Age]]&gt;=97,"Greatest")</f>
        <v>Silent</v>
      </c>
      <c r="E1719" s="1">
        <v>131521</v>
      </c>
      <c r="F1719">
        <v>62</v>
      </c>
      <c r="G1719" t="str" cm="1">
        <f t="array" ref="G1719">_xlfn.IFS(Table2[[#This Row],[Spending Score (1-100)]]&lt;=25,"Low",Table2[[#This Row],[Spending Score (1-100)]]&lt;=50,"Medium",Table2[[#This Row],[Spending Score (1-100)]]&lt;=75,"High",Table2[[#This Row],[Spending Score (1-100)]]&lt;=100,"Very High")</f>
        <v>High</v>
      </c>
      <c r="H1719" t="s">
        <v>14</v>
      </c>
      <c r="I1719">
        <v>0</v>
      </c>
      <c r="J1719" t="str">
        <f>CONCATENATE(Table2[[#This Row],[Work Experience]],"years")</f>
        <v>0years</v>
      </c>
      <c r="K1719" t="str">
        <f>CONCATENATE(Table2[[#This Row],[Family Size2]],"members")</f>
        <v>6members</v>
      </c>
      <c r="L1719" t="str">
        <f>CONCATENATE(Table2[[#This Row],[Family Size2]],"members")</f>
        <v>6members</v>
      </c>
      <c r="M1719">
        <v>6</v>
      </c>
    </row>
    <row r="1720" spans="1:13">
      <c r="A1720">
        <v>1719</v>
      </c>
      <c r="B1720" t="s">
        <v>11</v>
      </c>
      <c r="C1720">
        <v>95</v>
      </c>
      <c r="D1720" t="str" cm="1">
        <f t="array" ref="D1720">_xlfn.IFS(Table2[[#This Row],[Age]]&lt;=11,"Gen A",Table2[[#This Row],[Age]]&lt;=27,"Gen Z",Table2[[#This Row],[Age]]&lt;=43,"Millenials",Table2[[#This Row],[Age]]&lt;=59,"Gen X",Table2[[#This Row],[Age]]&lt;=78,"Baby Boomers",Table2[[#This Row],[Age]]&lt;=96,"Silent",Table2[[#This Row],[Age]]&gt;=97,"Greatest")</f>
        <v>Silent</v>
      </c>
      <c r="E1720" s="1">
        <v>50223</v>
      </c>
      <c r="F1720">
        <v>15</v>
      </c>
      <c r="G1720" t="str" cm="1">
        <f t="array" ref="G1720">_xlfn.IFS(Table2[[#This Row],[Spending Score (1-100)]]&lt;=25,"Low",Table2[[#This Row],[Spending Score (1-100)]]&lt;=50,"Medium",Table2[[#This Row],[Spending Score (1-100)]]&lt;=75,"High",Table2[[#This Row],[Spending Score (1-100)]]&lt;=100,"Very High")</f>
        <v>Low</v>
      </c>
      <c r="H1720" t="s">
        <v>13</v>
      </c>
      <c r="I1720">
        <v>8</v>
      </c>
      <c r="J1720" t="str">
        <f>CONCATENATE(Table2[[#This Row],[Work Experience]],"years")</f>
        <v>8years</v>
      </c>
      <c r="K1720" t="str">
        <f>CONCATENATE(Table2[[#This Row],[Family Size2]],"members")</f>
        <v>1members</v>
      </c>
      <c r="L1720" t="str">
        <f>CONCATENATE(Table2[[#This Row],[Family Size2]],"members")</f>
        <v>1members</v>
      </c>
      <c r="M1720">
        <v>1</v>
      </c>
    </row>
    <row r="1721" spans="1:13">
      <c r="A1721">
        <v>1720</v>
      </c>
      <c r="B1721" t="s">
        <v>11</v>
      </c>
      <c r="C1721">
        <v>48</v>
      </c>
      <c r="D1721" t="str" cm="1">
        <f t="array" ref="D1721">_xlfn.IFS(Table2[[#This Row],[Age]]&lt;=11,"Gen A",Table2[[#This Row],[Age]]&lt;=27,"Gen Z",Table2[[#This Row],[Age]]&lt;=43,"Millenials",Table2[[#This Row],[Age]]&lt;=59,"Gen X",Table2[[#This Row],[Age]]&lt;=78,"Baby Boomers",Table2[[#This Row],[Age]]&lt;=96,"Silent",Table2[[#This Row],[Age]]&gt;=97,"Greatest")</f>
        <v>Gen X</v>
      </c>
      <c r="E1721" s="1">
        <v>74308</v>
      </c>
      <c r="F1721">
        <v>23</v>
      </c>
      <c r="G1721" t="str" cm="1">
        <f t="array" ref="G1721">_xlfn.IFS(Table2[[#This Row],[Spending Score (1-100)]]&lt;=25,"Low",Table2[[#This Row],[Spending Score (1-100)]]&lt;=50,"Medium",Table2[[#This Row],[Spending Score (1-100)]]&lt;=75,"High",Table2[[#This Row],[Spending Score (1-100)]]&lt;=100,"Very High")</f>
        <v>Low</v>
      </c>
      <c r="H1721" t="s">
        <v>13</v>
      </c>
      <c r="I1721">
        <v>1</v>
      </c>
      <c r="J1721" t="str">
        <f>CONCATENATE(Table2[[#This Row],[Work Experience]],"years")</f>
        <v>1years</v>
      </c>
      <c r="K1721" t="str">
        <f>CONCATENATE(Table2[[#This Row],[Family Size2]],"members")</f>
        <v>2members</v>
      </c>
      <c r="L1721" t="str">
        <f>CONCATENATE(Table2[[#This Row],[Family Size2]],"members")</f>
        <v>2members</v>
      </c>
      <c r="M1721">
        <v>2</v>
      </c>
    </row>
    <row r="1722" spans="1:13">
      <c r="A1722">
        <v>1721</v>
      </c>
      <c r="B1722" t="s">
        <v>11</v>
      </c>
      <c r="C1722">
        <v>41</v>
      </c>
      <c r="D1722" t="str" cm="1">
        <f t="array" ref="D1722">_xlfn.IFS(Table2[[#This Row],[Age]]&lt;=11,"Gen A",Table2[[#This Row],[Age]]&lt;=27,"Gen Z",Table2[[#This Row],[Age]]&lt;=43,"Millenials",Table2[[#This Row],[Age]]&lt;=59,"Gen X",Table2[[#This Row],[Age]]&lt;=78,"Baby Boomers",Table2[[#This Row],[Age]]&lt;=96,"Silent",Table2[[#This Row],[Age]]&gt;=97,"Greatest")</f>
        <v>Millenials</v>
      </c>
      <c r="E1722" s="1">
        <v>155881</v>
      </c>
      <c r="F1722">
        <v>22</v>
      </c>
      <c r="G1722" t="str" cm="1">
        <f t="array" ref="G1722">_xlfn.IFS(Table2[[#This Row],[Spending Score (1-100)]]&lt;=25,"Low",Table2[[#This Row],[Spending Score (1-100)]]&lt;=50,"Medium",Table2[[#This Row],[Spending Score (1-100)]]&lt;=75,"High",Table2[[#This Row],[Spending Score (1-100)]]&lt;=100,"Very High")</f>
        <v>Low</v>
      </c>
      <c r="H1722" t="s">
        <v>12</v>
      </c>
      <c r="I1722">
        <v>0</v>
      </c>
      <c r="J1722" t="str">
        <f>CONCATENATE(Table2[[#This Row],[Work Experience]],"years")</f>
        <v>0years</v>
      </c>
      <c r="K1722" t="str">
        <f>CONCATENATE(Table2[[#This Row],[Family Size2]],"members")</f>
        <v>7members</v>
      </c>
      <c r="L1722" t="str">
        <f>CONCATENATE(Table2[[#This Row],[Family Size2]],"members")</f>
        <v>7members</v>
      </c>
      <c r="M1722">
        <v>7</v>
      </c>
    </row>
    <row r="1723" spans="1:13">
      <c r="A1723">
        <v>1722</v>
      </c>
      <c r="B1723" t="s">
        <v>11</v>
      </c>
      <c r="C1723">
        <v>92</v>
      </c>
      <c r="D1723" t="str" cm="1">
        <f t="array" ref="D1723">_xlfn.IFS(Table2[[#This Row],[Age]]&lt;=11,"Gen A",Table2[[#This Row],[Age]]&lt;=27,"Gen Z",Table2[[#This Row],[Age]]&lt;=43,"Millenials",Table2[[#This Row],[Age]]&lt;=59,"Gen X",Table2[[#This Row],[Age]]&lt;=78,"Baby Boomers",Table2[[#This Row],[Age]]&lt;=96,"Silent",Table2[[#This Row],[Age]]&gt;=97,"Greatest")</f>
        <v>Silent</v>
      </c>
      <c r="E1723" s="1">
        <v>168303</v>
      </c>
      <c r="F1723">
        <v>16</v>
      </c>
      <c r="G1723" t="str" cm="1">
        <f t="array" ref="G1723">_xlfn.IFS(Table2[[#This Row],[Spending Score (1-100)]]&lt;=25,"Low",Table2[[#This Row],[Spending Score (1-100)]]&lt;=50,"Medium",Table2[[#This Row],[Spending Score (1-100)]]&lt;=75,"High",Table2[[#This Row],[Spending Score (1-100)]]&lt;=100,"Very High")</f>
        <v>Low</v>
      </c>
      <c r="H1723" t="s">
        <v>15</v>
      </c>
      <c r="I1723">
        <v>9</v>
      </c>
      <c r="J1723" t="str">
        <f>CONCATENATE(Table2[[#This Row],[Work Experience]],"years")</f>
        <v>9years</v>
      </c>
      <c r="K1723" t="str">
        <f>CONCATENATE(Table2[[#This Row],[Family Size2]],"members")</f>
        <v>4members</v>
      </c>
      <c r="L1723" t="str">
        <f>CONCATENATE(Table2[[#This Row],[Family Size2]],"members")</f>
        <v>4members</v>
      </c>
      <c r="M1723">
        <v>4</v>
      </c>
    </row>
    <row r="1724" spans="1:13">
      <c r="A1724">
        <v>1723</v>
      </c>
      <c r="B1724" t="s">
        <v>8</v>
      </c>
      <c r="C1724">
        <v>44</v>
      </c>
      <c r="D1724" t="str" cm="1">
        <f t="array" ref="D1724">_xlfn.IFS(Table2[[#This Row],[Age]]&lt;=11,"Gen A",Table2[[#This Row],[Age]]&lt;=27,"Gen Z",Table2[[#This Row],[Age]]&lt;=43,"Millenials",Table2[[#This Row],[Age]]&lt;=59,"Gen X",Table2[[#This Row],[Age]]&lt;=78,"Baby Boomers",Table2[[#This Row],[Age]]&lt;=96,"Silent",Table2[[#This Row],[Age]]&gt;=97,"Greatest")</f>
        <v>Gen X</v>
      </c>
      <c r="E1724" s="1">
        <v>182748</v>
      </c>
      <c r="F1724">
        <v>58</v>
      </c>
      <c r="G1724" t="str" cm="1">
        <f t="array" ref="G1724">_xlfn.IFS(Table2[[#This Row],[Spending Score (1-100)]]&lt;=25,"Low",Table2[[#This Row],[Spending Score (1-100)]]&lt;=50,"Medium",Table2[[#This Row],[Spending Score (1-100)]]&lt;=75,"High",Table2[[#This Row],[Spending Score (1-100)]]&lt;=100,"Very High")</f>
        <v>High</v>
      </c>
      <c r="H1724" t="s">
        <v>10</v>
      </c>
      <c r="I1724">
        <v>1</v>
      </c>
      <c r="J1724" t="str">
        <f>CONCATENATE(Table2[[#This Row],[Work Experience]],"years")</f>
        <v>1years</v>
      </c>
      <c r="K1724" t="str">
        <f>CONCATENATE(Table2[[#This Row],[Family Size2]],"members")</f>
        <v>7members</v>
      </c>
      <c r="L1724" t="str">
        <f>CONCATENATE(Table2[[#This Row],[Family Size2]],"members")</f>
        <v>7members</v>
      </c>
      <c r="M1724">
        <v>7</v>
      </c>
    </row>
    <row r="1725" spans="1:13">
      <c r="A1725">
        <v>1724</v>
      </c>
      <c r="B1725" t="s">
        <v>11</v>
      </c>
      <c r="C1725">
        <v>35</v>
      </c>
      <c r="D1725" t="str" cm="1">
        <f t="array" ref="D1725">_xlfn.IFS(Table2[[#This Row],[Age]]&lt;=11,"Gen A",Table2[[#This Row],[Age]]&lt;=27,"Gen Z",Table2[[#This Row],[Age]]&lt;=43,"Millenials",Table2[[#This Row],[Age]]&lt;=59,"Gen X",Table2[[#This Row],[Age]]&lt;=78,"Baby Boomers",Table2[[#This Row],[Age]]&lt;=96,"Silent",Table2[[#This Row],[Age]]&gt;=97,"Greatest")</f>
        <v>Millenials</v>
      </c>
      <c r="E1725" s="1">
        <v>52374</v>
      </c>
      <c r="F1725">
        <v>73</v>
      </c>
      <c r="G1725" t="str" cm="1">
        <f t="array" ref="G1725">_xlfn.IFS(Table2[[#This Row],[Spending Score (1-100)]]&lt;=25,"Low",Table2[[#This Row],[Spending Score (1-100)]]&lt;=50,"Medium",Table2[[#This Row],[Spending Score (1-100)]]&lt;=75,"High",Table2[[#This Row],[Spending Score (1-100)]]&lt;=100,"Very High")</f>
        <v>High</v>
      </c>
      <c r="H1725" t="s">
        <v>14</v>
      </c>
      <c r="I1725">
        <v>1</v>
      </c>
      <c r="J1725" t="str">
        <f>CONCATENATE(Table2[[#This Row],[Work Experience]],"years")</f>
        <v>1years</v>
      </c>
      <c r="K1725" t="str">
        <f>CONCATENATE(Table2[[#This Row],[Family Size2]],"members")</f>
        <v>1members</v>
      </c>
      <c r="L1725" t="str">
        <f>CONCATENATE(Table2[[#This Row],[Family Size2]],"members")</f>
        <v>1members</v>
      </c>
      <c r="M1725">
        <v>1</v>
      </c>
    </row>
    <row r="1726" spans="1:13">
      <c r="A1726">
        <v>1725</v>
      </c>
      <c r="B1726" t="s">
        <v>11</v>
      </c>
      <c r="C1726">
        <v>34</v>
      </c>
      <c r="D1726" t="str" cm="1">
        <f t="array" ref="D1726">_xlfn.IFS(Table2[[#This Row],[Age]]&lt;=11,"Gen A",Table2[[#This Row],[Age]]&lt;=27,"Gen Z",Table2[[#This Row],[Age]]&lt;=43,"Millenials",Table2[[#This Row],[Age]]&lt;=59,"Gen X",Table2[[#This Row],[Age]]&lt;=78,"Baby Boomers",Table2[[#This Row],[Age]]&lt;=96,"Silent",Table2[[#This Row],[Age]]&gt;=97,"Greatest")</f>
        <v>Millenials</v>
      </c>
      <c r="E1726" s="1">
        <v>86154</v>
      </c>
      <c r="F1726">
        <v>17</v>
      </c>
      <c r="G1726" t="str" cm="1">
        <f t="array" ref="G1726">_xlfn.IFS(Table2[[#This Row],[Spending Score (1-100)]]&lt;=25,"Low",Table2[[#This Row],[Spending Score (1-100)]]&lt;=50,"Medium",Table2[[#This Row],[Spending Score (1-100)]]&lt;=75,"High",Table2[[#This Row],[Spending Score (1-100)]]&lt;=100,"Very High")</f>
        <v>Low</v>
      </c>
      <c r="H1726" t="s">
        <v>16</v>
      </c>
      <c r="I1726">
        <v>1</v>
      </c>
      <c r="J1726" t="str">
        <f>CONCATENATE(Table2[[#This Row],[Work Experience]],"years")</f>
        <v>1years</v>
      </c>
      <c r="K1726" t="str">
        <f>CONCATENATE(Table2[[#This Row],[Family Size2]],"members")</f>
        <v>2members</v>
      </c>
      <c r="L1726" t="str">
        <f>CONCATENATE(Table2[[#This Row],[Family Size2]],"members")</f>
        <v>2members</v>
      </c>
      <c r="M1726">
        <v>2</v>
      </c>
    </row>
    <row r="1727" spans="1:13">
      <c r="A1727">
        <v>1726</v>
      </c>
      <c r="B1727" t="s">
        <v>11</v>
      </c>
      <c r="C1727">
        <v>52</v>
      </c>
      <c r="D1727" t="str" cm="1">
        <f t="array" ref="D1727">_xlfn.IFS(Table2[[#This Row],[Age]]&lt;=11,"Gen A",Table2[[#This Row],[Age]]&lt;=27,"Gen Z",Table2[[#This Row],[Age]]&lt;=43,"Millenials",Table2[[#This Row],[Age]]&lt;=59,"Gen X",Table2[[#This Row],[Age]]&lt;=78,"Baby Boomers",Table2[[#This Row],[Age]]&lt;=96,"Silent",Table2[[#This Row],[Age]]&gt;=97,"Greatest")</f>
        <v>Gen X</v>
      </c>
      <c r="E1727" s="1">
        <v>163612</v>
      </c>
      <c r="F1727">
        <v>51</v>
      </c>
      <c r="G1727" t="str" cm="1">
        <f t="array" ref="G1727">_xlfn.IFS(Table2[[#This Row],[Spending Score (1-100)]]&lt;=25,"Low",Table2[[#This Row],[Spending Score (1-100)]]&lt;=50,"Medium",Table2[[#This Row],[Spending Score (1-100)]]&lt;=75,"High",Table2[[#This Row],[Spending Score (1-100)]]&lt;=100,"Very High")</f>
        <v>High</v>
      </c>
      <c r="H1727" t="s">
        <v>15</v>
      </c>
      <c r="I1727">
        <v>0</v>
      </c>
      <c r="J1727" t="str">
        <f>CONCATENATE(Table2[[#This Row],[Work Experience]],"years")</f>
        <v>0years</v>
      </c>
      <c r="K1727" t="str">
        <f>CONCATENATE(Table2[[#This Row],[Family Size2]],"members")</f>
        <v>5members</v>
      </c>
      <c r="L1727" t="str">
        <f>CONCATENATE(Table2[[#This Row],[Family Size2]],"members")</f>
        <v>5members</v>
      </c>
      <c r="M1727">
        <v>5</v>
      </c>
    </row>
    <row r="1728" spans="1:13">
      <c r="A1728">
        <v>1727</v>
      </c>
      <c r="B1728" t="s">
        <v>11</v>
      </c>
      <c r="C1728">
        <v>64</v>
      </c>
      <c r="D1728" t="str" cm="1">
        <f t="array" ref="D1728">_xlfn.IFS(Table2[[#This Row],[Age]]&lt;=11,"Gen A",Table2[[#This Row],[Age]]&lt;=27,"Gen Z",Table2[[#This Row],[Age]]&lt;=43,"Millenials",Table2[[#This Row],[Age]]&lt;=59,"Gen X",Table2[[#This Row],[Age]]&lt;=78,"Baby Boomers",Table2[[#This Row],[Age]]&lt;=96,"Silent",Table2[[#This Row],[Age]]&gt;=97,"Greatest")</f>
        <v>Baby Boomers</v>
      </c>
      <c r="E1728" s="1">
        <v>64756</v>
      </c>
      <c r="F1728">
        <v>17</v>
      </c>
      <c r="G1728" t="str" cm="1">
        <f t="array" ref="G1728">_xlfn.IFS(Table2[[#This Row],[Spending Score (1-100)]]&lt;=25,"Low",Table2[[#This Row],[Spending Score (1-100)]]&lt;=50,"Medium",Table2[[#This Row],[Spending Score (1-100)]]&lt;=75,"High",Table2[[#This Row],[Spending Score (1-100)]]&lt;=100,"Very High")</f>
        <v>Low</v>
      </c>
      <c r="H1728" t="s">
        <v>18</v>
      </c>
      <c r="I1728">
        <v>10</v>
      </c>
      <c r="J1728" t="str">
        <f>CONCATENATE(Table2[[#This Row],[Work Experience]],"years")</f>
        <v>10years</v>
      </c>
      <c r="K1728" t="str">
        <f>CONCATENATE(Table2[[#This Row],[Family Size2]],"members")</f>
        <v>1members</v>
      </c>
      <c r="L1728" t="str">
        <f>CONCATENATE(Table2[[#This Row],[Family Size2]],"members")</f>
        <v>1members</v>
      </c>
      <c r="M1728">
        <v>1</v>
      </c>
    </row>
    <row r="1729" spans="1:13">
      <c r="A1729">
        <v>1728</v>
      </c>
      <c r="B1729" t="s">
        <v>8</v>
      </c>
      <c r="C1729">
        <v>62</v>
      </c>
      <c r="D1729" t="str" cm="1">
        <f t="array" ref="D1729">_xlfn.IFS(Table2[[#This Row],[Age]]&lt;=11,"Gen A",Table2[[#This Row],[Age]]&lt;=27,"Gen Z",Table2[[#This Row],[Age]]&lt;=43,"Millenials",Table2[[#This Row],[Age]]&lt;=59,"Gen X",Table2[[#This Row],[Age]]&lt;=78,"Baby Boomers",Table2[[#This Row],[Age]]&lt;=96,"Silent",Table2[[#This Row],[Age]]&gt;=97,"Greatest")</f>
        <v>Baby Boomers</v>
      </c>
      <c r="E1729" s="1">
        <v>185257</v>
      </c>
      <c r="F1729">
        <v>58</v>
      </c>
      <c r="G1729" t="str" cm="1">
        <f t="array" ref="G1729">_xlfn.IFS(Table2[[#This Row],[Spending Score (1-100)]]&lt;=25,"Low",Table2[[#This Row],[Spending Score (1-100)]]&lt;=50,"Medium",Table2[[#This Row],[Spending Score (1-100)]]&lt;=75,"High",Table2[[#This Row],[Spending Score (1-100)]]&lt;=100,"Very High")</f>
        <v>High</v>
      </c>
      <c r="H1729" t="s">
        <v>14</v>
      </c>
      <c r="I1729">
        <v>1</v>
      </c>
      <c r="J1729" t="str">
        <f>CONCATENATE(Table2[[#This Row],[Work Experience]],"years")</f>
        <v>1years</v>
      </c>
      <c r="K1729" t="str">
        <f>CONCATENATE(Table2[[#This Row],[Family Size2]],"members")</f>
        <v>4members</v>
      </c>
      <c r="L1729" t="str">
        <f>CONCATENATE(Table2[[#This Row],[Family Size2]],"members")</f>
        <v>4members</v>
      </c>
      <c r="M1729">
        <v>4</v>
      </c>
    </row>
    <row r="1730" spans="1:13">
      <c r="A1730">
        <v>1729</v>
      </c>
      <c r="B1730" t="s">
        <v>8</v>
      </c>
      <c r="C1730">
        <v>58</v>
      </c>
      <c r="D1730" t="str" cm="1">
        <f t="array" ref="D1730">_xlfn.IFS(Table2[[#This Row],[Age]]&lt;=11,"Gen A",Table2[[#This Row],[Age]]&lt;=27,"Gen Z",Table2[[#This Row],[Age]]&lt;=43,"Millenials",Table2[[#This Row],[Age]]&lt;=59,"Gen X",Table2[[#This Row],[Age]]&lt;=78,"Baby Boomers",Table2[[#This Row],[Age]]&lt;=96,"Silent",Table2[[#This Row],[Age]]&gt;=97,"Greatest")</f>
        <v>Gen X</v>
      </c>
      <c r="E1730" s="1">
        <v>78669</v>
      </c>
      <c r="F1730">
        <v>75</v>
      </c>
      <c r="G1730" t="str" cm="1">
        <f t="array" ref="G1730">_xlfn.IFS(Table2[[#This Row],[Spending Score (1-100)]]&lt;=25,"Low",Table2[[#This Row],[Spending Score (1-100)]]&lt;=50,"Medium",Table2[[#This Row],[Spending Score (1-100)]]&lt;=75,"High",Table2[[#This Row],[Spending Score (1-100)]]&lt;=100,"Very High")</f>
        <v>High</v>
      </c>
      <c r="H1730" t="s">
        <v>14</v>
      </c>
      <c r="I1730">
        <v>1</v>
      </c>
      <c r="J1730" t="str">
        <f>CONCATENATE(Table2[[#This Row],[Work Experience]],"years")</f>
        <v>1years</v>
      </c>
      <c r="K1730" t="str">
        <f>CONCATENATE(Table2[[#This Row],[Family Size2]],"members")</f>
        <v>7members</v>
      </c>
      <c r="L1730" t="str">
        <f>CONCATENATE(Table2[[#This Row],[Family Size2]],"members")</f>
        <v>7members</v>
      </c>
      <c r="M1730">
        <v>7</v>
      </c>
    </row>
    <row r="1731" spans="1:13">
      <c r="A1731">
        <v>1730</v>
      </c>
      <c r="B1731" t="s">
        <v>8</v>
      </c>
      <c r="C1731">
        <v>15</v>
      </c>
      <c r="D1731" t="str" cm="1">
        <f t="array" ref="D1731">_xlfn.IFS(Table2[[#This Row],[Age]]&lt;=11,"Gen A",Table2[[#This Row],[Age]]&lt;=27,"Gen Z",Table2[[#This Row],[Age]]&lt;=43,"Millenials",Table2[[#This Row],[Age]]&lt;=59,"Gen X",Table2[[#This Row],[Age]]&lt;=78,"Baby Boomers",Table2[[#This Row],[Age]]&lt;=96,"Silent",Table2[[#This Row],[Age]]&gt;=97,"Greatest")</f>
        <v>Gen Z</v>
      </c>
      <c r="E1731" s="1">
        <v>164520</v>
      </c>
      <c r="F1731">
        <v>47</v>
      </c>
      <c r="G1731" t="str" cm="1">
        <f t="array" ref="G1731">_xlfn.IFS(Table2[[#This Row],[Spending Score (1-100)]]&lt;=25,"Low",Table2[[#This Row],[Spending Score (1-100)]]&lt;=50,"Medium",Table2[[#This Row],[Spending Score (1-100)]]&lt;=75,"High",Table2[[#This Row],[Spending Score (1-100)]]&lt;=100,"Very High")</f>
        <v>Medium</v>
      </c>
      <c r="H1731" t="s">
        <v>14</v>
      </c>
      <c r="I1731">
        <v>1</v>
      </c>
      <c r="J1731" t="str">
        <f>CONCATENATE(Table2[[#This Row],[Work Experience]],"years")</f>
        <v>1years</v>
      </c>
      <c r="K1731" t="str">
        <f>CONCATENATE(Table2[[#This Row],[Family Size2]],"members")</f>
        <v>7members</v>
      </c>
      <c r="L1731" t="str">
        <f>CONCATENATE(Table2[[#This Row],[Family Size2]],"members")</f>
        <v>7members</v>
      </c>
      <c r="M1731">
        <v>7</v>
      </c>
    </row>
    <row r="1732" spans="1:13">
      <c r="A1732">
        <v>1731</v>
      </c>
      <c r="B1732" t="s">
        <v>11</v>
      </c>
      <c r="C1732">
        <v>65</v>
      </c>
      <c r="D1732" t="str" cm="1">
        <f t="array" ref="D1732">_xlfn.IFS(Table2[[#This Row],[Age]]&lt;=11,"Gen A",Table2[[#This Row],[Age]]&lt;=27,"Gen Z",Table2[[#This Row],[Age]]&lt;=43,"Millenials",Table2[[#This Row],[Age]]&lt;=59,"Gen X",Table2[[#This Row],[Age]]&lt;=78,"Baby Boomers",Table2[[#This Row],[Age]]&lt;=96,"Silent",Table2[[#This Row],[Age]]&gt;=97,"Greatest")</f>
        <v>Baby Boomers</v>
      </c>
      <c r="E1732" s="1">
        <v>92135</v>
      </c>
      <c r="F1732">
        <v>49</v>
      </c>
      <c r="G1732" t="str" cm="1">
        <f t="array" ref="G1732">_xlfn.IFS(Table2[[#This Row],[Spending Score (1-100)]]&lt;=25,"Low",Table2[[#This Row],[Spending Score (1-100)]]&lt;=50,"Medium",Table2[[#This Row],[Spending Score (1-100)]]&lt;=75,"High",Table2[[#This Row],[Spending Score (1-100)]]&lt;=100,"Very High")</f>
        <v>Medium</v>
      </c>
      <c r="H1732" t="s">
        <v>17</v>
      </c>
      <c r="I1732">
        <v>6</v>
      </c>
      <c r="J1732" t="str">
        <f>CONCATENATE(Table2[[#This Row],[Work Experience]],"years")</f>
        <v>6years</v>
      </c>
      <c r="K1732" t="str">
        <f>CONCATENATE(Table2[[#This Row],[Family Size2]],"members")</f>
        <v>4members</v>
      </c>
      <c r="L1732" t="str">
        <f>CONCATENATE(Table2[[#This Row],[Family Size2]],"members")</f>
        <v>4members</v>
      </c>
      <c r="M1732">
        <v>4</v>
      </c>
    </row>
    <row r="1733" spans="1:13">
      <c r="A1733">
        <v>1732</v>
      </c>
      <c r="B1733" t="s">
        <v>8</v>
      </c>
      <c r="C1733">
        <v>20</v>
      </c>
      <c r="D1733" t="str" cm="1">
        <f t="array" ref="D1733">_xlfn.IFS(Table2[[#This Row],[Age]]&lt;=11,"Gen A",Table2[[#This Row],[Age]]&lt;=27,"Gen Z",Table2[[#This Row],[Age]]&lt;=43,"Millenials",Table2[[#This Row],[Age]]&lt;=59,"Gen X",Table2[[#This Row],[Age]]&lt;=78,"Baby Boomers",Table2[[#This Row],[Age]]&lt;=96,"Silent",Table2[[#This Row],[Age]]&gt;=97,"Greatest")</f>
        <v>Gen Z</v>
      </c>
      <c r="E1733" s="1">
        <v>103195</v>
      </c>
      <c r="F1733">
        <v>68</v>
      </c>
      <c r="G1733" t="str" cm="1">
        <f t="array" ref="G1733">_xlfn.IFS(Table2[[#This Row],[Spending Score (1-100)]]&lt;=25,"Low",Table2[[#This Row],[Spending Score (1-100)]]&lt;=50,"Medium",Table2[[#This Row],[Spending Score (1-100)]]&lt;=75,"High",Table2[[#This Row],[Spending Score (1-100)]]&lt;=100,"Very High")</f>
        <v>High</v>
      </c>
      <c r="H1733" t="s">
        <v>16</v>
      </c>
      <c r="I1733">
        <v>0</v>
      </c>
      <c r="J1733" t="str">
        <f>CONCATENATE(Table2[[#This Row],[Work Experience]],"years")</f>
        <v>0years</v>
      </c>
      <c r="K1733" t="str">
        <f>CONCATENATE(Table2[[#This Row],[Family Size2]],"members")</f>
        <v>7members</v>
      </c>
      <c r="L1733" t="str">
        <f>CONCATENATE(Table2[[#This Row],[Family Size2]],"members")</f>
        <v>7members</v>
      </c>
      <c r="M1733">
        <v>7</v>
      </c>
    </row>
    <row r="1734" spans="1:13">
      <c r="A1734">
        <v>1733</v>
      </c>
      <c r="B1734" t="s">
        <v>11</v>
      </c>
      <c r="C1734">
        <v>21</v>
      </c>
      <c r="D1734" t="str" cm="1">
        <f t="array" ref="D1734">_xlfn.IFS(Table2[[#This Row],[Age]]&lt;=11,"Gen A",Table2[[#This Row],[Age]]&lt;=27,"Gen Z",Table2[[#This Row],[Age]]&lt;=43,"Millenials",Table2[[#This Row],[Age]]&lt;=59,"Gen X",Table2[[#This Row],[Age]]&lt;=78,"Baby Boomers",Table2[[#This Row],[Age]]&lt;=96,"Silent",Table2[[#This Row],[Age]]&gt;=97,"Greatest")</f>
        <v>Gen Z</v>
      </c>
      <c r="E1734" s="1">
        <v>161663</v>
      </c>
      <c r="F1734">
        <v>36</v>
      </c>
      <c r="G1734" t="str" cm="1">
        <f t="array" ref="G1734">_xlfn.IFS(Table2[[#This Row],[Spending Score (1-100)]]&lt;=25,"Low",Table2[[#This Row],[Spending Score (1-100)]]&lt;=50,"Medium",Table2[[#This Row],[Spending Score (1-100)]]&lt;=75,"High",Table2[[#This Row],[Spending Score (1-100)]]&lt;=100,"Very High")</f>
        <v>Medium</v>
      </c>
      <c r="H1734" t="s">
        <v>15</v>
      </c>
      <c r="I1734">
        <v>1</v>
      </c>
      <c r="J1734" t="str">
        <f>CONCATENATE(Table2[[#This Row],[Work Experience]],"years")</f>
        <v>1years</v>
      </c>
      <c r="K1734" t="str">
        <f>CONCATENATE(Table2[[#This Row],[Family Size2]],"members")</f>
        <v>7members</v>
      </c>
      <c r="L1734" t="str">
        <f>CONCATENATE(Table2[[#This Row],[Family Size2]],"members")</f>
        <v>7members</v>
      </c>
      <c r="M1734">
        <v>7</v>
      </c>
    </row>
    <row r="1735" spans="1:13">
      <c r="A1735">
        <v>1734</v>
      </c>
      <c r="B1735" t="s">
        <v>11</v>
      </c>
      <c r="C1735">
        <v>79</v>
      </c>
      <c r="D1735" t="str" cm="1">
        <f t="array" ref="D1735">_xlfn.IFS(Table2[[#This Row],[Age]]&lt;=11,"Gen A",Table2[[#This Row],[Age]]&lt;=27,"Gen Z",Table2[[#This Row],[Age]]&lt;=43,"Millenials",Table2[[#This Row],[Age]]&lt;=59,"Gen X",Table2[[#This Row],[Age]]&lt;=78,"Baby Boomers",Table2[[#This Row],[Age]]&lt;=96,"Silent",Table2[[#This Row],[Age]]&gt;=97,"Greatest")</f>
        <v>Silent</v>
      </c>
      <c r="E1735" s="1">
        <v>57039</v>
      </c>
      <c r="F1735">
        <v>34</v>
      </c>
      <c r="G1735" t="str" cm="1">
        <f t="array" ref="G1735">_xlfn.IFS(Table2[[#This Row],[Spending Score (1-100)]]&lt;=25,"Low",Table2[[#This Row],[Spending Score (1-100)]]&lt;=50,"Medium",Table2[[#This Row],[Spending Score (1-100)]]&lt;=75,"High",Table2[[#This Row],[Spending Score (1-100)]]&lt;=100,"Very High")</f>
        <v>Medium</v>
      </c>
      <c r="H1735" t="s">
        <v>14</v>
      </c>
      <c r="I1735">
        <v>2</v>
      </c>
      <c r="J1735" t="str">
        <f>CONCATENATE(Table2[[#This Row],[Work Experience]],"years")</f>
        <v>2years</v>
      </c>
      <c r="K1735" t="str">
        <f>CONCATENATE(Table2[[#This Row],[Family Size2]],"members")</f>
        <v>6members</v>
      </c>
      <c r="L1735" t="str">
        <f>CONCATENATE(Table2[[#This Row],[Family Size2]],"members")</f>
        <v>6members</v>
      </c>
      <c r="M1735">
        <v>6</v>
      </c>
    </row>
    <row r="1736" spans="1:13">
      <c r="A1736">
        <v>1735</v>
      </c>
      <c r="B1736" t="s">
        <v>11</v>
      </c>
      <c r="C1736">
        <v>91</v>
      </c>
      <c r="D1736" t="str" cm="1">
        <f t="array" ref="D1736">_xlfn.IFS(Table2[[#This Row],[Age]]&lt;=11,"Gen A",Table2[[#This Row],[Age]]&lt;=27,"Gen Z",Table2[[#This Row],[Age]]&lt;=43,"Millenials",Table2[[#This Row],[Age]]&lt;=59,"Gen X",Table2[[#This Row],[Age]]&lt;=78,"Baby Boomers",Table2[[#This Row],[Age]]&lt;=96,"Silent",Table2[[#This Row],[Age]]&gt;=97,"Greatest")</f>
        <v>Silent</v>
      </c>
      <c r="E1736" s="1">
        <v>54754</v>
      </c>
      <c r="F1736">
        <v>4</v>
      </c>
      <c r="G1736" t="str" cm="1">
        <f t="array" ref="G1736">_xlfn.IFS(Table2[[#This Row],[Spending Score (1-100)]]&lt;=25,"Low",Table2[[#This Row],[Spending Score (1-100)]]&lt;=50,"Medium",Table2[[#This Row],[Spending Score (1-100)]]&lt;=75,"High",Table2[[#This Row],[Spending Score (1-100)]]&lt;=100,"Very High")</f>
        <v>Low</v>
      </c>
      <c r="H1736" t="s">
        <v>14</v>
      </c>
      <c r="I1736">
        <v>0</v>
      </c>
      <c r="J1736" t="str">
        <f>CONCATENATE(Table2[[#This Row],[Work Experience]],"years")</f>
        <v>0years</v>
      </c>
      <c r="K1736" t="str">
        <f>CONCATENATE(Table2[[#This Row],[Family Size2]],"members")</f>
        <v>2members</v>
      </c>
      <c r="L1736" t="str">
        <f>CONCATENATE(Table2[[#This Row],[Family Size2]],"members")</f>
        <v>2members</v>
      </c>
      <c r="M1736">
        <v>2</v>
      </c>
    </row>
    <row r="1737" spans="1:13">
      <c r="A1737">
        <v>1736</v>
      </c>
      <c r="B1737" t="s">
        <v>11</v>
      </c>
      <c r="C1737">
        <v>92</v>
      </c>
      <c r="D1737" t="str" cm="1">
        <f t="array" ref="D1737">_xlfn.IFS(Table2[[#This Row],[Age]]&lt;=11,"Gen A",Table2[[#This Row],[Age]]&lt;=27,"Gen Z",Table2[[#This Row],[Age]]&lt;=43,"Millenials",Table2[[#This Row],[Age]]&lt;=59,"Gen X",Table2[[#This Row],[Age]]&lt;=78,"Baby Boomers",Table2[[#This Row],[Age]]&lt;=96,"Silent",Table2[[#This Row],[Age]]&gt;=97,"Greatest")</f>
        <v>Silent</v>
      </c>
      <c r="E1737" s="1">
        <v>136531</v>
      </c>
      <c r="F1737">
        <v>76</v>
      </c>
      <c r="G1737" t="str" cm="1">
        <f t="array" ref="G1737">_xlfn.IFS(Table2[[#This Row],[Spending Score (1-100)]]&lt;=25,"Low",Table2[[#This Row],[Spending Score (1-100)]]&lt;=50,"Medium",Table2[[#This Row],[Spending Score (1-100)]]&lt;=75,"High",Table2[[#This Row],[Spending Score (1-100)]]&lt;=100,"Very High")</f>
        <v>Very High</v>
      </c>
      <c r="H1737" t="s">
        <v>10</v>
      </c>
      <c r="I1737">
        <v>1</v>
      </c>
      <c r="J1737" t="str">
        <f>CONCATENATE(Table2[[#This Row],[Work Experience]],"years")</f>
        <v>1years</v>
      </c>
      <c r="K1737" t="str">
        <f>CONCATENATE(Table2[[#This Row],[Family Size2]],"members")</f>
        <v>4members</v>
      </c>
      <c r="L1737" t="str">
        <f>CONCATENATE(Table2[[#This Row],[Family Size2]],"members")</f>
        <v>4members</v>
      </c>
      <c r="M1737">
        <v>4</v>
      </c>
    </row>
    <row r="1738" spans="1:13">
      <c r="A1738">
        <v>1737</v>
      </c>
      <c r="B1738" t="s">
        <v>8</v>
      </c>
      <c r="C1738">
        <v>62</v>
      </c>
      <c r="D1738" t="str" cm="1">
        <f t="array" ref="D1738">_xlfn.IFS(Table2[[#This Row],[Age]]&lt;=11,"Gen A",Table2[[#This Row],[Age]]&lt;=27,"Gen Z",Table2[[#This Row],[Age]]&lt;=43,"Millenials",Table2[[#This Row],[Age]]&lt;=59,"Gen X",Table2[[#This Row],[Age]]&lt;=78,"Baby Boomers",Table2[[#This Row],[Age]]&lt;=96,"Silent",Table2[[#This Row],[Age]]&gt;=97,"Greatest")</f>
        <v>Baby Boomers</v>
      </c>
      <c r="E1738" s="1">
        <v>120838</v>
      </c>
      <c r="F1738">
        <v>79</v>
      </c>
      <c r="G1738" t="str" cm="1">
        <f t="array" ref="G1738">_xlfn.IFS(Table2[[#This Row],[Spending Score (1-100)]]&lt;=25,"Low",Table2[[#This Row],[Spending Score (1-100)]]&lt;=50,"Medium",Table2[[#This Row],[Spending Score (1-100)]]&lt;=75,"High",Table2[[#This Row],[Spending Score (1-100)]]&lt;=100,"Very High")</f>
        <v>Very High</v>
      </c>
      <c r="H1738" t="s">
        <v>14</v>
      </c>
      <c r="I1738">
        <v>1</v>
      </c>
      <c r="J1738" t="str">
        <f>CONCATENATE(Table2[[#This Row],[Work Experience]],"years")</f>
        <v>1years</v>
      </c>
      <c r="K1738" t="str">
        <f>CONCATENATE(Table2[[#This Row],[Family Size2]],"members")</f>
        <v>4members</v>
      </c>
      <c r="L1738" t="str">
        <f>CONCATENATE(Table2[[#This Row],[Family Size2]],"members")</f>
        <v>4members</v>
      </c>
      <c r="M1738">
        <v>4</v>
      </c>
    </row>
    <row r="1739" spans="1:13">
      <c r="A1739">
        <v>1738</v>
      </c>
      <c r="B1739" t="s">
        <v>8</v>
      </c>
      <c r="C1739">
        <v>94</v>
      </c>
      <c r="D1739" t="str" cm="1">
        <f t="array" ref="D1739">_xlfn.IFS(Table2[[#This Row],[Age]]&lt;=11,"Gen A",Table2[[#This Row],[Age]]&lt;=27,"Gen Z",Table2[[#This Row],[Age]]&lt;=43,"Millenials",Table2[[#This Row],[Age]]&lt;=59,"Gen X",Table2[[#This Row],[Age]]&lt;=78,"Baby Boomers",Table2[[#This Row],[Age]]&lt;=96,"Silent",Table2[[#This Row],[Age]]&gt;=97,"Greatest")</f>
        <v>Silent</v>
      </c>
      <c r="E1739" s="1">
        <v>127927</v>
      </c>
      <c r="F1739">
        <v>48</v>
      </c>
      <c r="G1739" t="str" cm="1">
        <f t="array" ref="G1739">_xlfn.IFS(Table2[[#This Row],[Spending Score (1-100)]]&lt;=25,"Low",Table2[[#This Row],[Spending Score (1-100)]]&lt;=50,"Medium",Table2[[#This Row],[Spending Score (1-100)]]&lt;=75,"High",Table2[[#This Row],[Spending Score (1-100)]]&lt;=100,"Very High")</f>
        <v>Medium</v>
      </c>
      <c r="H1739" t="s">
        <v>16</v>
      </c>
      <c r="I1739">
        <v>0</v>
      </c>
      <c r="J1739" t="str">
        <f>CONCATENATE(Table2[[#This Row],[Work Experience]],"years")</f>
        <v>0years</v>
      </c>
      <c r="K1739" t="str">
        <f>CONCATENATE(Table2[[#This Row],[Family Size2]],"members")</f>
        <v>4members</v>
      </c>
      <c r="L1739" t="str">
        <f>CONCATENATE(Table2[[#This Row],[Family Size2]],"members")</f>
        <v>4members</v>
      </c>
      <c r="M1739">
        <v>4</v>
      </c>
    </row>
    <row r="1740" spans="1:13">
      <c r="A1740">
        <v>1739</v>
      </c>
      <c r="B1740" t="s">
        <v>8</v>
      </c>
      <c r="C1740">
        <v>10</v>
      </c>
      <c r="D1740" t="str" cm="1">
        <f t="array" ref="D1740">_xlfn.IFS(Table2[[#This Row],[Age]]&lt;=11,"Gen A",Table2[[#This Row],[Age]]&lt;=27,"Gen Z",Table2[[#This Row],[Age]]&lt;=43,"Millenials",Table2[[#This Row],[Age]]&lt;=59,"Gen X",Table2[[#This Row],[Age]]&lt;=78,"Baby Boomers",Table2[[#This Row],[Age]]&lt;=96,"Silent",Table2[[#This Row],[Age]]&gt;=97,"Greatest")</f>
        <v>Gen A</v>
      </c>
      <c r="E1740" s="1">
        <v>164214</v>
      </c>
      <c r="F1740">
        <v>77</v>
      </c>
      <c r="G1740" t="str" cm="1">
        <f t="array" ref="G1740">_xlfn.IFS(Table2[[#This Row],[Spending Score (1-100)]]&lt;=25,"Low",Table2[[#This Row],[Spending Score (1-100)]]&lt;=50,"Medium",Table2[[#This Row],[Spending Score (1-100)]]&lt;=75,"High",Table2[[#This Row],[Spending Score (1-100)]]&lt;=100,"Very High")</f>
        <v>Very High</v>
      </c>
      <c r="H1740" t="s">
        <v>12</v>
      </c>
      <c r="I1740">
        <v>0</v>
      </c>
      <c r="J1740" t="str">
        <f>CONCATENATE(Table2[[#This Row],[Work Experience]],"years")</f>
        <v>0years</v>
      </c>
      <c r="K1740" t="str">
        <f>CONCATENATE(Table2[[#This Row],[Family Size2]],"members")</f>
        <v>4members</v>
      </c>
      <c r="L1740" t="str">
        <f>CONCATENATE(Table2[[#This Row],[Family Size2]],"members")</f>
        <v>4members</v>
      </c>
      <c r="M1740">
        <v>4</v>
      </c>
    </row>
    <row r="1741" spans="1:13">
      <c r="A1741">
        <v>1740</v>
      </c>
      <c r="B1741" t="s">
        <v>11</v>
      </c>
      <c r="C1741">
        <v>53</v>
      </c>
      <c r="D1741" t="str" cm="1">
        <f t="array" ref="D1741">_xlfn.IFS(Table2[[#This Row],[Age]]&lt;=11,"Gen A",Table2[[#This Row],[Age]]&lt;=27,"Gen Z",Table2[[#This Row],[Age]]&lt;=43,"Millenials",Table2[[#This Row],[Age]]&lt;=59,"Gen X",Table2[[#This Row],[Age]]&lt;=78,"Baby Boomers",Table2[[#This Row],[Age]]&lt;=96,"Silent",Table2[[#This Row],[Age]]&gt;=97,"Greatest")</f>
        <v>Gen X</v>
      </c>
      <c r="E1741" s="1">
        <v>145498</v>
      </c>
      <c r="F1741">
        <v>66</v>
      </c>
      <c r="G1741" t="str" cm="1">
        <f t="array" ref="G1741">_xlfn.IFS(Table2[[#This Row],[Spending Score (1-100)]]&lt;=25,"Low",Table2[[#This Row],[Spending Score (1-100)]]&lt;=50,"Medium",Table2[[#This Row],[Spending Score (1-100)]]&lt;=75,"High",Table2[[#This Row],[Spending Score (1-100)]]&lt;=100,"Very High")</f>
        <v>High</v>
      </c>
      <c r="H1741" t="s">
        <v>14</v>
      </c>
      <c r="I1741">
        <v>8</v>
      </c>
      <c r="J1741" t="str">
        <f>CONCATENATE(Table2[[#This Row],[Work Experience]],"years")</f>
        <v>8years</v>
      </c>
      <c r="K1741" t="str">
        <f>CONCATENATE(Table2[[#This Row],[Family Size2]],"members")</f>
        <v>4members</v>
      </c>
      <c r="L1741" t="str">
        <f>CONCATENATE(Table2[[#This Row],[Family Size2]],"members")</f>
        <v>4members</v>
      </c>
      <c r="M1741">
        <v>4</v>
      </c>
    </row>
    <row r="1742" spans="1:13">
      <c r="A1742">
        <v>1741</v>
      </c>
      <c r="B1742" t="s">
        <v>8</v>
      </c>
      <c r="C1742">
        <v>7</v>
      </c>
      <c r="D1742" t="str" cm="1">
        <f t="array" ref="D1742">_xlfn.IFS(Table2[[#This Row],[Age]]&lt;=11,"Gen A",Table2[[#This Row],[Age]]&lt;=27,"Gen Z",Table2[[#This Row],[Age]]&lt;=43,"Millenials",Table2[[#This Row],[Age]]&lt;=59,"Gen X",Table2[[#This Row],[Age]]&lt;=78,"Baby Boomers",Table2[[#This Row],[Age]]&lt;=96,"Silent",Table2[[#This Row],[Age]]&gt;=97,"Greatest")</f>
        <v>Gen A</v>
      </c>
      <c r="E1742" s="1">
        <v>129215</v>
      </c>
      <c r="F1742">
        <v>69</v>
      </c>
      <c r="G1742" t="str" cm="1">
        <f t="array" ref="G1742">_xlfn.IFS(Table2[[#This Row],[Spending Score (1-100)]]&lt;=25,"Low",Table2[[#This Row],[Spending Score (1-100)]]&lt;=50,"Medium",Table2[[#This Row],[Spending Score (1-100)]]&lt;=75,"High",Table2[[#This Row],[Spending Score (1-100)]]&lt;=100,"Very High")</f>
        <v>High</v>
      </c>
      <c r="H1742" t="s">
        <v>13</v>
      </c>
      <c r="I1742">
        <v>9</v>
      </c>
      <c r="J1742" t="str">
        <f>CONCATENATE(Table2[[#This Row],[Work Experience]],"years")</f>
        <v>9years</v>
      </c>
      <c r="K1742" t="str">
        <f>CONCATENATE(Table2[[#This Row],[Family Size2]],"members")</f>
        <v>6members</v>
      </c>
      <c r="L1742" t="str">
        <f>CONCATENATE(Table2[[#This Row],[Family Size2]],"members")</f>
        <v>6members</v>
      </c>
      <c r="M1742">
        <v>6</v>
      </c>
    </row>
    <row r="1743" spans="1:13">
      <c r="A1743">
        <v>1742</v>
      </c>
      <c r="B1743" t="s">
        <v>11</v>
      </c>
      <c r="C1743">
        <v>92</v>
      </c>
      <c r="D1743" t="str" cm="1">
        <f t="array" ref="D1743">_xlfn.IFS(Table2[[#This Row],[Age]]&lt;=11,"Gen A",Table2[[#This Row],[Age]]&lt;=27,"Gen Z",Table2[[#This Row],[Age]]&lt;=43,"Millenials",Table2[[#This Row],[Age]]&lt;=59,"Gen X",Table2[[#This Row],[Age]]&lt;=78,"Baby Boomers",Table2[[#This Row],[Age]]&lt;=96,"Silent",Table2[[#This Row],[Age]]&gt;=97,"Greatest")</f>
        <v>Silent</v>
      </c>
      <c r="E1743" s="1">
        <v>152429</v>
      </c>
      <c r="F1743">
        <v>76</v>
      </c>
      <c r="G1743" t="str" cm="1">
        <f t="array" ref="G1743">_xlfn.IFS(Table2[[#This Row],[Spending Score (1-100)]]&lt;=25,"Low",Table2[[#This Row],[Spending Score (1-100)]]&lt;=50,"Medium",Table2[[#This Row],[Spending Score (1-100)]]&lt;=75,"High",Table2[[#This Row],[Spending Score (1-100)]]&lt;=100,"Very High")</f>
        <v>Very High</v>
      </c>
      <c r="H1743" t="s">
        <v>13</v>
      </c>
      <c r="I1743">
        <v>0</v>
      </c>
      <c r="J1743" t="str">
        <f>CONCATENATE(Table2[[#This Row],[Work Experience]],"years")</f>
        <v>0years</v>
      </c>
      <c r="K1743" t="str">
        <f>CONCATENATE(Table2[[#This Row],[Family Size2]],"members")</f>
        <v>2members</v>
      </c>
      <c r="L1743" t="str">
        <f>CONCATENATE(Table2[[#This Row],[Family Size2]],"members")</f>
        <v>2members</v>
      </c>
      <c r="M1743">
        <v>2</v>
      </c>
    </row>
    <row r="1744" spans="1:13">
      <c r="A1744">
        <v>1743</v>
      </c>
      <c r="B1744" t="s">
        <v>11</v>
      </c>
      <c r="C1744">
        <v>12</v>
      </c>
      <c r="D1744" t="str" cm="1">
        <f t="array" ref="D1744">_xlfn.IFS(Table2[[#This Row],[Age]]&lt;=11,"Gen A",Table2[[#This Row],[Age]]&lt;=27,"Gen Z",Table2[[#This Row],[Age]]&lt;=43,"Millenials",Table2[[#This Row],[Age]]&lt;=59,"Gen X",Table2[[#This Row],[Age]]&lt;=78,"Baby Boomers",Table2[[#This Row],[Age]]&lt;=96,"Silent",Table2[[#This Row],[Age]]&gt;=97,"Greatest")</f>
        <v>Gen Z</v>
      </c>
      <c r="E1744" s="1">
        <v>89252</v>
      </c>
      <c r="F1744">
        <v>31</v>
      </c>
      <c r="G1744" t="str" cm="1">
        <f t="array" ref="G1744">_xlfn.IFS(Table2[[#This Row],[Spending Score (1-100)]]&lt;=25,"Low",Table2[[#This Row],[Spending Score (1-100)]]&lt;=50,"Medium",Table2[[#This Row],[Spending Score (1-100)]]&lt;=75,"High",Table2[[#This Row],[Spending Score (1-100)]]&lt;=100,"Very High")</f>
        <v>Medium</v>
      </c>
      <c r="H1744" t="s">
        <v>13</v>
      </c>
      <c r="I1744">
        <v>0</v>
      </c>
      <c r="J1744" t="str">
        <f>CONCATENATE(Table2[[#This Row],[Work Experience]],"years")</f>
        <v>0years</v>
      </c>
      <c r="K1744" t="str">
        <f>CONCATENATE(Table2[[#This Row],[Family Size2]],"members")</f>
        <v>5members</v>
      </c>
      <c r="L1744" t="str">
        <f>CONCATENATE(Table2[[#This Row],[Family Size2]],"members")</f>
        <v>5members</v>
      </c>
      <c r="M1744">
        <v>5</v>
      </c>
    </row>
    <row r="1745" spans="1:13">
      <c r="A1745">
        <v>1744</v>
      </c>
      <c r="B1745" t="s">
        <v>11</v>
      </c>
      <c r="C1745">
        <v>31</v>
      </c>
      <c r="D1745" t="str" cm="1">
        <f t="array" ref="D1745">_xlfn.IFS(Table2[[#This Row],[Age]]&lt;=11,"Gen A",Table2[[#This Row],[Age]]&lt;=27,"Gen Z",Table2[[#This Row],[Age]]&lt;=43,"Millenials",Table2[[#This Row],[Age]]&lt;=59,"Gen X",Table2[[#This Row],[Age]]&lt;=78,"Baby Boomers",Table2[[#This Row],[Age]]&lt;=96,"Silent",Table2[[#This Row],[Age]]&gt;=97,"Greatest")</f>
        <v>Millenials</v>
      </c>
      <c r="E1745" s="1">
        <v>147447</v>
      </c>
      <c r="F1745">
        <v>23</v>
      </c>
      <c r="G1745" t="str" cm="1">
        <f t="array" ref="G1745">_xlfn.IFS(Table2[[#This Row],[Spending Score (1-100)]]&lt;=25,"Low",Table2[[#This Row],[Spending Score (1-100)]]&lt;=50,"Medium",Table2[[#This Row],[Spending Score (1-100)]]&lt;=75,"High",Table2[[#This Row],[Spending Score (1-100)]]&lt;=100,"Very High")</f>
        <v>Low</v>
      </c>
      <c r="H1745" t="s">
        <v>16</v>
      </c>
      <c r="I1745">
        <v>6</v>
      </c>
      <c r="J1745" t="str">
        <f>CONCATENATE(Table2[[#This Row],[Work Experience]],"years")</f>
        <v>6years</v>
      </c>
      <c r="K1745" t="str">
        <f>CONCATENATE(Table2[[#This Row],[Family Size2]],"members")</f>
        <v>7members</v>
      </c>
      <c r="L1745" t="str">
        <f>CONCATENATE(Table2[[#This Row],[Family Size2]],"members")</f>
        <v>7members</v>
      </c>
      <c r="M1745">
        <v>7</v>
      </c>
    </row>
    <row r="1746" spans="1:13">
      <c r="A1746">
        <v>1745</v>
      </c>
      <c r="B1746" t="s">
        <v>11</v>
      </c>
      <c r="C1746">
        <v>93</v>
      </c>
      <c r="D1746" t="str" cm="1">
        <f t="array" ref="D1746">_xlfn.IFS(Table2[[#This Row],[Age]]&lt;=11,"Gen A",Table2[[#This Row],[Age]]&lt;=27,"Gen Z",Table2[[#This Row],[Age]]&lt;=43,"Millenials",Table2[[#This Row],[Age]]&lt;=59,"Gen X",Table2[[#This Row],[Age]]&lt;=78,"Baby Boomers",Table2[[#This Row],[Age]]&lt;=96,"Silent",Table2[[#This Row],[Age]]&gt;=97,"Greatest")</f>
        <v>Silent</v>
      </c>
      <c r="E1746" s="1">
        <v>74467</v>
      </c>
      <c r="F1746">
        <v>33</v>
      </c>
      <c r="G1746" t="str" cm="1">
        <f t="array" ref="G1746">_xlfn.IFS(Table2[[#This Row],[Spending Score (1-100)]]&lt;=25,"Low",Table2[[#This Row],[Spending Score (1-100)]]&lt;=50,"Medium",Table2[[#This Row],[Spending Score (1-100)]]&lt;=75,"High",Table2[[#This Row],[Spending Score (1-100)]]&lt;=100,"Very High")</f>
        <v>Medium</v>
      </c>
      <c r="H1746" t="s">
        <v>12</v>
      </c>
      <c r="I1746">
        <v>5</v>
      </c>
      <c r="J1746" t="str">
        <f>CONCATENATE(Table2[[#This Row],[Work Experience]],"years")</f>
        <v>5years</v>
      </c>
      <c r="K1746" t="str">
        <f>CONCATENATE(Table2[[#This Row],[Family Size2]],"members")</f>
        <v>1members</v>
      </c>
      <c r="L1746" t="str">
        <f>CONCATENATE(Table2[[#This Row],[Family Size2]],"members")</f>
        <v>1members</v>
      </c>
      <c r="M1746">
        <v>1</v>
      </c>
    </row>
    <row r="1747" spans="1:13">
      <c r="A1747">
        <v>1746</v>
      </c>
      <c r="B1747" t="s">
        <v>11</v>
      </c>
      <c r="C1747">
        <v>66</v>
      </c>
      <c r="D1747" t="str" cm="1">
        <f t="array" ref="D1747">_xlfn.IFS(Table2[[#This Row],[Age]]&lt;=11,"Gen A",Table2[[#This Row],[Age]]&lt;=27,"Gen Z",Table2[[#This Row],[Age]]&lt;=43,"Millenials",Table2[[#This Row],[Age]]&lt;=59,"Gen X",Table2[[#This Row],[Age]]&lt;=78,"Baby Boomers",Table2[[#This Row],[Age]]&lt;=96,"Silent",Table2[[#This Row],[Age]]&gt;=97,"Greatest")</f>
        <v>Baby Boomers</v>
      </c>
      <c r="E1747" s="1">
        <v>127410</v>
      </c>
      <c r="F1747">
        <v>37</v>
      </c>
      <c r="G1747" t="str" cm="1">
        <f t="array" ref="G1747">_xlfn.IFS(Table2[[#This Row],[Spending Score (1-100)]]&lt;=25,"Low",Table2[[#This Row],[Spending Score (1-100)]]&lt;=50,"Medium",Table2[[#This Row],[Spending Score (1-100)]]&lt;=75,"High",Table2[[#This Row],[Spending Score (1-100)]]&lt;=100,"Very High")</f>
        <v>Medium</v>
      </c>
      <c r="H1747" t="s">
        <v>10</v>
      </c>
      <c r="I1747">
        <v>8</v>
      </c>
      <c r="J1747" t="str">
        <f>CONCATENATE(Table2[[#This Row],[Work Experience]],"years")</f>
        <v>8years</v>
      </c>
      <c r="K1747" t="str">
        <f>CONCATENATE(Table2[[#This Row],[Family Size2]],"members")</f>
        <v>2members</v>
      </c>
      <c r="L1747" t="str">
        <f>CONCATENATE(Table2[[#This Row],[Family Size2]],"members")</f>
        <v>2members</v>
      </c>
      <c r="M1747">
        <v>2</v>
      </c>
    </row>
    <row r="1748" spans="1:13">
      <c r="A1748">
        <v>1747</v>
      </c>
      <c r="B1748" t="s">
        <v>8</v>
      </c>
      <c r="C1748">
        <v>49</v>
      </c>
      <c r="D1748" t="str" cm="1">
        <f t="array" ref="D1748">_xlfn.IFS(Table2[[#This Row],[Age]]&lt;=11,"Gen A",Table2[[#This Row],[Age]]&lt;=27,"Gen Z",Table2[[#This Row],[Age]]&lt;=43,"Millenials",Table2[[#This Row],[Age]]&lt;=59,"Gen X",Table2[[#This Row],[Age]]&lt;=78,"Baby Boomers",Table2[[#This Row],[Age]]&lt;=96,"Silent",Table2[[#This Row],[Age]]&gt;=97,"Greatest")</f>
        <v>Gen X</v>
      </c>
      <c r="E1748" s="1">
        <v>91290</v>
      </c>
      <c r="F1748">
        <v>44</v>
      </c>
      <c r="G1748" t="str" cm="1">
        <f t="array" ref="G1748">_xlfn.IFS(Table2[[#This Row],[Spending Score (1-100)]]&lt;=25,"Low",Table2[[#This Row],[Spending Score (1-100)]]&lt;=50,"Medium",Table2[[#This Row],[Spending Score (1-100)]]&lt;=75,"High",Table2[[#This Row],[Spending Score (1-100)]]&lt;=100,"Very High")</f>
        <v>Medium</v>
      </c>
      <c r="H1748" t="s">
        <v>9</v>
      </c>
      <c r="I1748">
        <v>7</v>
      </c>
      <c r="J1748" t="str">
        <f>CONCATENATE(Table2[[#This Row],[Work Experience]],"years")</f>
        <v>7years</v>
      </c>
      <c r="K1748" t="str">
        <f>CONCATENATE(Table2[[#This Row],[Family Size2]],"members")</f>
        <v>7members</v>
      </c>
      <c r="L1748" t="str">
        <f>CONCATENATE(Table2[[#This Row],[Family Size2]],"members")</f>
        <v>7members</v>
      </c>
      <c r="M1748">
        <v>7</v>
      </c>
    </row>
    <row r="1749" spans="1:13">
      <c r="A1749">
        <v>1748</v>
      </c>
      <c r="B1749" t="s">
        <v>11</v>
      </c>
      <c r="C1749">
        <v>64</v>
      </c>
      <c r="D1749" t="str" cm="1">
        <f t="array" ref="D1749">_xlfn.IFS(Table2[[#This Row],[Age]]&lt;=11,"Gen A",Table2[[#This Row],[Age]]&lt;=27,"Gen Z",Table2[[#This Row],[Age]]&lt;=43,"Millenials",Table2[[#This Row],[Age]]&lt;=59,"Gen X",Table2[[#This Row],[Age]]&lt;=78,"Baby Boomers",Table2[[#This Row],[Age]]&lt;=96,"Silent",Table2[[#This Row],[Age]]&gt;=97,"Greatest")</f>
        <v>Baby Boomers</v>
      </c>
      <c r="E1749" s="1">
        <v>92812</v>
      </c>
      <c r="F1749">
        <v>97</v>
      </c>
      <c r="G1749" t="str" cm="1">
        <f t="array" ref="G1749">_xlfn.IFS(Table2[[#This Row],[Spending Score (1-100)]]&lt;=25,"Low",Table2[[#This Row],[Spending Score (1-100)]]&lt;=50,"Medium",Table2[[#This Row],[Spending Score (1-100)]]&lt;=75,"High",Table2[[#This Row],[Spending Score (1-100)]]&lt;=100,"Very High")</f>
        <v>Very High</v>
      </c>
      <c r="H1749" t="s">
        <v>14</v>
      </c>
      <c r="I1749">
        <v>5</v>
      </c>
      <c r="J1749" t="str">
        <f>CONCATENATE(Table2[[#This Row],[Work Experience]],"years")</f>
        <v>5years</v>
      </c>
      <c r="K1749" t="str">
        <f>CONCATENATE(Table2[[#This Row],[Family Size2]],"members")</f>
        <v>7members</v>
      </c>
      <c r="L1749" t="str">
        <f>CONCATENATE(Table2[[#This Row],[Family Size2]],"members")</f>
        <v>7members</v>
      </c>
      <c r="M1749">
        <v>7</v>
      </c>
    </row>
    <row r="1750" spans="1:13">
      <c r="A1750">
        <v>1749</v>
      </c>
      <c r="B1750" t="s">
        <v>11</v>
      </c>
      <c r="C1750">
        <v>27</v>
      </c>
      <c r="D1750" t="str" cm="1">
        <f t="array" ref="D1750">_xlfn.IFS(Table2[[#This Row],[Age]]&lt;=11,"Gen A",Table2[[#This Row],[Age]]&lt;=27,"Gen Z",Table2[[#This Row],[Age]]&lt;=43,"Millenials",Table2[[#This Row],[Age]]&lt;=59,"Gen X",Table2[[#This Row],[Age]]&lt;=78,"Baby Boomers",Table2[[#This Row],[Age]]&lt;=96,"Silent",Table2[[#This Row],[Age]]&gt;=97,"Greatest")</f>
        <v>Gen Z</v>
      </c>
      <c r="E1750" s="1">
        <v>170166</v>
      </c>
      <c r="F1750">
        <v>18</v>
      </c>
      <c r="G1750" t="str" cm="1">
        <f t="array" ref="G1750">_xlfn.IFS(Table2[[#This Row],[Spending Score (1-100)]]&lt;=25,"Low",Table2[[#This Row],[Spending Score (1-100)]]&lt;=50,"Medium",Table2[[#This Row],[Spending Score (1-100)]]&lt;=75,"High",Table2[[#This Row],[Spending Score (1-100)]]&lt;=100,"Very High")</f>
        <v>Low</v>
      </c>
      <c r="H1750" t="s">
        <v>14</v>
      </c>
      <c r="I1750">
        <v>10</v>
      </c>
      <c r="J1750" t="str">
        <f>CONCATENATE(Table2[[#This Row],[Work Experience]],"years")</f>
        <v>10years</v>
      </c>
      <c r="K1750" t="str">
        <f>CONCATENATE(Table2[[#This Row],[Family Size2]],"members")</f>
        <v>4members</v>
      </c>
      <c r="L1750" t="str">
        <f>CONCATENATE(Table2[[#This Row],[Family Size2]],"members")</f>
        <v>4members</v>
      </c>
      <c r="M1750">
        <v>4</v>
      </c>
    </row>
    <row r="1751" spans="1:13">
      <c r="A1751">
        <v>1750</v>
      </c>
      <c r="B1751" t="s">
        <v>11</v>
      </c>
      <c r="C1751">
        <v>33</v>
      </c>
      <c r="D1751" t="str" cm="1">
        <f t="array" ref="D1751">_xlfn.IFS(Table2[[#This Row],[Age]]&lt;=11,"Gen A",Table2[[#This Row],[Age]]&lt;=27,"Gen Z",Table2[[#This Row],[Age]]&lt;=43,"Millenials",Table2[[#This Row],[Age]]&lt;=59,"Gen X",Table2[[#This Row],[Age]]&lt;=78,"Baby Boomers",Table2[[#This Row],[Age]]&lt;=96,"Silent",Table2[[#This Row],[Age]]&gt;=97,"Greatest")</f>
        <v>Millenials</v>
      </c>
      <c r="E1751" s="1">
        <v>150823</v>
      </c>
      <c r="F1751">
        <v>75</v>
      </c>
      <c r="G1751" t="str" cm="1">
        <f t="array" ref="G1751">_xlfn.IFS(Table2[[#This Row],[Spending Score (1-100)]]&lt;=25,"Low",Table2[[#This Row],[Spending Score (1-100)]]&lt;=50,"Medium",Table2[[#This Row],[Spending Score (1-100)]]&lt;=75,"High",Table2[[#This Row],[Spending Score (1-100)]]&lt;=100,"Very High")</f>
        <v>High</v>
      </c>
      <c r="H1751" t="s">
        <v>14</v>
      </c>
      <c r="I1751">
        <v>4</v>
      </c>
      <c r="J1751" t="str">
        <f>CONCATENATE(Table2[[#This Row],[Work Experience]],"years")</f>
        <v>4years</v>
      </c>
      <c r="K1751" t="str">
        <f>CONCATENATE(Table2[[#This Row],[Family Size2]],"members")</f>
        <v>1members</v>
      </c>
      <c r="L1751" t="str">
        <f>CONCATENATE(Table2[[#This Row],[Family Size2]],"members")</f>
        <v>1members</v>
      </c>
      <c r="M1751">
        <v>1</v>
      </c>
    </row>
    <row r="1752" spans="1:13">
      <c r="A1752">
        <v>1751</v>
      </c>
      <c r="B1752" t="s">
        <v>8</v>
      </c>
      <c r="C1752">
        <v>79</v>
      </c>
      <c r="D1752" t="str" cm="1">
        <f t="array" ref="D1752">_xlfn.IFS(Table2[[#This Row],[Age]]&lt;=11,"Gen A",Table2[[#This Row],[Age]]&lt;=27,"Gen Z",Table2[[#This Row],[Age]]&lt;=43,"Millenials",Table2[[#This Row],[Age]]&lt;=59,"Gen X",Table2[[#This Row],[Age]]&lt;=78,"Baby Boomers",Table2[[#This Row],[Age]]&lt;=96,"Silent",Table2[[#This Row],[Age]]&gt;=97,"Greatest")</f>
        <v>Silent</v>
      </c>
      <c r="E1752" s="1">
        <v>95839</v>
      </c>
      <c r="F1752">
        <v>30</v>
      </c>
      <c r="G1752" t="str" cm="1">
        <f t="array" ref="G1752">_xlfn.IFS(Table2[[#This Row],[Spending Score (1-100)]]&lt;=25,"Low",Table2[[#This Row],[Spending Score (1-100)]]&lt;=50,"Medium",Table2[[#This Row],[Spending Score (1-100)]]&lt;=75,"High",Table2[[#This Row],[Spending Score (1-100)]]&lt;=100,"Very High")</f>
        <v>Medium</v>
      </c>
      <c r="H1752" t="s">
        <v>15</v>
      </c>
      <c r="I1752">
        <v>7</v>
      </c>
      <c r="J1752" t="str">
        <f>CONCATENATE(Table2[[#This Row],[Work Experience]],"years")</f>
        <v>7years</v>
      </c>
      <c r="K1752" t="str">
        <f>CONCATENATE(Table2[[#This Row],[Family Size2]],"members")</f>
        <v>2members</v>
      </c>
      <c r="L1752" t="str">
        <f>CONCATENATE(Table2[[#This Row],[Family Size2]],"members")</f>
        <v>2members</v>
      </c>
      <c r="M1752">
        <v>2</v>
      </c>
    </row>
    <row r="1753" spans="1:13">
      <c r="A1753">
        <v>1752</v>
      </c>
      <c r="B1753" t="s">
        <v>11</v>
      </c>
      <c r="C1753">
        <v>14</v>
      </c>
      <c r="D1753" t="str" cm="1">
        <f t="array" ref="D1753">_xlfn.IFS(Table2[[#This Row],[Age]]&lt;=11,"Gen A",Table2[[#This Row],[Age]]&lt;=27,"Gen Z",Table2[[#This Row],[Age]]&lt;=43,"Millenials",Table2[[#This Row],[Age]]&lt;=59,"Gen X",Table2[[#This Row],[Age]]&lt;=78,"Baby Boomers",Table2[[#This Row],[Age]]&lt;=96,"Silent",Table2[[#This Row],[Age]]&gt;=97,"Greatest")</f>
        <v>Gen Z</v>
      </c>
      <c r="E1753" s="1">
        <v>60175</v>
      </c>
      <c r="F1753">
        <v>60</v>
      </c>
      <c r="G1753" t="str" cm="1">
        <f t="array" ref="G1753">_xlfn.IFS(Table2[[#This Row],[Spending Score (1-100)]]&lt;=25,"Low",Table2[[#This Row],[Spending Score (1-100)]]&lt;=50,"Medium",Table2[[#This Row],[Spending Score (1-100)]]&lt;=75,"High",Table2[[#This Row],[Spending Score (1-100)]]&lt;=100,"Very High")</f>
        <v>High</v>
      </c>
      <c r="H1753" t="s">
        <v>15</v>
      </c>
      <c r="I1753">
        <v>9</v>
      </c>
      <c r="J1753" t="str">
        <f>CONCATENATE(Table2[[#This Row],[Work Experience]],"years")</f>
        <v>9years</v>
      </c>
      <c r="K1753" t="str">
        <f>CONCATENATE(Table2[[#This Row],[Family Size2]],"members")</f>
        <v>7members</v>
      </c>
      <c r="L1753" t="str">
        <f>CONCATENATE(Table2[[#This Row],[Family Size2]],"members")</f>
        <v>7members</v>
      </c>
      <c r="M1753">
        <v>7</v>
      </c>
    </row>
    <row r="1754" spans="1:13">
      <c r="A1754">
        <v>1753</v>
      </c>
      <c r="B1754" t="s">
        <v>11</v>
      </c>
      <c r="C1754">
        <v>22</v>
      </c>
      <c r="D1754" t="str" cm="1">
        <f t="array" ref="D1754">_xlfn.IFS(Table2[[#This Row],[Age]]&lt;=11,"Gen A",Table2[[#This Row],[Age]]&lt;=27,"Gen Z",Table2[[#This Row],[Age]]&lt;=43,"Millenials",Table2[[#This Row],[Age]]&lt;=59,"Gen X",Table2[[#This Row],[Age]]&lt;=78,"Baby Boomers",Table2[[#This Row],[Age]]&lt;=96,"Silent",Table2[[#This Row],[Age]]&gt;=97,"Greatest")</f>
        <v>Gen Z</v>
      </c>
      <c r="E1754" s="1">
        <v>153024</v>
      </c>
      <c r="F1754">
        <v>91</v>
      </c>
      <c r="G1754" t="str" cm="1">
        <f t="array" ref="G1754">_xlfn.IFS(Table2[[#This Row],[Spending Score (1-100)]]&lt;=25,"Low",Table2[[#This Row],[Spending Score (1-100)]]&lt;=50,"Medium",Table2[[#This Row],[Spending Score (1-100)]]&lt;=75,"High",Table2[[#This Row],[Spending Score (1-100)]]&lt;=100,"Very High")</f>
        <v>Very High</v>
      </c>
      <c r="H1754" t="s">
        <v>14</v>
      </c>
      <c r="I1754">
        <v>10</v>
      </c>
      <c r="J1754" t="str">
        <f>CONCATENATE(Table2[[#This Row],[Work Experience]],"years")</f>
        <v>10years</v>
      </c>
      <c r="K1754" t="str">
        <f>CONCATENATE(Table2[[#This Row],[Family Size2]],"members")</f>
        <v>7members</v>
      </c>
      <c r="L1754" t="str">
        <f>CONCATENATE(Table2[[#This Row],[Family Size2]],"members")</f>
        <v>7members</v>
      </c>
      <c r="M1754">
        <v>7</v>
      </c>
    </row>
    <row r="1755" spans="1:13">
      <c r="A1755">
        <v>1754</v>
      </c>
      <c r="B1755" t="s">
        <v>11</v>
      </c>
      <c r="C1755">
        <v>8</v>
      </c>
      <c r="D1755" t="str" cm="1">
        <f t="array" ref="D1755">_xlfn.IFS(Table2[[#This Row],[Age]]&lt;=11,"Gen A",Table2[[#This Row],[Age]]&lt;=27,"Gen Z",Table2[[#This Row],[Age]]&lt;=43,"Millenials",Table2[[#This Row],[Age]]&lt;=59,"Gen X",Table2[[#This Row],[Age]]&lt;=78,"Baby Boomers",Table2[[#This Row],[Age]]&lt;=96,"Silent",Table2[[#This Row],[Age]]&gt;=97,"Greatest")</f>
        <v>Gen A</v>
      </c>
      <c r="E1755" s="1">
        <v>116858</v>
      </c>
      <c r="F1755">
        <v>67</v>
      </c>
      <c r="G1755" t="str" cm="1">
        <f t="array" ref="G1755">_xlfn.IFS(Table2[[#This Row],[Spending Score (1-100)]]&lt;=25,"Low",Table2[[#This Row],[Spending Score (1-100)]]&lt;=50,"Medium",Table2[[#This Row],[Spending Score (1-100)]]&lt;=75,"High",Table2[[#This Row],[Spending Score (1-100)]]&lt;=100,"Very High")</f>
        <v>High</v>
      </c>
      <c r="H1755" t="s">
        <v>14</v>
      </c>
      <c r="I1755">
        <v>5</v>
      </c>
      <c r="J1755" t="str">
        <f>CONCATENATE(Table2[[#This Row],[Work Experience]],"years")</f>
        <v>5years</v>
      </c>
      <c r="K1755" t="str">
        <f>CONCATENATE(Table2[[#This Row],[Family Size2]],"members")</f>
        <v>7members</v>
      </c>
      <c r="L1755" t="str">
        <f>CONCATENATE(Table2[[#This Row],[Family Size2]],"members")</f>
        <v>7members</v>
      </c>
      <c r="M1755">
        <v>7</v>
      </c>
    </row>
    <row r="1756" spans="1:13">
      <c r="A1756">
        <v>1755</v>
      </c>
      <c r="B1756" t="s">
        <v>11</v>
      </c>
      <c r="C1756">
        <v>6</v>
      </c>
      <c r="D1756" t="str" cm="1">
        <f t="array" ref="D1756">_xlfn.IFS(Table2[[#This Row],[Age]]&lt;=11,"Gen A",Table2[[#This Row],[Age]]&lt;=27,"Gen Z",Table2[[#This Row],[Age]]&lt;=43,"Millenials",Table2[[#This Row],[Age]]&lt;=59,"Gen X",Table2[[#This Row],[Age]]&lt;=78,"Baby Boomers",Table2[[#This Row],[Age]]&lt;=96,"Silent",Table2[[#This Row],[Age]]&gt;=97,"Greatest")</f>
        <v>Gen A</v>
      </c>
      <c r="E1756" s="1">
        <v>122961</v>
      </c>
      <c r="F1756">
        <v>47</v>
      </c>
      <c r="G1756" t="str" cm="1">
        <f t="array" ref="G1756">_xlfn.IFS(Table2[[#This Row],[Spending Score (1-100)]]&lt;=25,"Low",Table2[[#This Row],[Spending Score (1-100)]]&lt;=50,"Medium",Table2[[#This Row],[Spending Score (1-100)]]&lt;=75,"High",Table2[[#This Row],[Spending Score (1-100)]]&lt;=100,"Very High")</f>
        <v>Medium</v>
      </c>
      <c r="H1756" t="s">
        <v>16</v>
      </c>
      <c r="I1756">
        <v>8</v>
      </c>
      <c r="J1756" t="str">
        <f>CONCATENATE(Table2[[#This Row],[Work Experience]],"years")</f>
        <v>8years</v>
      </c>
      <c r="K1756" t="str">
        <f>CONCATENATE(Table2[[#This Row],[Family Size2]],"members")</f>
        <v>2members</v>
      </c>
      <c r="L1756" t="str">
        <f>CONCATENATE(Table2[[#This Row],[Family Size2]],"members")</f>
        <v>2members</v>
      </c>
      <c r="M1756">
        <v>2</v>
      </c>
    </row>
    <row r="1757" spans="1:13">
      <c r="A1757">
        <v>1756</v>
      </c>
      <c r="B1757" t="s">
        <v>8</v>
      </c>
      <c r="C1757">
        <v>81</v>
      </c>
      <c r="D1757" t="str" cm="1">
        <f t="array" ref="D1757">_xlfn.IFS(Table2[[#This Row],[Age]]&lt;=11,"Gen A",Table2[[#This Row],[Age]]&lt;=27,"Gen Z",Table2[[#This Row],[Age]]&lt;=43,"Millenials",Table2[[#This Row],[Age]]&lt;=59,"Gen X",Table2[[#This Row],[Age]]&lt;=78,"Baby Boomers",Table2[[#This Row],[Age]]&lt;=96,"Silent",Table2[[#This Row],[Age]]&gt;=97,"Greatest")</f>
        <v>Silent</v>
      </c>
      <c r="E1757" s="1">
        <v>141471</v>
      </c>
      <c r="F1757">
        <v>45</v>
      </c>
      <c r="G1757" t="str" cm="1">
        <f t="array" ref="G1757">_xlfn.IFS(Table2[[#This Row],[Spending Score (1-100)]]&lt;=25,"Low",Table2[[#This Row],[Spending Score (1-100)]]&lt;=50,"Medium",Table2[[#This Row],[Spending Score (1-100)]]&lt;=75,"High",Table2[[#This Row],[Spending Score (1-100)]]&lt;=100,"Very High")</f>
        <v>Medium</v>
      </c>
      <c r="H1757" t="s">
        <v>14</v>
      </c>
      <c r="I1757">
        <v>8</v>
      </c>
      <c r="J1757" t="str">
        <f>CONCATENATE(Table2[[#This Row],[Work Experience]],"years")</f>
        <v>8years</v>
      </c>
      <c r="K1757" t="str">
        <f>CONCATENATE(Table2[[#This Row],[Family Size2]],"members")</f>
        <v>6members</v>
      </c>
      <c r="L1757" t="str">
        <f>CONCATENATE(Table2[[#This Row],[Family Size2]],"members")</f>
        <v>6members</v>
      </c>
      <c r="M1757">
        <v>6</v>
      </c>
    </row>
    <row r="1758" spans="1:13">
      <c r="A1758">
        <v>1757</v>
      </c>
      <c r="B1758" t="s">
        <v>8</v>
      </c>
      <c r="C1758">
        <v>69</v>
      </c>
      <c r="D1758" t="str" cm="1">
        <f t="array" ref="D1758">_xlfn.IFS(Table2[[#This Row],[Age]]&lt;=11,"Gen A",Table2[[#This Row],[Age]]&lt;=27,"Gen Z",Table2[[#This Row],[Age]]&lt;=43,"Millenials",Table2[[#This Row],[Age]]&lt;=59,"Gen X",Table2[[#This Row],[Age]]&lt;=78,"Baby Boomers",Table2[[#This Row],[Age]]&lt;=96,"Silent",Table2[[#This Row],[Age]]&gt;=97,"Greatest")</f>
        <v>Baby Boomers</v>
      </c>
      <c r="E1758" s="1">
        <v>76155</v>
      </c>
      <c r="F1758">
        <v>14</v>
      </c>
      <c r="G1758" t="str" cm="1">
        <f t="array" ref="G1758">_xlfn.IFS(Table2[[#This Row],[Spending Score (1-100)]]&lt;=25,"Low",Table2[[#This Row],[Spending Score (1-100)]]&lt;=50,"Medium",Table2[[#This Row],[Spending Score (1-100)]]&lt;=75,"High",Table2[[#This Row],[Spending Score (1-100)]]&lt;=100,"Very High")</f>
        <v>Low</v>
      </c>
      <c r="H1758" t="s">
        <v>9</v>
      </c>
      <c r="I1758">
        <v>8</v>
      </c>
      <c r="J1758" t="str">
        <f>CONCATENATE(Table2[[#This Row],[Work Experience]],"years")</f>
        <v>8years</v>
      </c>
      <c r="K1758" t="str">
        <f>CONCATENATE(Table2[[#This Row],[Family Size2]],"members")</f>
        <v>7members</v>
      </c>
      <c r="L1758" t="str">
        <f>CONCATENATE(Table2[[#This Row],[Family Size2]],"members")</f>
        <v>7members</v>
      </c>
      <c r="M1758">
        <v>7</v>
      </c>
    </row>
    <row r="1759" spans="1:13">
      <c r="A1759">
        <v>1758</v>
      </c>
      <c r="B1759" t="s">
        <v>8</v>
      </c>
      <c r="C1759">
        <v>0</v>
      </c>
      <c r="D1759" t="str" cm="1">
        <f t="array" ref="D1759">_xlfn.IFS(Table2[[#This Row],[Age]]&lt;=11,"Gen A",Table2[[#This Row],[Age]]&lt;=27,"Gen Z",Table2[[#This Row],[Age]]&lt;=43,"Millenials",Table2[[#This Row],[Age]]&lt;=59,"Gen X",Table2[[#This Row],[Age]]&lt;=78,"Baby Boomers",Table2[[#This Row],[Age]]&lt;=96,"Silent",Table2[[#This Row],[Age]]&gt;=97,"Greatest")</f>
        <v>Gen A</v>
      </c>
      <c r="E1759" s="1">
        <v>108169</v>
      </c>
      <c r="F1759">
        <v>24</v>
      </c>
      <c r="G1759" t="str" cm="1">
        <f t="array" ref="G1759">_xlfn.IFS(Table2[[#This Row],[Spending Score (1-100)]]&lt;=25,"Low",Table2[[#This Row],[Spending Score (1-100)]]&lt;=50,"Medium",Table2[[#This Row],[Spending Score (1-100)]]&lt;=75,"High",Table2[[#This Row],[Spending Score (1-100)]]&lt;=100,"Very High")</f>
        <v>Low</v>
      </c>
      <c r="H1759" t="s">
        <v>15</v>
      </c>
      <c r="I1759">
        <v>10</v>
      </c>
      <c r="J1759" t="str">
        <f>CONCATENATE(Table2[[#This Row],[Work Experience]],"years")</f>
        <v>10years</v>
      </c>
      <c r="K1759" t="str">
        <f>CONCATENATE(Table2[[#This Row],[Family Size2]],"members")</f>
        <v>3members</v>
      </c>
      <c r="L1759" t="str">
        <f>CONCATENATE(Table2[[#This Row],[Family Size2]],"members")</f>
        <v>3members</v>
      </c>
      <c r="M1759">
        <v>3</v>
      </c>
    </row>
    <row r="1760" spans="1:13">
      <c r="A1760">
        <v>1759</v>
      </c>
      <c r="B1760" t="s">
        <v>11</v>
      </c>
      <c r="C1760">
        <v>61</v>
      </c>
      <c r="D1760" t="str" cm="1">
        <f t="array" ref="D1760">_xlfn.IFS(Table2[[#This Row],[Age]]&lt;=11,"Gen A",Table2[[#This Row],[Age]]&lt;=27,"Gen Z",Table2[[#This Row],[Age]]&lt;=43,"Millenials",Table2[[#This Row],[Age]]&lt;=59,"Gen X",Table2[[#This Row],[Age]]&lt;=78,"Baby Boomers",Table2[[#This Row],[Age]]&lt;=96,"Silent",Table2[[#This Row],[Age]]&gt;=97,"Greatest")</f>
        <v>Baby Boomers</v>
      </c>
      <c r="E1760" s="1">
        <v>139520</v>
      </c>
      <c r="F1760">
        <v>39</v>
      </c>
      <c r="G1760" t="str" cm="1">
        <f t="array" ref="G1760">_xlfn.IFS(Table2[[#This Row],[Spending Score (1-100)]]&lt;=25,"Low",Table2[[#This Row],[Spending Score (1-100)]]&lt;=50,"Medium",Table2[[#This Row],[Spending Score (1-100)]]&lt;=75,"High",Table2[[#This Row],[Spending Score (1-100)]]&lt;=100,"Very High")</f>
        <v>Medium</v>
      </c>
      <c r="H1760" t="s">
        <v>14</v>
      </c>
      <c r="I1760">
        <v>8</v>
      </c>
      <c r="J1760" t="str">
        <f>CONCATENATE(Table2[[#This Row],[Work Experience]],"years")</f>
        <v>8years</v>
      </c>
      <c r="K1760" t="str">
        <f>CONCATENATE(Table2[[#This Row],[Family Size2]],"members")</f>
        <v>4members</v>
      </c>
      <c r="L1760" t="str">
        <f>CONCATENATE(Table2[[#This Row],[Family Size2]],"members")</f>
        <v>4members</v>
      </c>
      <c r="M1760">
        <v>4</v>
      </c>
    </row>
    <row r="1761" spans="1:13">
      <c r="A1761">
        <v>1760</v>
      </c>
      <c r="B1761" t="s">
        <v>8</v>
      </c>
      <c r="C1761">
        <v>62</v>
      </c>
      <c r="D1761" t="str" cm="1">
        <f t="array" ref="D1761">_xlfn.IFS(Table2[[#This Row],[Age]]&lt;=11,"Gen A",Table2[[#This Row],[Age]]&lt;=27,"Gen Z",Table2[[#This Row],[Age]]&lt;=43,"Millenials",Table2[[#This Row],[Age]]&lt;=59,"Gen X",Table2[[#This Row],[Age]]&lt;=78,"Baby Boomers",Table2[[#This Row],[Age]]&lt;=96,"Silent",Table2[[#This Row],[Age]]&gt;=97,"Greatest")</f>
        <v>Baby Boomers</v>
      </c>
      <c r="E1761" s="1">
        <v>182631</v>
      </c>
      <c r="F1761">
        <v>52</v>
      </c>
      <c r="G1761" t="str" cm="1">
        <f t="array" ref="G1761">_xlfn.IFS(Table2[[#This Row],[Spending Score (1-100)]]&lt;=25,"Low",Table2[[#This Row],[Spending Score (1-100)]]&lt;=50,"Medium",Table2[[#This Row],[Spending Score (1-100)]]&lt;=75,"High",Table2[[#This Row],[Spending Score (1-100)]]&lt;=100,"Very High")</f>
        <v>High</v>
      </c>
      <c r="H1761" t="s">
        <v>14</v>
      </c>
      <c r="I1761">
        <v>5</v>
      </c>
      <c r="J1761" t="str">
        <f>CONCATENATE(Table2[[#This Row],[Work Experience]],"years")</f>
        <v>5years</v>
      </c>
      <c r="K1761" t="str">
        <f>CONCATENATE(Table2[[#This Row],[Family Size2]],"members")</f>
        <v>3members</v>
      </c>
      <c r="L1761" t="str">
        <f>CONCATENATE(Table2[[#This Row],[Family Size2]],"members")</f>
        <v>3members</v>
      </c>
      <c r="M1761">
        <v>3</v>
      </c>
    </row>
    <row r="1762" spans="1:13">
      <c r="A1762">
        <v>1761</v>
      </c>
      <c r="B1762" t="s">
        <v>11</v>
      </c>
      <c r="C1762">
        <v>95</v>
      </c>
      <c r="D1762" t="str" cm="1">
        <f t="array" ref="D1762">_xlfn.IFS(Table2[[#This Row],[Age]]&lt;=11,"Gen A",Table2[[#This Row],[Age]]&lt;=27,"Gen Z",Table2[[#This Row],[Age]]&lt;=43,"Millenials",Table2[[#This Row],[Age]]&lt;=59,"Gen X",Table2[[#This Row],[Age]]&lt;=78,"Baby Boomers",Table2[[#This Row],[Age]]&lt;=96,"Silent",Table2[[#This Row],[Age]]&gt;=97,"Greatest")</f>
        <v>Silent</v>
      </c>
      <c r="E1762" s="1">
        <v>177134</v>
      </c>
      <c r="F1762">
        <v>78</v>
      </c>
      <c r="G1762" t="str" cm="1">
        <f t="array" ref="G1762">_xlfn.IFS(Table2[[#This Row],[Spending Score (1-100)]]&lt;=25,"Low",Table2[[#This Row],[Spending Score (1-100)]]&lt;=50,"Medium",Table2[[#This Row],[Spending Score (1-100)]]&lt;=75,"High",Table2[[#This Row],[Spending Score (1-100)]]&lt;=100,"Very High")</f>
        <v>Very High</v>
      </c>
      <c r="H1762" t="s">
        <v>9</v>
      </c>
      <c r="I1762">
        <v>10</v>
      </c>
      <c r="J1762" t="str">
        <f>CONCATENATE(Table2[[#This Row],[Work Experience]],"years")</f>
        <v>10years</v>
      </c>
      <c r="K1762" t="str">
        <f>CONCATENATE(Table2[[#This Row],[Family Size2]],"members")</f>
        <v>2members</v>
      </c>
      <c r="L1762" t="str">
        <f>CONCATENATE(Table2[[#This Row],[Family Size2]],"members")</f>
        <v>2members</v>
      </c>
      <c r="M1762">
        <v>2</v>
      </c>
    </row>
    <row r="1763" spans="1:13">
      <c r="A1763">
        <v>1762</v>
      </c>
      <c r="B1763" t="s">
        <v>11</v>
      </c>
      <c r="C1763">
        <v>32</v>
      </c>
      <c r="D1763" t="str" cm="1">
        <f t="array" ref="D1763">_xlfn.IFS(Table2[[#This Row],[Age]]&lt;=11,"Gen A",Table2[[#This Row],[Age]]&lt;=27,"Gen Z",Table2[[#This Row],[Age]]&lt;=43,"Millenials",Table2[[#This Row],[Age]]&lt;=59,"Gen X",Table2[[#This Row],[Age]]&lt;=78,"Baby Boomers",Table2[[#This Row],[Age]]&lt;=96,"Silent",Table2[[#This Row],[Age]]&gt;=97,"Greatest")</f>
        <v>Millenials</v>
      </c>
      <c r="E1763" s="1">
        <v>181703</v>
      </c>
      <c r="F1763">
        <v>54</v>
      </c>
      <c r="G1763" t="str" cm="1">
        <f t="array" ref="G1763">_xlfn.IFS(Table2[[#This Row],[Spending Score (1-100)]]&lt;=25,"Low",Table2[[#This Row],[Spending Score (1-100)]]&lt;=50,"Medium",Table2[[#This Row],[Spending Score (1-100)]]&lt;=75,"High",Table2[[#This Row],[Spending Score (1-100)]]&lt;=100,"Very High")</f>
        <v>High</v>
      </c>
      <c r="H1763" t="s">
        <v>12</v>
      </c>
      <c r="I1763">
        <v>6</v>
      </c>
      <c r="J1763" t="str">
        <f>CONCATENATE(Table2[[#This Row],[Work Experience]],"years")</f>
        <v>6years</v>
      </c>
      <c r="K1763" t="str">
        <f>CONCATENATE(Table2[[#This Row],[Family Size2]],"members")</f>
        <v>2members</v>
      </c>
      <c r="L1763" t="str">
        <f>CONCATENATE(Table2[[#This Row],[Family Size2]],"members")</f>
        <v>2members</v>
      </c>
      <c r="M1763">
        <v>2</v>
      </c>
    </row>
    <row r="1764" spans="1:13">
      <c r="A1764">
        <v>1763</v>
      </c>
      <c r="B1764" t="s">
        <v>11</v>
      </c>
      <c r="C1764">
        <v>13</v>
      </c>
      <c r="D1764" t="str" cm="1">
        <f t="array" ref="D1764">_xlfn.IFS(Table2[[#This Row],[Age]]&lt;=11,"Gen A",Table2[[#This Row],[Age]]&lt;=27,"Gen Z",Table2[[#This Row],[Age]]&lt;=43,"Millenials",Table2[[#This Row],[Age]]&lt;=59,"Gen X",Table2[[#This Row],[Age]]&lt;=78,"Baby Boomers",Table2[[#This Row],[Age]]&lt;=96,"Silent",Table2[[#This Row],[Age]]&gt;=97,"Greatest")</f>
        <v>Gen Z</v>
      </c>
      <c r="E1764" s="1">
        <v>61917</v>
      </c>
      <c r="F1764">
        <v>16</v>
      </c>
      <c r="G1764" t="str" cm="1">
        <f t="array" ref="G1764">_xlfn.IFS(Table2[[#This Row],[Spending Score (1-100)]]&lt;=25,"Low",Table2[[#This Row],[Spending Score (1-100)]]&lt;=50,"Medium",Table2[[#This Row],[Spending Score (1-100)]]&lt;=75,"High",Table2[[#This Row],[Spending Score (1-100)]]&lt;=100,"Very High")</f>
        <v>Low</v>
      </c>
      <c r="H1764" t="s">
        <v>14</v>
      </c>
      <c r="I1764">
        <v>7</v>
      </c>
      <c r="J1764" t="str">
        <f>CONCATENATE(Table2[[#This Row],[Work Experience]],"years")</f>
        <v>7years</v>
      </c>
      <c r="K1764" t="str">
        <f>CONCATENATE(Table2[[#This Row],[Family Size2]],"members")</f>
        <v>2members</v>
      </c>
      <c r="L1764" t="str">
        <f>CONCATENATE(Table2[[#This Row],[Family Size2]],"members")</f>
        <v>2members</v>
      </c>
      <c r="M1764">
        <v>2</v>
      </c>
    </row>
    <row r="1765" spans="1:13">
      <c r="A1765">
        <v>1764</v>
      </c>
      <c r="B1765" t="s">
        <v>11</v>
      </c>
      <c r="C1765">
        <v>1</v>
      </c>
      <c r="D1765" t="str" cm="1">
        <f t="array" ref="D1765">_xlfn.IFS(Table2[[#This Row],[Age]]&lt;=11,"Gen A",Table2[[#This Row],[Age]]&lt;=27,"Gen Z",Table2[[#This Row],[Age]]&lt;=43,"Millenials",Table2[[#This Row],[Age]]&lt;=59,"Gen X",Table2[[#This Row],[Age]]&lt;=78,"Baby Boomers",Table2[[#This Row],[Age]]&lt;=96,"Silent",Table2[[#This Row],[Age]]&gt;=97,"Greatest")</f>
        <v>Gen A</v>
      </c>
      <c r="E1765" s="1">
        <v>140648</v>
      </c>
      <c r="F1765">
        <v>36</v>
      </c>
      <c r="G1765" t="str" cm="1">
        <f t="array" ref="G1765">_xlfn.IFS(Table2[[#This Row],[Spending Score (1-100)]]&lt;=25,"Low",Table2[[#This Row],[Spending Score (1-100)]]&lt;=50,"Medium",Table2[[#This Row],[Spending Score (1-100)]]&lt;=75,"High",Table2[[#This Row],[Spending Score (1-100)]]&lt;=100,"Very High")</f>
        <v>Medium</v>
      </c>
      <c r="H1765" t="s">
        <v>15</v>
      </c>
      <c r="I1765">
        <v>9</v>
      </c>
      <c r="J1765" t="str">
        <f>CONCATENATE(Table2[[#This Row],[Work Experience]],"years")</f>
        <v>9years</v>
      </c>
      <c r="K1765" t="str">
        <f>CONCATENATE(Table2[[#This Row],[Family Size2]],"members")</f>
        <v>7members</v>
      </c>
      <c r="L1765" t="str">
        <f>CONCATENATE(Table2[[#This Row],[Family Size2]],"members")</f>
        <v>7members</v>
      </c>
      <c r="M1765">
        <v>7</v>
      </c>
    </row>
    <row r="1766" spans="1:13">
      <c r="A1766">
        <v>1765</v>
      </c>
      <c r="B1766" t="s">
        <v>11</v>
      </c>
      <c r="C1766">
        <v>63</v>
      </c>
      <c r="D1766" t="str" cm="1">
        <f t="array" ref="D1766">_xlfn.IFS(Table2[[#This Row],[Age]]&lt;=11,"Gen A",Table2[[#This Row],[Age]]&lt;=27,"Gen Z",Table2[[#This Row],[Age]]&lt;=43,"Millenials",Table2[[#This Row],[Age]]&lt;=59,"Gen X",Table2[[#This Row],[Age]]&lt;=78,"Baby Boomers",Table2[[#This Row],[Age]]&lt;=96,"Silent",Table2[[#This Row],[Age]]&gt;=97,"Greatest")</f>
        <v>Baby Boomers</v>
      </c>
      <c r="E1766" s="1">
        <v>176783</v>
      </c>
      <c r="F1766">
        <v>40</v>
      </c>
      <c r="G1766" t="str" cm="1">
        <f t="array" ref="G1766">_xlfn.IFS(Table2[[#This Row],[Spending Score (1-100)]]&lt;=25,"Low",Table2[[#This Row],[Spending Score (1-100)]]&lt;=50,"Medium",Table2[[#This Row],[Spending Score (1-100)]]&lt;=75,"High",Table2[[#This Row],[Spending Score (1-100)]]&lt;=100,"Very High")</f>
        <v>Medium</v>
      </c>
      <c r="H1766" t="s">
        <v>16</v>
      </c>
      <c r="I1766">
        <v>9</v>
      </c>
      <c r="J1766" t="str">
        <f>CONCATENATE(Table2[[#This Row],[Work Experience]],"years")</f>
        <v>9years</v>
      </c>
      <c r="K1766" t="str">
        <f>CONCATENATE(Table2[[#This Row],[Family Size2]],"members")</f>
        <v>4members</v>
      </c>
      <c r="L1766" t="str">
        <f>CONCATENATE(Table2[[#This Row],[Family Size2]],"members")</f>
        <v>4members</v>
      </c>
      <c r="M1766">
        <v>4</v>
      </c>
    </row>
    <row r="1767" spans="1:13">
      <c r="A1767">
        <v>1766</v>
      </c>
      <c r="B1767" t="s">
        <v>8</v>
      </c>
      <c r="C1767">
        <v>75</v>
      </c>
      <c r="D1767" t="str" cm="1">
        <f t="array" ref="D1767">_xlfn.IFS(Table2[[#This Row],[Age]]&lt;=11,"Gen A",Table2[[#This Row],[Age]]&lt;=27,"Gen Z",Table2[[#This Row],[Age]]&lt;=43,"Millenials",Table2[[#This Row],[Age]]&lt;=59,"Gen X",Table2[[#This Row],[Age]]&lt;=78,"Baby Boomers",Table2[[#This Row],[Age]]&lt;=96,"Silent",Table2[[#This Row],[Age]]&gt;=97,"Greatest")</f>
        <v>Baby Boomers</v>
      </c>
      <c r="E1767" s="1">
        <v>59741</v>
      </c>
      <c r="F1767">
        <v>67</v>
      </c>
      <c r="G1767" t="str" cm="1">
        <f t="array" ref="G1767">_xlfn.IFS(Table2[[#This Row],[Spending Score (1-100)]]&lt;=25,"Low",Table2[[#This Row],[Spending Score (1-100)]]&lt;=50,"Medium",Table2[[#This Row],[Spending Score (1-100)]]&lt;=75,"High",Table2[[#This Row],[Spending Score (1-100)]]&lt;=100,"Very High")</f>
        <v>High</v>
      </c>
      <c r="H1767" t="s">
        <v>14</v>
      </c>
      <c r="I1767">
        <v>10</v>
      </c>
      <c r="J1767" t="str">
        <f>CONCATENATE(Table2[[#This Row],[Work Experience]],"years")</f>
        <v>10years</v>
      </c>
      <c r="K1767" t="str">
        <f>CONCATENATE(Table2[[#This Row],[Family Size2]],"members")</f>
        <v>5members</v>
      </c>
      <c r="L1767" t="str">
        <f>CONCATENATE(Table2[[#This Row],[Family Size2]],"members")</f>
        <v>5members</v>
      </c>
      <c r="M1767">
        <v>5</v>
      </c>
    </row>
    <row r="1768" spans="1:13">
      <c r="A1768">
        <v>1767</v>
      </c>
      <c r="B1768" t="s">
        <v>11</v>
      </c>
      <c r="C1768">
        <v>43</v>
      </c>
      <c r="D1768" t="str" cm="1">
        <f t="array" ref="D1768">_xlfn.IFS(Table2[[#This Row],[Age]]&lt;=11,"Gen A",Table2[[#This Row],[Age]]&lt;=27,"Gen Z",Table2[[#This Row],[Age]]&lt;=43,"Millenials",Table2[[#This Row],[Age]]&lt;=59,"Gen X",Table2[[#This Row],[Age]]&lt;=78,"Baby Boomers",Table2[[#This Row],[Age]]&lt;=96,"Silent",Table2[[#This Row],[Age]]&gt;=97,"Greatest")</f>
        <v>Millenials</v>
      </c>
      <c r="E1768" s="1">
        <v>156567</v>
      </c>
      <c r="F1768">
        <v>89</v>
      </c>
      <c r="G1768" t="str" cm="1">
        <f t="array" ref="G1768">_xlfn.IFS(Table2[[#This Row],[Spending Score (1-100)]]&lt;=25,"Low",Table2[[#This Row],[Spending Score (1-100)]]&lt;=50,"Medium",Table2[[#This Row],[Spending Score (1-100)]]&lt;=75,"High",Table2[[#This Row],[Spending Score (1-100)]]&lt;=100,"Very High")</f>
        <v>Very High</v>
      </c>
      <c r="H1768" t="s">
        <v>10</v>
      </c>
      <c r="I1768">
        <v>7</v>
      </c>
      <c r="J1768" t="str">
        <f>CONCATENATE(Table2[[#This Row],[Work Experience]],"years")</f>
        <v>7years</v>
      </c>
      <c r="K1768" t="str">
        <f>CONCATENATE(Table2[[#This Row],[Family Size2]],"members")</f>
        <v>6members</v>
      </c>
      <c r="L1768" t="str">
        <f>CONCATENATE(Table2[[#This Row],[Family Size2]],"members")</f>
        <v>6members</v>
      </c>
      <c r="M1768">
        <v>6</v>
      </c>
    </row>
    <row r="1769" spans="1:13">
      <c r="A1769">
        <v>1768</v>
      </c>
      <c r="B1769" t="s">
        <v>11</v>
      </c>
      <c r="C1769">
        <v>29</v>
      </c>
      <c r="D1769" t="str" cm="1">
        <f t="array" ref="D1769">_xlfn.IFS(Table2[[#This Row],[Age]]&lt;=11,"Gen A",Table2[[#This Row],[Age]]&lt;=27,"Gen Z",Table2[[#This Row],[Age]]&lt;=43,"Millenials",Table2[[#This Row],[Age]]&lt;=59,"Gen X",Table2[[#This Row],[Age]]&lt;=78,"Baby Boomers",Table2[[#This Row],[Age]]&lt;=96,"Silent",Table2[[#This Row],[Age]]&gt;=97,"Greatest")</f>
        <v>Millenials</v>
      </c>
      <c r="E1769" s="1">
        <v>110309</v>
      </c>
      <c r="F1769">
        <v>21</v>
      </c>
      <c r="G1769" t="str" cm="1">
        <f t="array" ref="G1769">_xlfn.IFS(Table2[[#This Row],[Spending Score (1-100)]]&lt;=25,"Low",Table2[[#This Row],[Spending Score (1-100)]]&lt;=50,"Medium",Table2[[#This Row],[Spending Score (1-100)]]&lt;=75,"High",Table2[[#This Row],[Spending Score (1-100)]]&lt;=100,"Very High")</f>
        <v>Low</v>
      </c>
      <c r="H1769" t="s">
        <v>14</v>
      </c>
      <c r="I1769">
        <v>6</v>
      </c>
      <c r="J1769" t="str">
        <f>CONCATENATE(Table2[[#This Row],[Work Experience]],"years")</f>
        <v>6years</v>
      </c>
      <c r="K1769" t="str">
        <f>CONCATENATE(Table2[[#This Row],[Family Size2]],"members")</f>
        <v>2members</v>
      </c>
      <c r="L1769" t="str">
        <f>CONCATENATE(Table2[[#This Row],[Family Size2]],"members")</f>
        <v>2members</v>
      </c>
      <c r="M1769">
        <v>2</v>
      </c>
    </row>
    <row r="1770" spans="1:13">
      <c r="A1770">
        <v>1769</v>
      </c>
      <c r="B1770" t="s">
        <v>11</v>
      </c>
      <c r="C1770">
        <v>82</v>
      </c>
      <c r="D1770" t="str" cm="1">
        <f t="array" ref="D1770">_xlfn.IFS(Table2[[#This Row],[Age]]&lt;=11,"Gen A",Table2[[#This Row],[Age]]&lt;=27,"Gen Z",Table2[[#This Row],[Age]]&lt;=43,"Millenials",Table2[[#This Row],[Age]]&lt;=59,"Gen X",Table2[[#This Row],[Age]]&lt;=78,"Baby Boomers",Table2[[#This Row],[Age]]&lt;=96,"Silent",Table2[[#This Row],[Age]]&gt;=97,"Greatest")</f>
        <v>Silent</v>
      </c>
      <c r="E1770" s="1">
        <v>111077</v>
      </c>
      <c r="F1770">
        <v>55</v>
      </c>
      <c r="G1770" t="str" cm="1">
        <f t="array" ref="G1770">_xlfn.IFS(Table2[[#This Row],[Spending Score (1-100)]]&lt;=25,"Low",Table2[[#This Row],[Spending Score (1-100)]]&lt;=50,"Medium",Table2[[#This Row],[Spending Score (1-100)]]&lt;=75,"High",Table2[[#This Row],[Spending Score (1-100)]]&lt;=100,"Very High")</f>
        <v>High</v>
      </c>
      <c r="H1770" t="s">
        <v>14</v>
      </c>
      <c r="I1770">
        <v>9</v>
      </c>
      <c r="J1770" t="str">
        <f>CONCATENATE(Table2[[#This Row],[Work Experience]],"years")</f>
        <v>9years</v>
      </c>
      <c r="K1770" t="str">
        <f>CONCATENATE(Table2[[#This Row],[Family Size2]],"members")</f>
        <v>7members</v>
      </c>
      <c r="L1770" t="str">
        <f>CONCATENATE(Table2[[#This Row],[Family Size2]],"members")</f>
        <v>7members</v>
      </c>
      <c r="M1770">
        <v>7</v>
      </c>
    </row>
    <row r="1771" spans="1:13">
      <c r="A1771">
        <v>1770</v>
      </c>
      <c r="B1771" t="s">
        <v>11</v>
      </c>
      <c r="C1771">
        <v>87</v>
      </c>
      <c r="D1771" t="str" cm="1">
        <f t="array" ref="D1771">_xlfn.IFS(Table2[[#This Row],[Age]]&lt;=11,"Gen A",Table2[[#This Row],[Age]]&lt;=27,"Gen Z",Table2[[#This Row],[Age]]&lt;=43,"Millenials",Table2[[#This Row],[Age]]&lt;=59,"Gen X",Table2[[#This Row],[Age]]&lt;=78,"Baby Boomers",Table2[[#This Row],[Age]]&lt;=96,"Silent",Table2[[#This Row],[Age]]&gt;=97,"Greatest")</f>
        <v>Silent</v>
      </c>
      <c r="E1771" s="1">
        <v>170333</v>
      </c>
      <c r="F1771">
        <v>96</v>
      </c>
      <c r="G1771" t="str" cm="1">
        <f t="array" ref="G1771">_xlfn.IFS(Table2[[#This Row],[Spending Score (1-100)]]&lt;=25,"Low",Table2[[#This Row],[Spending Score (1-100)]]&lt;=50,"Medium",Table2[[#This Row],[Spending Score (1-100)]]&lt;=75,"High",Table2[[#This Row],[Spending Score (1-100)]]&lt;=100,"Very High")</f>
        <v>Very High</v>
      </c>
      <c r="H1771" t="s">
        <v>13</v>
      </c>
      <c r="I1771">
        <v>4</v>
      </c>
      <c r="J1771" t="str">
        <f>CONCATENATE(Table2[[#This Row],[Work Experience]],"years")</f>
        <v>4years</v>
      </c>
      <c r="K1771" t="str">
        <f>CONCATENATE(Table2[[#This Row],[Family Size2]],"members")</f>
        <v>2members</v>
      </c>
      <c r="L1771" t="str">
        <f>CONCATENATE(Table2[[#This Row],[Family Size2]],"members")</f>
        <v>2members</v>
      </c>
      <c r="M1771">
        <v>2</v>
      </c>
    </row>
    <row r="1772" spans="1:13">
      <c r="A1772">
        <v>1771</v>
      </c>
      <c r="B1772" t="s">
        <v>8</v>
      </c>
      <c r="C1772">
        <v>66</v>
      </c>
      <c r="D1772" t="str" cm="1">
        <f t="array" ref="D1772">_xlfn.IFS(Table2[[#This Row],[Age]]&lt;=11,"Gen A",Table2[[#This Row],[Age]]&lt;=27,"Gen Z",Table2[[#This Row],[Age]]&lt;=43,"Millenials",Table2[[#This Row],[Age]]&lt;=59,"Gen X",Table2[[#This Row],[Age]]&lt;=78,"Baby Boomers",Table2[[#This Row],[Age]]&lt;=96,"Silent",Table2[[#This Row],[Age]]&gt;=97,"Greatest")</f>
        <v>Baby Boomers</v>
      </c>
      <c r="E1772" s="1">
        <v>183339</v>
      </c>
      <c r="F1772">
        <v>39</v>
      </c>
      <c r="G1772" t="str" cm="1">
        <f t="array" ref="G1772">_xlfn.IFS(Table2[[#This Row],[Spending Score (1-100)]]&lt;=25,"Low",Table2[[#This Row],[Spending Score (1-100)]]&lt;=50,"Medium",Table2[[#This Row],[Spending Score (1-100)]]&lt;=75,"High",Table2[[#This Row],[Spending Score (1-100)]]&lt;=100,"Very High")</f>
        <v>Medium</v>
      </c>
      <c r="H1772" t="s">
        <v>14</v>
      </c>
      <c r="I1772">
        <v>7</v>
      </c>
      <c r="J1772" t="str">
        <f>CONCATENATE(Table2[[#This Row],[Work Experience]],"years")</f>
        <v>7years</v>
      </c>
      <c r="K1772" t="str">
        <f>CONCATENATE(Table2[[#This Row],[Family Size2]],"members")</f>
        <v>4members</v>
      </c>
      <c r="L1772" t="str">
        <f>CONCATENATE(Table2[[#This Row],[Family Size2]],"members")</f>
        <v>4members</v>
      </c>
      <c r="M1772">
        <v>4</v>
      </c>
    </row>
    <row r="1773" spans="1:13">
      <c r="A1773">
        <v>1772</v>
      </c>
      <c r="B1773" t="s">
        <v>11</v>
      </c>
      <c r="C1773">
        <v>99</v>
      </c>
      <c r="D1773" t="str" cm="1">
        <f t="array" ref="D1773">_xlfn.IFS(Table2[[#This Row],[Age]]&lt;=11,"Gen A",Table2[[#This Row],[Age]]&lt;=27,"Gen Z",Table2[[#This Row],[Age]]&lt;=43,"Millenials",Table2[[#This Row],[Age]]&lt;=59,"Gen X",Table2[[#This Row],[Age]]&lt;=78,"Baby Boomers",Table2[[#This Row],[Age]]&lt;=96,"Silent",Table2[[#This Row],[Age]]&gt;=97,"Greatest")</f>
        <v>Greatest</v>
      </c>
      <c r="E1773" s="1">
        <v>84167</v>
      </c>
      <c r="F1773">
        <v>46</v>
      </c>
      <c r="G1773" t="str" cm="1">
        <f t="array" ref="G1773">_xlfn.IFS(Table2[[#This Row],[Spending Score (1-100)]]&lt;=25,"Low",Table2[[#This Row],[Spending Score (1-100)]]&lt;=50,"Medium",Table2[[#This Row],[Spending Score (1-100)]]&lt;=75,"High",Table2[[#This Row],[Spending Score (1-100)]]&lt;=100,"Very High")</f>
        <v>Medium</v>
      </c>
      <c r="H1773" t="s">
        <v>14</v>
      </c>
      <c r="I1773">
        <v>10</v>
      </c>
      <c r="J1773" t="str">
        <f>CONCATENATE(Table2[[#This Row],[Work Experience]],"years")</f>
        <v>10years</v>
      </c>
      <c r="K1773" t="str">
        <f>CONCATENATE(Table2[[#This Row],[Family Size2]],"members")</f>
        <v>7members</v>
      </c>
      <c r="L1773" t="str">
        <f>CONCATENATE(Table2[[#This Row],[Family Size2]],"members")</f>
        <v>7members</v>
      </c>
      <c r="M1773">
        <v>7</v>
      </c>
    </row>
    <row r="1774" spans="1:13">
      <c r="A1774">
        <v>1773</v>
      </c>
      <c r="B1774" t="s">
        <v>11</v>
      </c>
      <c r="C1774">
        <v>54</v>
      </c>
      <c r="D1774" t="str" cm="1">
        <f t="array" ref="D1774">_xlfn.IFS(Table2[[#This Row],[Age]]&lt;=11,"Gen A",Table2[[#This Row],[Age]]&lt;=27,"Gen Z",Table2[[#This Row],[Age]]&lt;=43,"Millenials",Table2[[#This Row],[Age]]&lt;=59,"Gen X",Table2[[#This Row],[Age]]&lt;=78,"Baby Boomers",Table2[[#This Row],[Age]]&lt;=96,"Silent",Table2[[#This Row],[Age]]&gt;=97,"Greatest")</f>
        <v>Gen X</v>
      </c>
      <c r="E1774" s="1">
        <v>184815</v>
      </c>
      <c r="F1774">
        <v>50</v>
      </c>
      <c r="G1774" t="str" cm="1">
        <f t="array" ref="G1774">_xlfn.IFS(Table2[[#This Row],[Spending Score (1-100)]]&lt;=25,"Low",Table2[[#This Row],[Spending Score (1-100)]]&lt;=50,"Medium",Table2[[#This Row],[Spending Score (1-100)]]&lt;=75,"High",Table2[[#This Row],[Spending Score (1-100)]]&lt;=100,"Very High")</f>
        <v>Medium</v>
      </c>
      <c r="H1774" t="s">
        <v>12</v>
      </c>
      <c r="I1774">
        <v>6</v>
      </c>
      <c r="J1774" t="str">
        <f>CONCATENATE(Table2[[#This Row],[Work Experience]],"years")</f>
        <v>6years</v>
      </c>
      <c r="K1774" t="str">
        <f>CONCATENATE(Table2[[#This Row],[Family Size2]],"members")</f>
        <v>3members</v>
      </c>
      <c r="L1774" t="str">
        <f>CONCATENATE(Table2[[#This Row],[Family Size2]],"members")</f>
        <v>3members</v>
      </c>
      <c r="M1774">
        <v>3</v>
      </c>
    </row>
    <row r="1775" spans="1:13">
      <c r="A1775">
        <v>1774</v>
      </c>
      <c r="B1775" t="s">
        <v>11</v>
      </c>
      <c r="C1775">
        <v>49</v>
      </c>
      <c r="D1775" t="str" cm="1">
        <f t="array" ref="D1775">_xlfn.IFS(Table2[[#This Row],[Age]]&lt;=11,"Gen A",Table2[[#This Row],[Age]]&lt;=27,"Gen Z",Table2[[#This Row],[Age]]&lt;=43,"Millenials",Table2[[#This Row],[Age]]&lt;=59,"Gen X",Table2[[#This Row],[Age]]&lt;=78,"Baby Boomers",Table2[[#This Row],[Age]]&lt;=96,"Silent",Table2[[#This Row],[Age]]&gt;=97,"Greatest")</f>
        <v>Gen X</v>
      </c>
      <c r="E1775" s="1">
        <v>122556</v>
      </c>
      <c r="F1775">
        <v>74</v>
      </c>
      <c r="G1775" t="str" cm="1">
        <f t="array" ref="G1775">_xlfn.IFS(Table2[[#This Row],[Spending Score (1-100)]]&lt;=25,"Low",Table2[[#This Row],[Spending Score (1-100)]]&lt;=50,"Medium",Table2[[#This Row],[Spending Score (1-100)]]&lt;=75,"High",Table2[[#This Row],[Spending Score (1-100)]]&lt;=100,"Very High")</f>
        <v>High</v>
      </c>
      <c r="H1775" t="s">
        <v>14</v>
      </c>
      <c r="I1775">
        <v>9</v>
      </c>
      <c r="J1775" t="str">
        <f>CONCATENATE(Table2[[#This Row],[Work Experience]],"years")</f>
        <v>9years</v>
      </c>
      <c r="K1775" t="str">
        <f>CONCATENATE(Table2[[#This Row],[Family Size2]],"members")</f>
        <v>7members</v>
      </c>
      <c r="L1775" t="str">
        <f>CONCATENATE(Table2[[#This Row],[Family Size2]],"members")</f>
        <v>7members</v>
      </c>
      <c r="M1775">
        <v>7</v>
      </c>
    </row>
    <row r="1776" spans="1:13">
      <c r="A1776">
        <v>1775</v>
      </c>
      <c r="B1776" t="s">
        <v>11</v>
      </c>
      <c r="C1776">
        <v>60</v>
      </c>
      <c r="D1776" t="str" cm="1">
        <f t="array" ref="D1776">_xlfn.IFS(Table2[[#This Row],[Age]]&lt;=11,"Gen A",Table2[[#This Row],[Age]]&lt;=27,"Gen Z",Table2[[#This Row],[Age]]&lt;=43,"Millenials",Table2[[#This Row],[Age]]&lt;=59,"Gen X",Table2[[#This Row],[Age]]&lt;=78,"Baby Boomers",Table2[[#This Row],[Age]]&lt;=96,"Silent",Table2[[#This Row],[Age]]&gt;=97,"Greatest")</f>
        <v>Baby Boomers</v>
      </c>
      <c r="E1776" s="1">
        <v>174768</v>
      </c>
      <c r="F1776">
        <v>66</v>
      </c>
      <c r="G1776" t="str" cm="1">
        <f t="array" ref="G1776">_xlfn.IFS(Table2[[#This Row],[Spending Score (1-100)]]&lt;=25,"Low",Table2[[#This Row],[Spending Score (1-100)]]&lt;=50,"Medium",Table2[[#This Row],[Spending Score (1-100)]]&lt;=75,"High",Table2[[#This Row],[Spending Score (1-100)]]&lt;=100,"Very High")</f>
        <v>High</v>
      </c>
      <c r="H1776" t="s">
        <v>13</v>
      </c>
      <c r="I1776">
        <v>9</v>
      </c>
      <c r="J1776" t="str">
        <f>CONCATENATE(Table2[[#This Row],[Work Experience]],"years")</f>
        <v>9years</v>
      </c>
      <c r="K1776" t="str">
        <f>CONCATENATE(Table2[[#This Row],[Family Size2]],"members")</f>
        <v>2members</v>
      </c>
      <c r="L1776" t="str">
        <f>CONCATENATE(Table2[[#This Row],[Family Size2]],"members")</f>
        <v>2members</v>
      </c>
      <c r="M1776">
        <v>2</v>
      </c>
    </row>
    <row r="1777" spans="1:13">
      <c r="A1777">
        <v>1776</v>
      </c>
      <c r="B1777" t="s">
        <v>8</v>
      </c>
      <c r="C1777">
        <v>75</v>
      </c>
      <c r="D1777" t="str" cm="1">
        <f t="array" ref="D1777">_xlfn.IFS(Table2[[#This Row],[Age]]&lt;=11,"Gen A",Table2[[#This Row],[Age]]&lt;=27,"Gen Z",Table2[[#This Row],[Age]]&lt;=43,"Millenials",Table2[[#This Row],[Age]]&lt;=59,"Gen X",Table2[[#This Row],[Age]]&lt;=78,"Baby Boomers",Table2[[#This Row],[Age]]&lt;=96,"Silent",Table2[[#This Row],[Age]]&gt;=97,"Greatest")</f>
        <v>Baby Boomers</v>
      </c>
      <c r="E1777" s="1">
        <v>172309</v>
      </c>
      <c r="F1777">
        <v>82</v>
      </c>
      <c r="G1777" t="str" cm="1">
        <f t="array" ref="G1777">_xlfn.IFS(Table2[[#This Row],[Spending Score (1-100)]]&lt;=25,"Low",Table2[[#This Row],[Spending Score (1-100)]]&lt;=50,"Medium",Table2[[#This Row],[Spending Score (1-100)]]&lt;=75,"High",Table2[[#This Row],[Spending Score (1-100)]]&lt;=100,"Very High")</f>
        <v>Very High</v>
      </c>
      <c r="H1777" t="s">
        <v>15</v>
      </c>
      <c r="I1777">
        <v>4</v>
      </c>
      <c r="J1777" t="str">
        <f>CONCATENATE(Table2[[#This Row],[Work Experience]],"years")</f>
        <v>4years</v>
      </c>
      <c r="K1777" t="str">
        <f>CONCATENATE(Table2[[#This Row],[Family Size2]],"members")</f>
        <v>1members</v>
      </c>
      <c r="L1777" t="str">
        <f>CONCATENATE(Table2[[#This Row],[Family Size2]],"members")</f>
        <v>1members</v>
      </c>
      <c r="M1777">
        <v>1</v>
      </c>
    </row>
    <row r="1778" spans="1:13">
      <c r="A1778">
        <v>1777</v>
      </c>
      <c r="B1778" t="s">
        <v>8</v>
      </c>
      <c r="C1778">
        <v>77</v>
      </c>
      <c r="D1778" t="str" cm="1">
        <f t="array" ref="D1778">_xlfn.IFS(Table2[[#This Row],[Age]]&lt;=11,"Gen A",Table2[[#This Row],[Age]]&lt;=27,"Gen Z",Table2[[#This Row],[Age]]&lt;=43,"Millenials",Table2[[#This Row],[Age]]&lt;=59,"Gen X",Table2[[#This Row],[Age]]&lt;=78,"Baby Boomers",Table2[[#This Row],[Age]]&lt;=96,"Silent",Table2[[#This Row],[Age]]&gt;=97,"Greatest")</f>
        <v>Baby Boomers</v>
      </c>
      <c r="E1778" s="1">
        <v>117920</v>
      </c>
      <c r="F1778">
        <v>4</v>
      </c>
      <c r="G1778" t="str" cm="1">
        <f t="array" ref="G1778">_xlfn.IFS(Table2[[#This Row],[Spending Score (1-100)]]&lt;=25,"Low",Table2[[#This Row],[Spending Score (1-100)]]&lt;=50,"Medium",Table2[[#This Row],[Spending Score (1-100)]]&lt;=75,"High",Table2[[#This Row],[Spending Score (1-100)]]&lt;=100,"Very High")</f>
        <v>Low</v>
      </c>
      <c r="H1778" t="s">
        <v>16</v>
      </c>
      <c r="I1778">
        <v>10</v>
      </c>
      <c r="J1778" t="str">
        <f>CONCATENATE(Table2[[#This Row],[Work Experience]],"years")</f>
        <v>10years</v>
      </c>
      <c r="K1778" t="str">
        <f>CONCATENATE(Table2[[#This Row],[Family Size2]],"members")</f>
        <v>4members</v>
      </c>
      <c r="L1778" t="str">
        <f>CONCATENATE(Table2[[#This Row],[Family Size2]],"members")</f>
        <v>4members</v>
      </c>
      <c r="M1778">
        <v>4</v>
      </c>
    </row>
    <row r="1779" spans="1:13">
      <c r="A1779">
        <v>1778</v>
      </c>
      <c r="B1779" t="s">
        <v>8</v>
      </c>
      <c r="C1779">
        <v>34</v>
      </c>
      <c r="D1779" t="str" cm="1">
        <f t="array" ref="D1779">_xlfn.IFS(Table2[[#This Row],[Age]]&lt;=11,"Gen A",Table2[[#This Row],[Age]]&lt;=27,"Gen Z",Table2[[#This Row],[Age]]&lt;=43,"Millenials",Table2[[#This Row],[Age]]&lt;=59,"Gen X",Table2[[#This Row],[Age]]&lt;=78,"Baby Boomers",Table2[[#This Row],[Age]]&lt;=96,"Silent",Table2[[#This Row],[Age]]&gt;=97,"Greatest")</f>
        <v>Millenials</v>
      </c>
      <c r="E1779" s="1">
        <v>134882</v>
      </c>
      <c r="F1779">
        <v>61</v>
      </c>
      <c r="G1779" t="str" cm="1">
        <f t="array" ref="G1779">_xlfn.IFS(Table2[[#This Row],[Spending Score (1-100)]]&lt;=25,"Low",Table2[[#This Row],[Spending Score (1-100)]]&lt;=50,"Medium",Table2[[#This Row],[Spending Score (1-100)]]&lt;=75,"High",Table2[[#This Row],[Spending Score (1-100)]]&lt;=100,"Very High")</f>
        <v>High</v>
      </c>
      <c r="H1779" t="s">
        <v>14</v>
      </c>
      <c r="I1779">
        <v>10</v>
      </c>
      <c r="J1779" t="str">
        <f>CONCATENATE(Table2[[#This Row],[Work Experience]],"years")</f>
        <v>10years</v>
      </c>
      <c r="K1779" t="str">
        <f>CONCATENATE(Table2[[#This Row],[Family Size2]],"members")</f>
        <v>3members</v>
      </c>
      <c r="L1779" t="str">
        <f>CONCATENATE(Table2[[#This Row],[Family Size2]],"members")</f>
        <v>3members</v>
      </c>
      <c r="M1779">
        <v>3</v>
      </c>
    </row>
    <row r="1780" spans="1:13">
      <c r="A1780">
        <v>1779</v>
      </c>
      <c r="B1780" t="s">
        <v>11</v>
      </c>
      <c r="C1780">
        <v>63</v>
      </c>
      <c r="D1780" t="str" cm="1">
        <f t="array" ref="D1780">_xlfn.IFS(Table2[[#This Row],[Age]]&lt;=11,"Gen A",Table2[[#This Row],[Age]]&lt;=27,"Gen Z",Table2[[#This Row],[Age]]&lt;=43,"Millenials",Table2[[#This Row],[Age]]&lt;=59,"Gen X",Table2[[#This Row],[Age]]&lt;=78,"Baby Boomers",Table2[[#This Row],[Age]]&lt;=96,"Silent",Table2[[#This Row],[Age]]&gt;=97,"Greatest")</f>
        <v>Baby Boomers</v>
      </c>
      <c r="E1780" s="1">
        <v>77259</v>
      </c>
      <c r="F1780">
        <v>11</v>
      </c>
      <c r="G1780" t="str" cm="1">
        <f t="array" ref="G1780">_xlfn.IFS(Table2[[#This Row],[Spending Score (1-100)]]&lt;=25,"Low",Table2[[#This Row],[Spending Score (1-100)]]&lt;=50,"Medium",Table2[[#This Row],[Spending Score (1-100)]]&lt;=75,"High",Table2[[#This Row],[Spending Score (1-100)]]&lt;=100,"Very High")</f>
        <v>Low</v>
      </c>
      <c r="H1780" t="s">
        <v>12</v>
      </c>
      <c r="I1780">
        <v>6</v>
      </c>
      <c r="J1780" t="str">
        <f>CONCATENATE(Table2[[#This Row],[Work Experience]],"years")</f>
        <v>6years</v>
      </c>
      <c r="K1780" t="str">
        <f>CONCATENATE(Table2[[#This Row],[Family Size2]],"members")</f>
        <v>6members</v>
      </c>
      <c r="L1780" t="str">
        <f>CONCATENATE(Table2[[#This Row],[Family Size2]],"members")</f>
        <v>6members</v>
      </c>
      <c r="M1780">
        <v>6</v>
      </c>
    </row>
    <row r="1781" spans="1:13">
      <c r="A1781">
        <v>1780</v>
      </c>
      <c r="B1781" t="s">
        <v>8</v>
      </c>
      <c r="C1781">
        <v>38</v>
      </c>
      <c r="D1781" t="str" cm="1">
        <f t="array" ref="D1781">_xlfn.IFS(Table2[[#This Row],[Age]]&lt;=11,"Gen A",Table2[[#This Row],[Age]]&lt;=27,"Gen Z",Table2[[#This Row],[Age]]&lt;=43,"Millenials",Table2[[#This Row],[Age]]&lt;=59,"Gen X",Table2[[#This Row],[Age]]&lt;=78,"Baby Boomers",Table2[[#This Row],[Age]]&lt;=96,"Silent",Table2[[#This Row],[Age]]&gt;=97,"Greatest")</f>
        <v>Millenials</v>
      </c>
      <c r="E1781" s="1">
        <v>170019</v>
      </c>
      <c r="F1781">
        <v>38</v>
      </c>
      <c r="G1781" t="str" cm="1">
        <f t="array" ref="G1781">_xlfn.IFS(Table2[[#This Row],[Spending Score (1-100)]]&lt;=25,"Low",Table2[[#This Row],[Spending Score (1-100)]]&lt;=50,"Medium",Table2[[#This Row],[Spending Score (1-100)]]&lt;=75,"High",Table2[[#This Row],[Spending Score (1-100)]]&lt;=100,"Very High")</f>
        <v>Medium</v>
      </c>
      <c r="H1781" t="s">
        <v>14</v>
      </c>
      <c r="I1781">
        <v>7</v>
      </c>
      <c r="J1781" t="str">
        <f>CONCATENATE(Table2[[#This Row],[Work Experience]],"years")</f>
        <v>7years</v>
      </c>
      <c r="K1781" t="str">
        <f>CONCATENATE(Table2[[#This Row],[Family Size2]],"members")</f>
        <v>2members</v>
      </c>
      <c r="L1781" t="str">
        <f>CONCATENATE(Table2[[#This Row],[Family Size2]],"members")</f>
        <v>2members</v>
      </c>
      <c r="M1781">
        <v>2</v>
      </c>
    </row>
    <row r="1782" spans="1:13">
      <c r="A1782">
        <v>1781</v>
      </c>
      <c r="B1782" t="s">
        <v>11</v>
      </c>
      <c r="C1782">
        <v>68</v>
      </c>
      <c r="D1782" t="str" cm="1">
        <f t="array" ref="D1782">_xlfn.IFS(Table2[[#This Row],[Age]]&lt;=11,"Gen A",Table2[[#This Row],[Age]]&lt;=27,"Gen Z",Table2[[#This Row],[Age]]&lt;=43,"Millenials",Table2[[#This Row],[Age]]&lt;=59,"Gen X",Table2[[#This Row],[Age]]&lt;=78,"Baby Boomers",Table2[[#This Row],[Age]]&lt;=96,"Silent",Table2[[#This Row],[Age]]&gt;=97,"Greatest")</f>
        <v>Baby Boomers</v>
      </c>
      <c r="E1782" s="1">
        <v>176884</v>
      </c>
      <c r="F1782">
        <v>94</v>
      </c>
      <c r="G1782" t="str" cm="1">
        <f t="array" ref="G1782">_xlfn.IFS(Table2[[#This Row],[Spending Score (1-100)]]&lt;=25,"Low",Table2[[#This Row],[Spending Score (1-100)]]&lt;=50,"Medium",Table2[[#This Row],[Spending Score (1-100)]]&lt;=75,"High",Table2[[#This Row],[Spending Score (1-100)]]&lt;=100,"Very High")</f>
        <v>Very High</v>
      </c>
      <c r="H1782" t="s">
        <v>10</v>
      </c>
      <c r="I1782">
        <v>10</v>
      </c>
      <c r="J1782" t="str">
        <f>CONCATENATE(Table2[[#This Row],[Work Experience]],"years")</f>
        <v>10years</v>
      </c>
      <c r="K1782" t="str">
        <f>CONCATENATE(Table2[[#This Row],[Family Size2]],"members")</f>
        <v>2members</v>
      </c>
      <c r="L1782" t="str">
        <f>CONCATENATE(Table2[[#This Row],[Family Size2]],"members")</f>
        <v>2members</v>
      </c>
      <c r="M1782">
        <v>2</v>
      </c>
    </row>
    <row r="1783" spans="1:13">
      <c r="A1783">
        <v>1782</v>
      </c>
      <c r="B1783" t="s">
        <v>11</v>
      </c>
      <c r="C1783">
        <v>80</v>
      </c>
      <c r="D1783" t="str" cm="1">
        <f t="array" ref="D1783">_xlfn.IFS(Table2[[#This Row],[Age]]&lt;=11,"Gen A",Table2[[#This Row],[Age]]&lt;=27,"Gen Z",Table2[[#This Row],[Age]]&lt;=43,"Millenials",Table2[[#This Row],[Age]]&lt;=59,"Gen X",Table2[[#This Row],[Age]]&lt;=78,"Baby Boomers",Table2[[#This Row],[Age]]&lt;=96,"Silent",Table2[[#This Row],[Age]]&gt;=97,"Greatest")</f>
        <v>Silent</v>
      </c>
      <c r="E1783" s="1">
        <v>106709</v>
      </c>
      <c r="F1783">
        <v>93</v>
      </c>
      <c r="G1783" t="str" cm="1">
        <f t="array" ref="G1783">_xlfn.IFS(Table2[[#This Row],[Spending Score (1-100)]]&lt;=25,"Low",Table2[[#This Row],[Spending Score (1-100)]]&lt;=50,"Medium",Table2[[#This Row],[Spending Score (1-100)]]&lt;=75,"High",Table2[[#This Row],[Spending Score (1-100)]]&lt;=100,"Very High")</f>
        <v>Very High</v>
      </c>
      <c r="H1783" t="s">
        <v>18</v>
      </c>
      <c r="I1783">
        <v>10</v>
      </c>
      <c r="J1783" t="str">
        <f>CONCATENATE(Table2[[#This Row],[Work Experience]],"years")</f>
        <v>10years</v>
      </c>
      <c r="K1783" t="str">
        <f>CONCATENATE(Table2[[#This Row],[Family Size2]],"members")</f>
        <v>2members</v>
      </c>
      <c r="L1783" t="str">
        <f>CONCATENATE(Table2[[#This Row],[Family Size2]],"members")</f>
        <v>2members</v>
      </c>
      <c r="M1783">
        <v>2</v>
      </c>
    </row>
    <row r="1784" spans="1:13">
      <c r="A1784">
        <v>1783</v>
      </c>
      <c r="B1784" t="s">
        <v>11</v>
      </c>
      <c r="C1784">
        <v>8</v>
      </c>
      <c r="D1784" t="str" cm="1">
        <f t="array" ref="D1784">_xlfn.IFS(Table2[[#This Row],[Age]]&lt;=11,"Gen A",Table2[[#This Row],[Age]]&lt;=27,"Gen Z",Table2[[#This Row],[Age]]&lt;=43,"Millenials",Table2[[#This Row],[Age]]&lt;=59,"Gen X",Table2[[#This Row],[Age]]&lt;=78,"Baby Boomers",Table2[[#This Row],[Age]]&lt;=96,"Silent",Table2[[#This Row],[Age]]&gt;=97,"Greatest")</f>
        <v>Gen A</v>
      </c>
      <c r="E1784" s="1">
        <v>168723</v>
      </c>
      <c r="F1784">
        <v>31</v>
      </c>
      <c r="G1784" t="str" cm="1">
        <f t="array" ref="G1784">_xlfn.IFS(Table2[[#This Row],[Spending Score (1-100)]]&lt;=25,"Low",Table2[[#This Row],[Spending Score (1-100)]]&lt;=50,"Medium",Table2[[#This Row],[Spending Score (1-100)]]&lt;=75,"High",Table2[[#This Row],[Spending Score (1-100)]]&lt;=100,"Very High")</f>
        <v>Medium</v>
      </c>
      <c r="H1784" t="s">
        <v>17</v>
      </c>
      <c r="I1784">
        <v>7</v>
      </c>
      <c r="J1784" t="str">
        <f>CONCATENATE(Table2[[#This Row],[Work Experience]],"years")</f>
        <v>7years</v>
      </c>
      <c r="K1784" t="str">
        <f>CONCATENATE(Table2[[#This Row],[Family Size2]],"members")</f>
        <v>2members</v>
      </c>
      <c r="L1784" t="str">
        <f>CONCATENATE(Table2[[#This Row],[Family Size2]],"members")</f>
        <v>2members</v>
      </c>
      <c r="M1784">
        <v>2</v>
      </c>
    </row>
    <row r="1785" spans="1:13">
      <c r="A1785">
        <v>1784</v>
      </c>
      <c r="B1785" t="s">
        <v>11</v>
      </c>
      <c r="C1785">
        <v>86</v>
      </c>
      <c r="D1785" t="str" cm="1">
        <f t="array" ref="D1785">_xlfn.IFS(Table2[[#This Row],[Age]]&lt;=11,"Gen A",Table2[[#This Row],[Age]]&lt;=27,"Gen Z",Table2[[#This Row],[Age]]&lt;=43,"Millenials",Table2[[#This Row],[Age]]&lt;=59,"Gen X",Table2[[#This Row],[Age]]&lt;=78,"Baby Boomers",Table2[[#This Row],[Age]]&lt;=96,"Silent",Table2[[#This Row],[Age]]&gt;=97,"Greatest")</f>
        <v>Silent</v>
      </c>
      <c r="E1785" s="1">
        <v>90228</v>
      </c>
      <c r="F1785">
        <v>68</v>
      </c>
      <c r="G1785" t="str" cm="1">
        <f t="array" ref="G1785">_xlfn.IFS(Table2[[#This Row],[Spending Score (1-100)]]&lt;=25,"Low",Table2[[#This Row],[Spending Score (1-100)]]&lt;=50,"Medium",Table2[[#This Row],[Spending Score (1-100)]]&lt;=75,"High",Table2[[#This Row],[Spending Score (1-100)]]&lt;=100,"Very High")</f>
        <v>High</v>
      </c>
      <c r="H1785" t="s">
        <v>10</v>
      </c>
      <c r="I1785">
        <v>7</v>
      </c>
      <c r="J1785" t="str">
        <f>CONCATENATE(Table2[[#This Row],[Work Experience]],"years")</f>
        <v>7years</v>
      </c>
      <c r="K1785" t="str">
        <f>CONCATENATE(Table2[[#This Row],[Family Size2]],"members")</f>
        <v>5members</v>
      </c>
      <c r="L1785" t="str">
        <f>CONCATENATE(Table2[[#This Row],[Family Size2]],"members")</f>
        <v>5members</v>
      </c>
      <c r="M1785">
        <v>5</v>
      </c>
    </row>
    <row r="1786" spans="1:13">
      <c r="A1786">
        <v>1785</v>
      </c>
      <c r="B1786" t="s">
        <v>11</v>
      </c>
      <c r="C1786">
        <v>1</v>
      </c>
      <c r="D1786" t="str" cm="1">
        <f t="array" ref="D1786">_xlfn.IFS(Table2[[#This Row],[Age]]&lt;=11,"Gen A",Table2[[#This Row],[Age]]&lt;=27,"Gen Z",Table2[[#This Row],[Age]]&lt;=43,"Millenials",Table2[[#This Row],[Age]]&lt;=59,"Gen X",Table2[[#This Row],[Age]]&lt;=78,"Baby Boomers",Table2[[#This Row],[Age]]&lt;=96,"Silent",Table2[[#This Row],[Age]]&gt;=97,"Greatest")</f>
        <v>Gen A</v>
      </c>
      <c r="E1786" s="1">
        <v>89473</v>
      </c>
      <c r="F1786">
        <v>85</v>
      </c>
      <c r="G1786" t="str" cm="1">
        <f t="array" ref="G1786">_xlfn.IFS(Table2[[#This Row],[Spending Score (1-100)]]&lt;=25,"Low",Table2[[#This Row],[Spending Score (1-100)]]&lt;=50,"Medium",Table2[[#This Row],[Spending Score (1-100)]]&lt;=75,"High",Table2[[#This Row],[Spending Score (1-100)]]&lt;=100,"Very High")</f>
        <v>Very High</v>
      </c>
      <c r="H1786" t="s">
        <v>12</v>
      </c>
      <c r="I1786">
        <v>10</v>
      </c>
      <c r="J1786" t="str">
        <f>CONCATENATE(Table2[[#This Row],[Work Experience]],"years")</f>
        <v>10years</v>
      </c>
      <c r="K1786" t="str">
        <f>CONCATENATE(Table2[[#This Row],[Family Size2]],"members")</f>
        <v>4members</v>
      </c>
      <c r="L1786" t="str">
        <f>CONCATENATE(Table2[[#This Row],[Family Size2]],"members")</f>
        <v>4members</v>
      </c>
      <c r="M1786">
        <v>4</v>
      </c>
    </row>
    <row r="1787" spans="1:13">
      <c r="A1787">
        <v>1786</v>
      </c>
      <c r="B1787" t="s">
        <v>8</v>
      </c>
      <c r="C1787">
        <v>56</v>
      </c>
      <c r="D1787" t="str" cm="1">
        <f t="array" ref="D1787">_xlfn.IFS(Table2[[#This Row],[Age]]&lt;=11,"Gen A",Table2[[#This Row],[Age]]&lt;=27,"Gen Z",Table2[[#This Row],[Age]]&lt;=43,"Millenials",Table2[[#This Row],[Age]]&lt;=59,"Gen X",Table2[[#This Row],[Age]]&lt;=78,"Baby Boomers",Table2[[#This Row],[Age]]&lt;=96,"Silent",Table2[[#This Row],[Age]]&gt;=97,"Greatest")</f>
        <v>Gen X</v>
      </c>
      <c r="E1787" s="1">
        <v>131911</v>
      </c>
      <c r="F1787">
        <v>42</v>
      </c>
      <c r="G1787" t="str" cm="1">
        <f t="array" ref="G1787">_xlfn.IFS(Table2[[#This Row],[Spending Score (1-100)]]&lt;=25,"Low",Table2[[#This Row],[Spending Score (1-100)]]&lt;=50,"Medium",Table2[[#This Row],[Spending Score (1-100)]]&lt;=75,"High",Table2[[#This Row],[Spending Score (1-100)]]&lt;=100,"Very High")</f>
        <v>Medium</v>
      </c>
      <c r="H1787" t="s">
        <v>9</v>
      </c>
      <c r="I1787">
        <v>7</v>
      </c>
      <c r="J1787" t="str">
        <f>CONCATENATE(Table2[[#This Row],[Work Experience]],"years")</f>
        <v>7years</v>
      </c>
      <c r="K1787" t="str">
        <f>CONCATENATE(Table2[[#This Row],[Family Size2]],"members")</f>
        <v>7members</v>
      </c>
      <c r="L1787" t="str">
        <f>CONCATENATE(Table2[[#This Row],[Family Size2]],"members")</f>
        <v>7members</v>
      </c>
      <c r="M1787">
        <v>7</v>
      </c>
    </row>
    <row r="1788" spans="1:13">
      <c r="A1788">
        <v>1787</v>
      </c>
      <c r="B1788" t="s">
        <v>11</v>
      </c>
      <c r="C1788">
        <v>14</v>
      </c>
      <c r="D1788" t="str" cm="1">
        <f t="array" ref="D1788">_xlfn.IFS(Table2[[#This Row],[Age]]&lt;=11,"Gen A",Table2[[#This Row],[Age]]&lt;=27,"Gen Z",Table2[[#This Row],[Age]]&lt;=43,"Millenials",Table2[[#This Row],[Age]]&lt;=59,"Gen X",Table2[[#This Row],[Age]]&lt;=78,"Baby Boomers",Table2[[#This Row],[Age]]&lt;=96,"Silent",Table2[[#This Row],[Age]]&gt;=97,"Greatest")</f>
        <v>Gen Z</v>
      </c>
      <c r="E1788" s="1">
        <v>140107</v>
      </c>
      <c r="F1788">
        <v>63</v>
      </c>
      <c r="G1788" t="str" cm="1">
        <f t="array" ref="G1788">_xlfn.IFS(Table2[[#This Row],[Spending Score (1-100)]]&lt;=25,"Low",Table2[[#This Row],[Spending Score (1-100)]]&lt;=50,"Medium",Table2[[#This Row],[Spending Score (1-100)]]&lt;=75,"High",Table2[[#This Row],[Spending Score (1-100)]]&lt;=100,"Very High")</f>
        <v>High</v>
      </c>
      <c r="H1788" t="s">
        <v>18</v>
      </c>
      <c r="I1788">
        <v>6</v>
      </c>
      <c r="J1788" t="str">
        <f>CONCATENATE(Table2[[#This Row],[Work Experience]],"years")</f>
        <v>6years</v>
      </c>
      <c r="K1788" t="str">
        <f>CONCATENATE(Table2[[#This Row],[Family Size2]],"members")</f>
        <v>6members</v>
      </c>
      <c r="L1788" t="str">
        <f>CONCATENATE(Table2[[#This Row],[Family Size2]],"members")</f>
        <v>6members</v>
      </c>
      <c r="M1788">
        <v>6</v>
      </c>
    </row>
    <row r="1789" spans="1:13">
      <c r="A1789">
        <v>1788</v>
      </c>
      <c r="B1789" t="s">
        <v>11</v>
      </c>
      <c r="C1789">
        <v>4</v>
      </c>
      <c r="D1789" t="str" cm="1">
        <f t="array" ref="D1789">_xlfn.IFS(Table2[[#This Row],[Age]]&lt;=11,"Gen A",Table2[[#This Row],[Age]]&lt;=27,"Gen Z",Table2[[#This Row],[Age]]&lt;=43,"Millenials",Table2[[#This Row],[Age]]&lt;=59,"Gen X",Table2[[#This Row],[Age]]&lt;=78,"Baby Boomers",Table2[[#This Row],[Age]]&lt;=96,"Silent",Table2[[#This Row],[Age]]&gt;=97,"Greatest")</f>
        <v>Gen A</v>
      </c>
      <c r="E1789" s="1">
        <v>170403</v>
      </c>
      <c r="F1789">
        <v>44</v>
      </c>
      <c r="G1789" t="str" cm="1">
        <f t="array" ref="G1789">_xlfn.IFS(Table2[[#This Row],[Spending Score (1-100)]]&lt;=25,"Low",Table2[[#This Row],[Spending Score (1-100)]]&lt;=50,"Medium",Table2[[#This Row],[Spending Score (1-100)]]&lt;=75,"High",Table2[[#This Row],[Spending Score (1-100)]]&lt;=100,"Very High")</f>
        <v>Medium</v>
      </c>
      <c r="H1789" t="s">
        <v>14</v>
      </c>
      <c r="I1789">
        <v>4</v>
      </c>
      <c r="J1789" t="str">
        <f>CONCATENATE(Table2[[#This Row],[Work Experience]],"years")</f>
        <v>4years</v>
      </c>
      <c r="K1789" t="str">
        <f>CONCATENATE(Table2[[#This Row],[Family Size2]],"members")</f>
        <v>5members</v>
      </c>
      <c r="L1789" t="str">
        <f>CONCATENATE(Table2[[#This Row],[Family Size2]],"members")</f>
        <v>5members</v>
      </c>
      <c r="M1789">
        <v>5</v>
      </c>
    </row>
    <row r="1790" spans="1:13">
      <c r="A1790">
        <v>1789</v>
      </c>
      <c r="B1790" t="s">
        <v>11</v>
      </c>
      <c r="C1790">
        <v>58</v>
      </c>
      <c r="D1790" t="str" cm="1">
        <f t="array" ref="D1790">_xlfn.IFS(Table2[[#This Row],[Age]]&lt;=11,"Gen A",Table2[[#This Row],[Age]]&lt;=27,"Gen Z",Table2[[#This Row],[Age]]&lt;=43,"Millenials",Table2[[#This Row],[Age]]&lt;=59,"Gen X",Table2[[#This Row],[Age]]&lt;=78,"Baby Boomers",Table2[[#This Row],[Age]]&lt;=96,"Silent",Table2[[#This Row],[Age]]&gt;=97,"Greatest")</f>
        <v>Gen X</v>
      </c>
      <c r="E1790" s="1">
        <v>51416</v>
      </c>
      <c r="F1790">
        <v>46</v>
      </c>
      <c r="G1790" t="str" cm="1">
        <f t="array" ref="G1790">_xlfn.IFS(Table2[[#This Row],[Spending Score (1-100)]]&lt;=25,"Low",Table2[[#This Row],[Spending Score (1-100)]]&lt;=50,"Medium",Table2[[#This Row],[Spending Score (1-100)]]&lt;=75,"High",Table2[[#This Row],[Spending Score (1-100)]]&lt;=100,"Very High")</f>
        <v>Medium</v>
      </c>
      <c r="H1790" t="s">
        <v>19</v>
      </c>
      <c r="I1790">
        <v>7</v>
      </c>
      <c r="J1790" t="str">
        <f>CONCATENATE(Table2[[#This Row],[Work Experience]],"years")</f>
        <v>7years</v>
      </c>
      <c r="K1790" t="str">
        <f>CONCATENATE(Table2[[#This Row],[Family Size2]],"members")</f>
        <v>5members</v>
      </c>
      <c r="L1790" t="str">
        <f>CONCATENATE(Table2[[#This Row],[Family Size2]],"members")</f>
        <v>5members</v>
      </c>
      <c r="M1790">
        <v>5</v>
      </c>
    </row>
    <row r="1791" spans="1:13">
      <c r="A1791">
        <v>1790</v>
      </c>
      <c r="B1791" t="s">
        <v>11</v>
      </c>
      <c r="C1791">
        <v>6</v>
      </c>
      <c r="D1791" t="str" cm="1">
        <f t="array" ref="D1791">_xlfn.IFS(Table2[[#This Row],[Age]]&lt;=11,"Gen A",Table2[[#This Row],[Age]]&lt;=27,"Gen Z",Table2[[#This Row],[Age]]&lt;=43,"Millenials",Table2[[#This Row],[Age]]&lt;=59,"Gen X",Table2[[#This Row],[Age]]&lt;=78,"Baby Boomers",Table2[[#This Row],[Age]]&lt;=96,"Silent",Table2[[#This Row],[Age]]&gt;=97,"Greatest")</f>
        <v>Gen A</v>
      </c>
      <c r="E1791" s="1">
        <v>52648</v>
      </c>
      <c r="F1791">
        <v>2</v>
      </c>
      <c r="G1791" t="str" cm="1">
        <f t="array" ref="G1791">_xlfn.IFS(Table2[[#This Row],[Spending Score (1-100)]]&lt;=25,"Low",Table2[[#This Row],[Spending Score (1-100)]]&lt;=50,"Medium",Table2[[#This Row],[Spending Score (1-100)]]&lt;=75,"High",Table2[[#This Row],[Spending Score (1-100)]]&lt;=100,"Very High")</f>
        <v>Low</v>
      </c>
      <c r="H1791" t="s">
        <v>14</v>
      </c>
      <c r="I1791">
        <v>5</v>
      </c>
      <c r="J1791" t="str">
        <f>CONCATENATE(Table2[[#This Row],[Work Experience]],"years")</f>
        <v>5years</v>
      </c>
      <c r="K1791" t="str">
        <f>CONCATENATE(Table2[[#This Row],[Family Size2]],"members")</f>
        <v>2members</v>
      </c>
      <c r="L1791" t="str">
        <f>CONCATENATE(Table2[[#This Row],[Family Size2]],"members")</f>
        <v>2members</v>
      </c>
      <c r="M1791">
        <v>2</v>
      </c>
    </row>
    <row r="1792" spans="1:13">
      <c r="A1792">
        <v>1791</v>
      </c>
      <c r="B1792" t="s">
        <v>8</v>
      </c>
      <c r="C1792">
        <v>17</v>
      </c>
      <c r="D1792" t="str" cm="1">
        <f t="array" ref="D1792">_xlfn.IFS(Table2[[#This Row],[Age]]&lt;=11,"Gen A",Table2[[#This Row],[Age]]&lt;=27,"Gen Z",Table2[[#This Row],[Age]]&lt;=43,"Millenials",Table2[[#This Row],[Age]]&lt;=59,"Gen X",Table2[[#This Row],[Age]]&lt;=78,"Baby Boomers",Table2[[#This Row],[Age]]&lt;=96,"Silent",Table2[[#This Row],[Age]]&gt;=97,"Greatest")</f>
        <v>Gen Z</v>
      </c>
      <c r="E1792" s="1">
        <v>125471</v>
      </c>
      <c r="F1792">
        <v>48</v>
      </c>
      <c r="G1792" t="str" cm="1">
        <f t="array" ref="G1792">_xlfn.IFS(Table2[[#This Row],[Spending Score (1-100)]]&lt;=25,"Low",Table2[[#This Row],[Spending Score (1-100)]]&lt;=50,"Medium",Table2[[#This Row],[Spending Score (1-100)]]&lt;=75,"High",Table2[[#This Row],[Spending Score (1-100)]]&lt;=100,"Very High")</f>
        <v>Medium</v>
      </c>
      <c r="H1792" t="s">
        <v>10</v>
      </c>
      <c r="I1792">
        <v>7</v>
      </c>
      <c r="J1792" t="str">
        <f>CONCATENATE(Table2[[#This Row],[Work Experience]],"years")</f>
        <v>7years</v>
      </c>
      <c r="K1792" t="str">
        <f>CONCATENATE(Table2[[#This Row],[Family Size2]],"members")</f>
        <v>1members</v>
      </c>
      <c r="L1792" t="str">
        <f>CONCATENATE(Table2[[#This Row],[Family Size2]],"members")</f>
        <v>1members</v>
      </c>
      <c r="M1792">
        <v>1</v>
      </c>
    </row>
    <row r="1793" spans="1:13">
      <c r="A1793">
        <v>1792</v>
      </c>
      <c r="B1793" t="s">
        <v>11</v>
      </c>
      <c r="C1793">
        <v>55</v>
      </c>
      <c r="D1793" t="str" cm="1">
        <f t="array" ref="D1793">_xlfn.IFS(Table2[[#This Row],[Age]]&lt;=11,"Gen A",Table2[[#This Row],[Age]]&lt;=27,"Gen Z",Table2[[#This Row],[Age]]&lt;=43,"Millenials",Table2[[#This Row],[Age]]&lt;=59,"Gen X",Table2[[#This Row],[Age]]&lt;=78,"Baby Boomers",Table2[[#This Row],[Age]]&lt;=96,"Silent",Table2[[#This Row],[Age]]&gt;=97,"Greatest")</f>
        <v>Gen X</v>
      </c>
      <c r="E1793" s="1">
        <v>106153</v>
      </c>
      <c r="F1793">
        <v>62</v>
      </c>
      <c r="G1793" t="str" cm="1">
        <f t="array" ref="G1793">_xlfn.IFS(Table2[[#This Row],[Spending Score (1-100)]]&lt;=25,"Low",Table2[[#This Row],[Spending Score (1-100)]]&lt;=50,"Medium",Table2[[#This Row],[Spending Score (1-100)]]&lt;=75,"High",Table2[[#This Row],[Spending Score (1-100)]]&lt;=100,"Very High")</f>
        <v>High</v>
      </c>
      <c r="H1793" t="s">
        <v>14</v>
      </c>
      <c r="I1793">
        <v>10</v>
      </c>
      <c r="J1793" t="str">
        <f>CONCATENATE(Table2[[#This Row],[Work Experience]],"years")</f>
        <v>10years</v>
      </c>
      <c r="K1793" t="str">
        <f>CONCATENATE(Table2[[#This Row],[Family Size2]],"members")</f>
        <v>1members</v>
      </c>
      <c r="L1793" t="str">
        <f>CONCATENATE(Table2[[#This Row],[Family Size2]],"members")</f>
        <v>1members</v>
      </c>
      <c r="M1793">
        <v>1</v>
      </c>
    </row>
    <row r="1794" spans="1:13">
      <c r="A1794">
        <v>1793</v>
      </c>
      <c r="B1794" t="s">
        <v>8</v>
      </c>
      <c r="C1794">
        <v>14</v>
      </c>
      <c r="D1794" t="str" cm="1">
        <f t="array" ref="D1794">_xlfn.IFS(Table2[[#This Row],[Age]]&lt;=11,"Gen A",Table2[[#This Row],[Age]]&lt;=27,"Gen Z",Table2[[#This Row],[Age]]&lt;=43,"Millenials",Table2[[#This Row],[Age]]&lt;=59,"Gen X",Table2[[#This Row],[Age]]&lt;=78,"Baby Boomers",Table2[[#This Row],[Age]]&lt;=96,"Silent",Table2[[#This Row],[Age]]&gt;=97,"Greatest")</f>
        <v>Gen Z</v>
      </c>
      <c r="E1794" s="1">
        <v>124785</v>
      </c>
      <c r="F1794">
        <v>28</v>
      </c>
      <c r="G1794" t="str" cm="1">
        <f t="array" ref="G1794">_xlfn.IFS(Table2[[#This Row],[Spending Score (1-100)]]&lt;=25,"Low",Table2[[#This Row],[Spending Score (1-100)]]&lt;=50,"Medium",Table2[[#This Row],[Spending Score (1-100)]]&lt;=75,"High",Table2[[#This Row],[Spending Score (1-100)]]&lt;=100,"Very High")</f>
        <v>Medium</v>
      </c>
      <c r="H1794" t="s">
        <v>12</v>
      </c>
      <c r="I1794">
        <v>7</v>
      </c>
      <c r="J1794" t="str">
        <f>CONCATENATE(Table2[[#This Row],[Work Experience]],"years")</f>
        <v>7years</v>
      </c>
      <c r="K1794" t="str">
        <f>CONCATENATE(Table2[[#This Row],[Family Size2]],"members")</f>
        <v>2members</v>
      </c>
      <c r="L1794" t="str">
        <f>CONCATENATE(Table2[[#This Row],[Family Size2]],"members")</f>
        <v>2members</v>
      </c>
      <c r="M1794">
        <v>2</v>
      </c>
    </row>
    <row r="1795" spans="1:13">
      <c r="A1795">
        <v>1794</v>
      </c>
      <c r="B1795" t="s">
        <v>11</v>
      </c>
      <c r="C1795">
        <v>22</v>
      </c>
      <c r="D1795" t="str" cm="1">
        <f t="array" ref="D1795">_xlfn.IFS(Table2[[#This Row],[Age]]&lt;=11,"Gen A",Table2[[#This Row],[Age]]&lt;=27,"Gen Z",Table2[[#This Row],[Age]]&lt;=43,"Millenials",Table2[[#This Row],[Age]]&lt;=59,"Gen X",Table2[[#This Row],[Age]]&lt;=78,"Baby Boomers",Table2[[#This Row],[Age]]&lt;=96,"Silent",Table2[[#This Row],[Age]]&gt;=97,"Greatest")</f>
        <v>Gen Z</v>
      </c>
      <c r="E1795" s="1">
        <v>101474</v>
      </c>
      <c r="F1795">
        <v>14</v>
      </c>
      <c r="G1795" t="str" cm="1">
        <f t="array" ref="G1795">_xlfn.IFS(Table2[[#This Row],[Spending Score (1-100)]]&lt;=25,"Low",Table2[[#This Row],[Spending Score (1-100)]]&lt;=50,"Medium",Table2[[#This Row],[Spending Score (1-100)]]&lt;=75,"High",Table2[[#This Row],[Spending Score (1-100)]]&lt;=100,"Very High")</f>
        <v>Low</v>
      </c>
      <c r="H1795" t="s">
        <v>17</v>
      </c>
      <c r="I1795">
        <v>10</v>
      </c>
      <c r="J1795" t="str">
        <f>CONCATENATE(Table2[[#This Row],[Work Experience]],"years")</f>
        <v>10years</v>
      </c>
      <c r="K1795" t="str">
        <f>CONCATENATE(Table2[[#This Row],[Family Size2]],"members")</f>
        <v>2members</v>
      </c>
      <c r="L1795" t="str">
        <f>CONCATENATE(Table2[[#This Row],[Family Size2]],"members")</f>
        <v>2members</v>
      </c>
      <c r="M1795">
        <v>2</v>
      </c>
    </row>
    <row r="1796" spans="1:13">
      <c r="A1796">
        <v>1795</v>
      </c>
      <c r="B1796" t="s">
        <v>11</v>
      </c>
      <c r="C1796">
        <v>8</v>
      </c>
      <c r="D1796" t="str" cm="1">
        <f t="array" ref="D1796">_xlfn.IFS(Table2[[#This Row],[Age]]&lt;=11,"Gen A",Table2[[#This Row],[Age]]&lt;=27,"Gen Z",Table2[[#This Row],[Age]]&lt;=43,"Millenials",Table2[[#This Row],[Age]]&lt;=59,"Gen X",Table2[[#This Row],[Age]]&lt;=78,"Baby Boomers",Table2[[#This Row],[Age]]&lt;=96,"Silent",Table2[[#This Row],[Age]]&gt;=97,"Greatest")</f>
        <v>Gen A</v>
      </c>
      <c r="E1796" s="1">
        <v>141359</v>
      </c>
      <c r="F1796">
        <v>65</v>
      </c>
      <c r="G1796" t="str" cm="1">
        <f t="array" ref="G1796">_xlfn.IFS(Table2[[#This Row],[Spending Score (1-100)]]&lt;=25,"Low",Table2[[#This Row],[Spending Score (1-100)]]&lt;=50,"Medium",Table2[[#This Row],[Spending Score (1-100)]]&lt;=75,"High",Table2[[#This Row],[Spending Score (1-100)]]&lt;=100,"Very High")</f>
        <v>High</v>
      </c>
      <c r="H1796" t="s">
        <v>9</v>
      </c>
      <c r="I1796">
        <v>4</v>
      </c>
      <c r="J1796" t="str">
        <f>CONCATENATE(Table2[[#This Row],[Work Experience]],"years")</f>
        <v>4years</v>
      </c>
      <c r="K1796" t="str">
        <f>CONCATENATE(Table2[[#This Row],[Family Size2]],"members")</f>
        <v>5members</v>
      </c>
      <c r="L1796" t="str">
        <f>CONCATENATE(Table2[[#This Row],[Family Size2]],"members")</f>
        <v>5members</v>
      </c>
      <c r="M1796">
        <v>5</v>
      </c>
    </row>
    <row r="1797" spans="1:13">
      <c r="A1797">
        <v>1796</v>
      </c>
      <c r="B1797" t="s">
        <v>11</v>
      </c>
      <c r="C1797">
        <v>70</v>
      </c>
      <c r="D1797" t="str" cm="1">
        <f t="array" ref="D1797">_xlfn.IFS(Table2[[#This Row],[Age]]&lt;=11,"Gen A",Table2[[#This Row],[Age]]&lt;=27,"Gen Z",Table2[[#This Row],[Age]]&lt;=43,"Millenials",Table2[[#This Row],[Age]]&lt;=59,"Gen X",Table2[[#This Row],[Age]]&lt;=78,"Baby Boomers",Table2[[#This Row],[Age]]&lt;=96,"Silent",Table2[[#This Row],[Age]]&gt;=97,"Greatest")</f>
        <v>Baby Boomers</v>
      </c>
      <c r="E1797" s="1">
        <v>57596</v>
      </c>
      <c r="F1797">
        <v>96</v>
      </c>
      <c r="G1797" t="str" cm="1">
        <f t="array" ref="G1797">_xlfn.IFS(Table2[[#This Row],[Spending Score (1-100)]]&lt;=25,"Low",Table2[[#This Row],[Spending Score (1-100)]]&lt;=50,"Medium",Table2[[#This Row],[Spending Score (1-100)]]&lt;=75,"High",Table2[[#This Row],[Spending Score (1-100)]]&lt;=100,"Very High")</f>
        <v>Very High</v>
      </c>
      <c r="H1797" t="s">
        <v>14</v>
      </c>
      <c r="I1797">
        <v>4</v>
      </c>
      <c r="J1797" t="str">
        <f>CONCATENATE(Table2[[#This Row],[Work Experience]],"years")</f>
        <v>4years</v>
      </c>
      <c r="K1797" t="str">
        <f>CONCATENATE(Table2[[#This Row],[Family Size2]],"members")</f>
        <v>1members</v>
      </c>
      <c r="L1797" t="str">
        <f>CONCATENATE(Table2[[#This Row],[Family Size2]],"members")</f>
        <v>1members</v>
      </c>
      <c r="M1797">
        <v>1</v>
      </c>
    </row>
    <row r="1798" spans="1:13">
      <c r="A1798">
        <v>1797</v>
      </c>
      <c r="B1798" t="s">
        <v>11</v>
      </c>
      <c r="C1798">
        <v>67</v>
      </c>
      <c r="D1798" t="str" cm="1">
        <f t="array" ref="D1798">_xlfn.IFS(Table2[[#This Row],[Age]]&lt;=11,"Gen A",Table2[[#This Row],[Age]]&lt;=27,"Gen Z",Table2[[#This Row],[Age]]&lt;=43,"Millenials",Table2[[#This Row],[Age]]&lt;=59,"Gen X",Table2[[#This Row],[Age]]&lt;=78,"Baby Boomers",Table2[[#This Row],[Age]]&lt;=96,"Silent",Table2[[#This Row],[Age]]&gt;=97,"Greatest")</f>
        <v>Baby Boomers</v>
      </c>
      <c r="E1798" s="1">
        <v>78489</v>
      </c>
      <c r="F1798">
        <v>81</v>
      </c>
      <c r="G1798" t="str" cm="1">
        <f t="array" ref="G1798">_xlfn.IFS(Table2[[#This Row],[Spending Score (1-100)]]&lt;=25,"Low",Table2[[#This Row],[Spending Score (1-100)]]&lt;=50,"Medium",Table2[[#This Row],[Spending Score (1-100)]]&lt;=75,"High",Table2[[#This Row],[Spending Score (1-100)]]&lt;=100,"Very High")</f>
        <v>Very High</v>
      </c>
      <c r="H1798" t="s">
        <v>14</v>
      </c>
      <c r="I1798">
        <v>7</v>
      </c>
      <c r="J1798" t="str">
        <f>CONCATENATE(Table2[[#This Row],[Work Experience]],"years")</f>
        <v>7years</v>
      </c>
      <c r="K1798" t="str">
        <f>CONCATENATE(Table2[[#This Row],[Family Size2]],"members")</f>
        <v>5members</v>
      </c>
      <c r="L1798" t="str">
        <f>CONCATENATE(Table2[[#This Row],[Family Size2]],"members")</f>
        <v>5members</v>
      </c>
      <c r="M1798">
        <v>5</v>
      </c>
    </row>
    <row r="1799" spans="1:13">
      <c r="A1799">
        <v>1798</v>
      </c>
      <c r="B1799" t="s">
        <v>8</v>
      </c>
      <c r="C1799">
        <v>50</v>
      </c>
      <c r="D1799" t="str" cm="1">
        <f t="array" ref="D1799">_xlfn.IFS(Table2[[#This Row],[Age]]&lt;=11,"Gen A",Table2[[#This Row],[Age]]&lt;=27,"Gen Z",Table2[[#This Row],[Age]]&lt;=43,"Millenials",Table2[[#This Row],[Age]]&lt;=59,"Gen X",Table2[[#This Row],[Age]]&lt;=78,"Baby Boomers",Table2[[#This Row],[Age]]&lt;=96,"Silent",Table2[[#This Row],[Age]]&gt;=97,"Greatest")</f>
        <v>Gen X</v>
      </c>
      <c r="E1799" s="1">
        <v>112957</v>
      </c>
      <c r="F1799">
        <v>71</v>
      </c>
      <c r="G1799" t="str" cm="1">
        <f t="array" ref="G1799">_xlfn.IFS(Table2[[#This Row],[Spending Score (1-100)]]&lt;=25,"Low",Table2[[#This Row],[Spending Score (1-100)]]&lt;=50,"Medium",Table2[[#This Row],[Spending Score (1-100)]]&lt;=75,"High",Table2[[#This Row],[Spending Score (1-100)]]&lt;=100,"Very High")</f>
        <v>High</v>
      </c>
      <c r="H1799" t="s">
        <v>15</v>
      </c>
      <c r="I1799">
        <v>5</v>
      </c>
      <c r="J1799" t="str">
        <f>CONCATENATE(Table2[[#This Row],[Work Experience]],"years")</f>
        <v>5years</v>
      </c>
      <c r="K1799" t="str">
        <f>CONCATENATE(Table2[[#This Row],[Family Size2]],"members")</f>
        <v>3members</v>
      </c>
      <c r="L1799" t="str">
        <f>CONCATENATE(Table2[[#This Row],[Family Size2]],"members")</f>
        <v>3members</v>
      </c>
      <c r="M1799">
        <v>3</v>
      </c>
    </row>
    <row r="1800" spans="1:13">
      <c r="A1800">
        <v>1799</v>
      </c>
      <c r="B1800" t="s">
        <v>8</v>
      </c>
      <c r="C1800">
        <v>72</v>
      </c>
      <c r="D1800" t="str" cm="1">
        <f t="array" ref="D1800">_xlfn.IFS(Table2[[#This Row],[Age]]&lt;=11,"Gen A",Table2[[#This Row],[Age]]&lt;=27,"Gen Z",Table2[[#This Row],[Age]]&lt;=43,"Millenials",Table2[[#This Row],[Age]]&lt;=59,"Gen X",Table2[[#This Row],[Age]]&lt;=78,"Baby Boomers",Table2[[#This Row],[Age]]&lt;=96,"Silent",Table2[[#This Row],[Age]]&gt;=97,"Greatest")</f>
        <v>Baby Boomers</v>
      </c>
      <c r="E1800" s="1">
        <v>82377</v>
      </c>
      <c r="F1800">
        <v>37</v>
      </c>
      <c r="G1800" t="str" cm="1">
        <f t="array" ref="G1800">_xlfn.IFS(Table2[[#This Row],[Spending Score (1-100)]]&lt;=25,"Low",Table2[[#This Row],[Spending Score (1-100)]]&lt;=50,"Medium",Table2[[#This Row],[Spending Score (1-100)]]&lt;=75,"High",Table2[[#This Row],[Spending Score (1-100)]]&lt;=100,"Very High")</f>
        <v>Medium</v>
      </c>
      <c r="H1800" t="s">
        <v>10</v>
      </c>
      <c r="I1800">
        <v>9</v>
      </c>
      <c r="J1800" t="str">
        <f>CONCATENATE(Table2[[#This Row],[Work Experience]],"years")</f>
        <v>9years</v>
      </c>
      <c r="K1800" t="str">
        <f>CONCATENATE(Table2[[#This Row],[Family Size2]],"members")</f>
        <v>2members</v>
      </c>
      <c r="L1800" t="str">
        <f>CONCATENATE(Table2[[#This Row],[Family Size2]],"members")</f>
        <v>2members</v>
      </c>
      <c r="M1800">
        <v>2</v>
      </c>
    </row>
    <row r="1801" spans="1:13">
      <c r="A1801">
        <v>1800</v>
      </c>
      <c r="B1801" t="s">
        <v>8</v>
      </c>
      <c r="C1801">
        <v>76</v>
      </c>
      <c r="D1801" t="str" cm="1">
        <f t="array" ref="D1801">_xlfn.IFS(Table2[[#This Row],[Age]]&lt;=11,"Gen A",Table2[[#This Row],[Age]]&lt;=27,"Gen Z",Table2[[#This Row],[Age]]&lt;=43,"Millenials",Table2[[#This Row],[Age]]&lt;=59,"Gen X",Table2[[#This Row],[Age]]&lt;=78,"Baby Boomers",Table2[[#This Row],[Age]]&lt;=96,"Silent",Table2[[#This Row],[Age]]&gt;=97,"Greatest")</f>
        <v>Baby Boomers</v>
      </c>
      <c r="E1801" s="1">
        <v>82315</v>
      </c>
      <c r="F1801">
        <v>53</v>
      </c>
      <c r="G1801" t="str" cm="1">
        <f t="array" ref="G1801">_xlfn.IFS(Table2[[#This Row],[Spending Score (1-100)]]&lt;=25,"Low",Table2[[#This Row],[Spending Score (1-100)]]&lt;=50,"Medium",Table2[[#This Row],[Spending Score (1-100)]]&lt;=75,"High",Table2[[#This Row],[Spending Score (1-100)]]&lt;=100,"Very High")</f>
        <v>High</v>
      </c>
      <c r="H1801" t="s">
        <v>10</v>
      </c>
      <c r="I1801">
        <v>6</v>
      </c>
      <c r="J1801" t="str">
        <f>CONCATENATE(Table2[[#This Row],[Work Experience]],"years")</f>
        <v>6years</v>
      </c>
      <c r="K1801" t="str">
        <f>CONCATENATE(Table2[[#This Row],[Family Size2]],"members")</f>
        <v>1members</v>
      </c>
      <c r="L1801" t="str">
        <f>CONCATENATE(Table2[[#This Row],[Family Size2]],"members")</f>
        <v>1members</v>
      </c>
      <c r="M1801">
        <v>1</v>
      </c>
    </row>
    <row r="1802" spans="1:13">
      <c r="A1802">
        <v>1801</v>
      </c>
      <c r="B1802" t="s">
        <v>8</v>
      </c>
      <c r="C1802">
        <v>80</v>
      </c>
      <c r="D1802" t="str" cm="1">
        <f t="array" ref="D1802">_xlfn.IFS(Table2[[#This Row],[Age]]&lt;=11,"Gen A",Table2[[#This Row],[Age]]&lt;=27,"Gen Z",Table2[[#This Row],[Age]]&lt;=43,"Millenials",Table2[[#This Row],[Age]]&lt;=59,"Gen X",Table2[[#This Row],[Age]]&lt;=78,"Baby Boomers",Table2[[#This Row],[Age]]&lt;=96,"Silent",Table2[[#This Row],[Age]]&gt;=97,"Greatest")</f>
        <v>Silent</v>
      </c>
      <c r="E1802" s="1">
        <v>93253</v>
      </c>
      <c r="F1802">
        <v>51</v>
      </c>
      <c r="G1802" t="str" cm="1">
        <f t="array" ref="G1802">_xlfn.IFS(Table2[[#This Row],[Spending Score (1-100)]]&lt;=25,"Low",Table2[[#This Row],[Spending Score (1-100)]]&lt;=50,"Medium",Table2[[#This Row],[Spending Score (1-100)]]&lt;=75,"High",Table2[[#This Row],[Spending Score (1-100)]]&lt;=100,"Very High")</f>
        <v>High</v>
      </c>
      <c r="H1802" t="s">
        <v>14</v>
      </c>
      <c r="I1802">
        <v>4</v>
      </c>
      <c r="J1802" t="str">
        <f>CONCATENATE(Table2[[#This Row],[Work Experience]],"years")</f>
        <v>4years</v>
      </c>
      <c r="K1802" t="str">
        <f>CONCATENATE(Table2[[#This Row],[Family Size2]],"members")</f>
        <v>5members</v>
      </c>
      <c r="L1802" t="str">
        <f>CONCATENATE(Table2[[#This Row],[Family Size2]],"members")</f>
        <v>5members</v>
      </c>
      <c r="M1802">
        <v>5</v>
      </c>
    </row>
    <row r="1803" spans="1:13">
      <c r="A1803">
        <v>1802</v>
      </c>
      <c r="B1803" t="s">
        <v>8</v>
      </c>
      <c r="C1803">
        <v>20</v>
      </c>
      <c r="D1803" t="str" cm="1">
        <f t="array" ref="D1803">_xlfn.IFS(Table2[[#This Row],[Age]]&lt;=11,"Gen A",Table2[[#This Row],[Age]]&lt;=27,"Gen Z",Table2[[#This Row],[Age]]&lt;=43,"Millenials",Table2[[#This Row],[Age]]&lt;=59,"Gen X",Table2[[#This Row],[Age]]&lt;=78,"Baby Boomers",Table2[[#This Row],[Age]]&lt;=96,"Silent",Table2[[#This Row],[Age]]&gt;=97,"Greatest")</f>
        <v>Gen Z</v>
      </c>
      <c r="E1803" s="1">
        <v>189650</v>
      </c>
      <c r="F1803">
        <v>60</v>
      </c>
      <c r="G1803" t="str" cm="1">
        <f t="array" ref="G1803">_xlfn.IFS(Table2[[#This Row],[Spending Score (1-100)]]&lt;=25,"Low",Table2[[#This Row],[Spending Score (1-100)]]&lt;=50,"Medium",Table2[[#This Row],[Spending Score (1-100)]]&lt;=75,"High",Table2[[#This Row],[Spending Score (1-100)]]&lt;=100,"Very High")</f>
        <v>High</v>
      </c>
      <c r="H1803" t="s">
        <v>12</v>
      </c>
      <c r="I1803">
        <v>8</v>
      </c>
      <c r="J1803" t="str">
        <f>CONCATENATE(Table2[[#This Row],[Work Experience]],"years")</f>
        <v>8years</v>
      </c>
      <c r="K1803" t="str">
        <f>CONCATENATE(Table2[[#This Row],[Family Size2]],"members")</f>
        <v>4members</v>
      </c>
      <c r="L1803" t="str">
        <f>CONCATENATE(Table2[[#This Row],[Family Size2]],"members")</f>
        <v>4members</v>
      </c>
      <c r="M1803">
        <v>4</v>
      </c>
    </row>
    <row r="1804" spans="1:13">
      <c r="A1804">
        <v>1803</v>
      </c>
      <c r="B1804" t="s">
        <v>11</v>
      </c>
      <c r="C1804">
        <v>89</v>
      </c>
      <c r="D1804" t="str" cm="1">
        <f t="array" ref="D1804">_xlfn.IFS(Table2[[#This Row],[Age]]&lt;=11,"Gen A",Table2[[#This Row],[Age]]&lt;=27,"Gen Z",Table2[[#This Row],[Age]]&lt;=43,"Millenials",Table2[[#This Row],[Age]]&lt;=59,"Gen X",Table2[[#This Row],[Age]]&lt;=78,"Baby Boomers",Table2[[#This Row],[Age]]&lt;=96,"Silent",Table2[[#This Row],[Age]]&gt;=97,"Greatest")</f>
        <v>Silent</v>
      </c>
      <c r="E1804" s="1">
        <v>114858</v>
      </c>
      <c r="F1804">
        <v>53</v>
      </c>
      <c r="G1804" t="str" cm="1">
        <f t="array" ref="G1804">_xlfn.IFS(Table2[[#This Row],[Spending Score (1-100)]]&lt;=25,"Low",Table2[[#This Row],[Spending Score (1-100)]]&lt;=50,"Medium",Table2[[#This Row],[Spending Score (1-100)]]&lt;=75,"High",Table2[[#This Row],[Spending Score (1-100)]]&lt;=100,"Very High")</f>
        <v>High</v>
      </c>
      <c r="H1804" t="s">
        <v>14</v>
      </c>
      <c r="I1804">
        <v>10</v>
      </c>
      <c r="J1804" t="str">
        <f>CONCATENATE(Table2[[#This Row],[Work Experience]],"years")</f>
        <v>10years</v>
      </c>
      <c r="K1804" t="str">
        <f>CONCATENATE(Table2[[#This Row],[Family Size2]],"members")</f>
        <v>1members</v>
      </c>
      <c r="L1804" t="str">
        <f>CONCATENATE(Table2[[#This Row],[Family Size2]],"members")</f>
        <v>1members</v>
      </c>
      <c r="M1804">
        <v>1</v>
      </c>
    </row>
    <row r="1805" spans="1:13">
      <c r="A1805">
        <v>1804</v>
      </c>
      <c r="B1805" t="s">
        <v>11</v>
      </c>
      <c r="C1805">
        <v>18</v>
      </c>
      <c r="D1805" t="str" cm="1">
        <f t="array" ref="D1805">_xlfn.IFS(Table2[[#This Row],[Age]]&lt;=11,"Gen A",Table2[[#This Row],[Age]]&lt;=27,"Gen Z",Table2[[#This Row],[Age]]&lt;=43,"Millenials",Table2[[#This Row],[Age]]&lt;=59,"Gen X",Table2[[#This Row],[Age]]&lt;=78,"Baby Boomers",Table2[[#This Row],[Age]]&lt;=96,"Silent",Table2[[#This Row],[Age]]&gt;=97,"Greatest")</f>
        <v>Gen Z</v>
      </c>
      <c r="E1805" s="1">
        <v>62151</v>
      </c>
      <c r="F1805">
        <v>18</v>
      </c>
      <c r="G1805" t="str" cm="1">
        <f t="array" ref="G1805">_xlfn.IFS(Table2[[#This Row],[Spending Score (1-100)]]&lt;=25,"Low",Table2[[#This Row],[Spending Score (1-100)]]&lt;=50,"Medium",Table2[[#This Row],[Spending Score (1-100)]]&lt;=75,"High",Table2[[#This Row],[Spending Score (1-100)]]&lt;=100,"Very High")</f>
        <v>Low</v>
      </c>
      <c r="H1805" t="s">
        <v>14</v>
      </c>
      <c r="I1805">
        <v>8</v>
      </c>
      <c r="J1805" t="str">
        <f>CONCATENATE(Table2[[#This Row],[Work Experience]],"years")</f>
        <v>8years</v>
      </c>
      <c r="K1805" t="str">
        <f>CONCATENATE(Table2[[#This Row],[Family Size2]],"members")</f>
        <v>2members</v>
      </c>
      <c r="L1805" t="str">
        <f>CONCATENATE(Table2[[#This Row],[Family Size2]],"members")</f>
        <v>2members</v>
      </c>
      <c r="M1805">
        <v>2</v>
      </c>
    </row>
    <row r="1806" spans="1:13">
      <c r="A1806">
        <v>1805</v>
      </c>
      <c r="B1806" t="s">
        <v>11</v>
      </c>
      <c r="C1806">
        <v>75</v>
      </c>
      <c r="D1806" t="str" cm="1">
        <f t="array" ref="D1806">_xlfn.IFS(Table2[[#This Row],[Age]]&lt;=11,"Gen A",Table2[[#This Row],[Age]]&lt;=27,"Gen Z",Table2[[#This Row],[Age]]&lt;=43,"Millenials",Table2[[#This Row],[Age]]&lt;=59,"Gen X",Table2[[#This Row],[Age]]&lt;=78,"Baby Boomers",Table2[[#This Row],[Age]]&lt;=96,"Silent",Table2[[#This Row],[Age]]&gt;=97,"Greatest")</f>
        <v>Baby Boomers</v>
      </c>
      <c r="E1806" s="1">
        <v>135159</v>
      </c>
      <c r="F1806">
        <v>12</v>
      </c>
      <c r="G1806" t="str" cm="1">
        <f t="array" ref="G1806">_xlfn.IFS(Table2[[#This Row],[Spending Score (1-100)]]&lt;=25,"Low",Table2[[#This Row],[Spending Score (1-100)]]&lt;=50,"Medium",Table2[[#This Row],[Spending Score (1-100)]]&lt;=75,"High",Table2[[#This Row],[Spending Score (1-100)]]&lt;=100,"Very High")</f>
        <v>Low</v>
      </c>
      <c r="H1806" t="s">
        <v>10</v>
      </c>
      <c r="I1806">
        <v>7</v>
      </c>
      <c r="J1806" t="str">
        <f>CONCATENATE(Table2[[#This Row],[Work Experience]],"years")</f>
        <v>7years</v>
      </c>
      <c r="K1806" t="str">
        <f>CONCATENATE(Table2[[#This Row],[Family Size2]],"members")</f>
        <v>6members</v>
      </c>
      <c r="L1806" t="str">
        <f>CONCATENATE(Table2[[#This Row],[Family Size2]],"members")</f>
        <v>6members</v>
      </c>
      <c r="M1806">
        <v>6</v>
      </c>
    </row>
    <row r="1807" spans="1:13">
      <c r="A1807">
        <v>1806</v>
      </c>
      <c r="B1807" t="s">
        <v>11</v>
      </c>
      <c r="C1807">
        <v>5</v>
      </c>
      <c r="D1807" t="str" cm="1">
        <f t="array" ref="D1807">_xlfn.IFS(Table2[[#This Row],[Age]]&lt;=11,"Gen A",Table2[[#This Row],[Age]]&lt;=27,"Gen Z",Table2[[#This Row],[Age]]&lt;=43,"Millenials",Table2[[#This Row],[Age]]&lt;=59,"Gen X",Table2[[#This Row],[Age]]&lt;=78,"Baby Boomers",Table2[[#This Row],[Age]]&lt;=96,"Silent",Table2[[#This Row],[Age]]&gt;=97,"Greatest")</f>
        <v>Gen A</v>
      </c>
      <c r="E1807" s="1">
        <v>126263</v>
      </c>
      <c r="F1807">
        <v>55</v>
      </c>
      <c r="G1807" t="str" cm="1">
        <f t="array" ref="G1807">_xlfn.IFS(Table2[[#This Row],[Spending Score (1-100)]]&lt;=25,"Low",Table2[[#This Row],[Spending Score (1-100)]]&lt;=50,"Medium",Table2[[#This Row],[Spending Score (1-100)]]&lt;=75,"High",Table2[[#This Row],[Spending Score (1-100)]]&lt;=100,"Very High")</f>
        <v>High</v>
      </c>
      <c r="H1807" t="s">
        <v>18</v>
      </c>
      <c r="I1807">
        <v>6</v>
      </c>
      <c r="J1807" t="str">
        <f>CONCATENATE(Table2[[#This Row],[Work Experience]],"years")</f>
        <v>6years</v>
      </c>
      <c r="K1807" t="str">
        <f>CONCATENATE(Table2[[#This Row],[Family Size2]],"members")</f>
        <v>3members</v>
      </c>
      <c r="L1807" t="str">
        <f>CONCATENATE(Table2[[#This Row],[Family Size2]],"members")</f>
        <v>3members</v>
      </c>
      <c r="M1807">
        <v>3</v>
      </c>
    </row>
    <row r="1808" spans="1:13">
      <c r="A1808">
        <v>1807</v>
      </c>
      <c r="B1808" t="s">
        <v>11</v>
      </c>
      <c r="C1808">
        <v>79</v>
      </c>
      <c r="D1808" t="str" cm="1">
        <f t="array" ref="D1808">_xlfn.IFS(Table2[[#This Row],[Age]]&lt;=11,"Gen A",Table2[[#This Row],[Age]]&lt;=27,"Gen Z",Table2[[#This Row],[Age]]&lt;=43,"Millenials",Table2[[#This Row],[Age]]&lt;=59,"Gen X",Table2[[#This Row],[Age]]&lt;=78,"Baby Boomers",Table2[[#This Row],[Age]]&lt;=96,"Silent",Table2[[#This Row],[Age]]&gt;=97,"Greatest")</f>
        <v>Silent</v>
      </c>
      <c r="E1808" s="1">
        <v>123064</v>
      </c>
      <c r="F1808">
        <v>41</v>
      </c>
      <c r="G1808" t="str" cm="1">
        <f t="array" ref="G1808">_xlfn.IFS(Table2[[#This Row],[Spending Score (1-100)]]&lt;=25,"Low",Table2[[#This Row],[Spending Score (1-100)]]&lt;=50,"Medium",Table2[[#This Row],[Spending Score (1-100)]]&lt;=75,"High",Table2[[#This Row],[Spending Score (1-100)]]&lt;=100,"Very High")</f>
        <v>Medium</v>
      </c>
      <c r="H1808" t="s">
        <v>14</v>
      </c>
      <c r="I1808">
        <v>10</v>
      </c>
      <c r="J1808" t="str">
        <f>CONCATENATE(Table2[[#This Row],[Work Experience]],"years")</f>
        <v>10years</v>
      </c>
      <c r="K1808" t="str">
        <f>CONCATENATE(Table2[[#This Row],[Family Size2]],"members")</f>
        <v>4members</v>
      </c>
      <c r="L1808" t="str">
        <f>CONCATENATE(Table2[[#This Row],[Family Size2]],"members")</f>
        <v>4members</v>
      </c>
      <c r="M1808">
        <v>4</v>
      </c>
    </row>
    <row r="1809" spans="1:13">
      <c r="A1809">
        <v>1808</v>
      </c>
      <c r="B1809" t="s">
        <v>11</v>
      </c>
      <c r="C1809">
        <v>31</v>
      </c>
      <c r="D1809" t="str" cm="1">
        <f t="array" ref="D1809">_xlfn.IFS(Table2[[#This Row],[Age]]&lt;=11,"Gen A",Table2[[#This Row],[Age]]&lt;=27,"Gen Z",Table2[[#This Row],[Age]]&lt;=43,"Millenials",Table2[[#This Row],[Age]]&lt;=59,"Gen X",Table2[[#This Row],[Age]]&lt;=78,"Baby Boomers",Table2[[#This Row],[Age]]&lt;=96,"Silent",Table2[[#This Row],[Age]]&gt;=97,"Greatest")</f>
        <v>Millenials</v>
      </c>
      <c r="E1809" s="1">
        <v>181773</v>
      </c>
      <c r="F1809">
        <v>40</v>
      </c>
      <c r="G1809" t="str" cm="1">
        <f t="array" ref="G1809">_xlfn.IFS(Table2[[#This Row],[Spending Score (1-100)]]&lt;=25,"Low",Table2[[#This Row],[Spending Score (1-100)]]&lt;=50,"Medium",Table2[[#This Row],[Spending Score (1-100)]]&lt;=75,"High",Table2[[#This Row],[Spending Score (1-100)]]&lt;=100,"Very High")</f>
        <v>Medium</v>
      </c>
      <c r="H1809" t="s">
        <v>9</v>
      </c>
      <c r="I1809">
        <v>8</v>
      </c>
      <c r="J1809" t="str">
        <f>CONCATENATE(Table2[[#This Row],[Work Experience]],"years")</f>
        <v>8years</v>
      </c>
      <c r="K1809" t="str">
        <f>CONCATENATE(Table2[[#This Row],[Family Size2]],"members")</f>
        <v>1members</v>
      </c>
      <c r="L1809" t="str">
        <f>CONCATENATE(Table2[[#This Row],[Family Size2]],"members")</f>
        <v>1members</v>
      </c>
      <c r="M1809">
        <v>1</v>
      </c>
    </row>
    <row r="1810" spans="1:13">
      <c r="A1810">
        <v>1809</v>
      </c>
      <c r="B1810" t="s">
        <v>8</v>
      </c>
      <c r="C1810">
        <v>92</v>
      </c>
      <c r="D1810" t="str" cm="1">
        <f t="array" ref="D1810">_xlfn.IFS(Table2[[#This Row],[Age]]&lt;=11,"Gen A",Table2[[#This Row],[Age]]&lt;=27,"Gen Z",Table2[[#This Row],[Age]]&lt;=43,"Millenials",Table2[[#This Row],[Age]]&lt;=59,"Gen X",Table2[[#This Row],[Age]]&lt;=78,"Baby Boomers",Table2[[#This Row],[Age]]&lt;=96,"Silent",Table2[[#This Row],[Age]]&gt;=97,"Greatest")</f>
        <v>Silent</v>
      </c>
      <c r="E1810" s="1">
        <v>171794</v>
      </c>
      <c r="F1810">
        <v>65</v>
      </c>
      <c r="G1810" t="str" cm="1">
        <f t="array" ref="G1810">_xlfn.IFS(Table2[[#This Row],[Spending Score (1-100)]]&lt;=25,"Low",Table2[[#This Row],[Spending Score (1-100)]]&lt;=50,"Medium",Table2[[#This Row],[Spending Score (1-100)]]&lt;=75,"High",Table2[[#This Row],[Spending Score (1-100)]]&lt;=100,"Very High")</f>
        <v>High</v>
      </c>
      <c r="H1810" t="s">
        <v>14</v>
      </c>
      <c r="I1810">
        <v>6</v>
      </c>
      <c r="J1810" t="str">
        <f>CONCATENATE(Table2[[#This Row],[Work Experience]],"years")</f>
        <v>6years</v>
      </c>
      <c r="K1810" t="str">
        <f>CONCATENATE(Table2[[#This Row],[Family Size2]],"members")</f>
        <v>5members</v>
      </c>
      <c r="L1810" t="str">
        <f>CONCATENATE(Table2[[#This Row],[Family Size2]],"members")</f>
        <v>5members</v>
      </c>
      <c r="M1810">
        <v>5</v>
      </c>
    </row>
    <row r="1811" spans="1:13">
      <c r="A1811">
        <v>1810</v>
      </c>
      <c r="B1811" t="s">
        <v>11</v>
      </c>
      <c r="C1811">
        <v>15</v>
      </c>
      <c r="D1811" t="str" cm="1">
        <f t="array" ref="D1811">_xlfn.IFS(Table2[[#This Row],[Age]]&lt;=11,"Gen A",Table2[[#This Row],[Age]]&lt;=27,"Gen Z",Table2[[#This Row],[Age]]&lt;=43,"Millenials",Table2[[#This Row],[Age]]&lt;=59,"Gen X",Table2[[#This Row],[Age]]&lt;=78,"Baby Boomers",Table2[[#This Row],[Age]]&lt;=96,"Silent",Table2[[#This Row],[Age]]&gt;=97,"Greatest")</f>
        <v>Gen Z</v>
      </c>
      <c r="E1811" s="1">
        <v>156339</v>
      </c>
      <c r="F1811">
        <v>27</v>
      </c>
      <c r="G1811" t="str" cm="1">
        <f t="array" ref="G1811">_xlfn.IFS(Table2[[#This Row],[Spending Score (1-100)]]&lt;=25,"Low",Table2[[#This Row],[Spending Score (1-100)]]&lt;=50,"Medium",Table2[[#This Row],[Spending Score (1-100)]]&lt;=75,"High",Table2[[#This Row],[Spending Score (1-100)]]&lt;=100,"Very High")</f>
        <v>Medium</v>
      </c>
      <c r="H1811" t="s">
        <v>17</v>
      </c>
      <c r="I1811">
        <v>6</v>
      </c>
      <c r="J1811" t="str">
        <f>CONCATENATE(Table2[[#This Row],[Work Experience]],"years")</f>
        <v>6years</v>
      </c>
      <c r="K1811" t="str">
        <f>CONCATENATE(Table2[[#This Row],[Family Size2]],"members")</f>
        <v>2members</v>
      </c>
      <c r="L1811" t="str">
        <f>CONCATENATE(Table2[[#This Row],[Family Size2]],"members")</f>
        <v>2members</v>
      </c>
      <c r="M1811">
        <v>2</v>
      </c>
    </row>
    <row r="1812" spans="1:13">
      <c r="A1812">
        <v>1811</v>
      </c>
      <c r="B1812" t="s">
        <v>8</v>
      </c>
      <c r="C1812">
        <v>94</v>
      </c>
      <c r="D1812" t="str" cm="1">
        <f t="array" ref="D1812">_xlfn.IFS(Table2[[#This Row],[Age]]&lt;=11,"Gen A",Table2[[#This Row],[Age]]&lt;=27,"Gen Z",Table2[[#This Row],[Age]]&lt;=43,"Millenials",Table2[[#This Row],[Age]]&lt;=59,"Gen X",Table2[[#This Row],[Age]]&lt;=78,"Baby Boomers",Table2[[#This Row],[Age]]&lt;=96,"Silent",Table2[[#This Row],[Age]]&gt;=97,"Greatest")</f>
        <v>Silent</v>
      </c>
      <c r="E1812" s="1">
        <v>65483</v>
      </c>
      <c r="F1812">
        <v>84</v>
      </c>
      <c r="G1812" t="str" cm="1">
        <f t="array" ref="G1812">_xlfn.IFS(Table2[[#This Row],[Spending Score (1-100)]]&lt;=25,"Low",Table2[[#This Row],[Spending Score (1-100)]]&lt;=50,"Medium",Table2[[#This Row],[Spending Score (1-100)]]&lt;=75,"High",Table2[[#This Row],[Spending Score (1-100)]]&lt;=100,"Very High")</f>
        <v>Very High</v>
      </c>
      <c r="H1812" t="s">
        <v>18</v>
      </c>
      <c r="I1812">
        <v>10</v>
      </c>
      <c r="J1812" t="str">
        <f>CONCATENATE(Table2[[#This Row],[Work Experience]],"years")</f>
        <v>10years</v>
      </c>
      <c r="K1812" t="str">
        <f>CONCATENATE(Table2[[#This Row],[Family Size2]],"members")</f>
        <v>7members</v>
      </c>
      <c r="L1812" t="str">
        <f>CONCATENATE(Table2[[#This Row],[Family Size2]],"members")</f>
        <v>7members</v>
      </c>
      <c r="M1812">
        <v>7</v>
      </c>
    </row>
    <row r="1813" spans="1:13">
      <c r="A1813">
        <v>1812</v>
      </c>
      <c r="B1813" t="s">
        <v>11</v>
      </c>
      <c r="C1813">
        <v>35</v>
      </c>
      <c r="D1813" t="str" cm="1">
        <f t="array" ref="D1813">_xlfn.IFS(Table2[[#This Row],[Age]]&lt;=11,"Gen A",Table2[[#This Row],[Age]]&lt;=27,"Gen Z",Table2[[#This Row],[Age]]&lt;=43,"Millenials",Table2[[#This Row],[Age]]&lt;=59,"Gen X",Table2[[#This Row],[Age]]&lt;=78,"Baby Boomers",Table2[[#This Row],[Age]]&lt;=96,"Silent",Table2[[#This Row],[Age]]&gt;=97,"Greatest")</f>
        <v>Millenials</v>
      </c>
      <c r="E1813" s="1">
        <v>145654</v>
      </c>
      <c r="F1813">
        <v>22</v>
      </c>
      <c r="G1813" t="str" cm="1">
        <f t="array" ref="G1813">_xlfn.IFS(Table2[[#This Row],[Spending Score (1-100)]]&lt;=25,"Low",Table2[[#This Row],[Spending Score (1-100)]]&lt;=50,"Medium",Table2[[#This Row],[Spending Score (1-100)]]&lt;=75,"High",Table2[[#This Row],[Spending Score (1-100)]]&lt;=100,"Very High")</f>
        <v>Low</v>
      </c>
      <c r="H1813" t="s">
        <v>15</v>
      </c>
      <c r="I1813">
        <v>6</v>
      </c>
      <c r="J1813" t="str">
        <f>CONCATENATE(Table2[[#This Row],[Work Experience]],"years")</f>
        <v>6years</v>
      </c>
      <c r="K1813" t="str">
        <f>CONCATENATE(Table2[[#This Row],[Family Size2]],"members")</f>
        <v>3members</v>
      </c>
      <c r="L1813" t="str">
        <f>CONCATENATE(Table2[[#This Row],[Family Size2]],"members")</f>
        <v>3members</v>
      </c>
      <c r="M1813">
        <v>3</v>
      </c>
    </row>
    <row r="1814" spans="1:13">
      <c r="A1814">
        <v>1813</v>
      </c>
      <c r="B1814" t="s">
        <v>11</v>
      </c>
      <c r="C1814">
        <v>68</v>
      </c>
      <c r="D1814" t="str" cm="1">
        <f t="array" ref="D1814">_xlfn.IFS(Table2[[#This Row],[Age]]&lt;=11,"Gen A",Table2[[#This Row],[Age]]&lt;=27,"Gen Z",Table2[[#This Row],[Age]]&lt;=43,"Millenials",Table2[[#This Row],[Age]]&lt;=59,"Gen X",Table2[[#This Row],[Age]]&lt;=78,"Baby Boomers",Table2[[#This Row],[Age]]&lt;=96,"Silent",Table2[[#This Row],[Age]]&gt;=97,"Greatest")</f>
        <v>Baby Boomers</v>
      </c>
      <c r="E1814" s="1">
        <v>91609</v>
      </c>
      <c r="F1814">
        <v>43</v>
      </c>
      <c r="G1814" t="str" cm="1">
        <f t="array" ref="G1814">_xlfn.IFS(Table2[[#This Row],[Spending Score (1-100)]]&lt;=25,"Low",Table2[[#This Row],[Spending Score (1-100)]]&lt;=50,"Medium",Table2[[#This Row],[Spending Score (1-100)]]&lt;=75,"High",Table2[[#This Row],[Spending Score (1-100)]]&lt;=100,"Very High")</f>
        <v>Medium</v>
      </c>
      <c r="H1814" t="s">
        <v>13</v>
      </c>
      <c r="I1814">
        <v>8</v>
      </c>
      <c r="J1814" t="str">
        <f>CONCATENATE(Table2[[#This Row],[Work Experience]],"years")</f>
        <v>8years</v>
      </c>
      <c r="K1814" t="str">
        <f>CONCATENATE(Table2[[#This Row],[Family Size2]],"members")</f>
        <v>1members</v>
      </c>
      <c r="L1814" t="str">
        <f>CONCATENATE(Table2[[#This Row],[Family Size2]],"members")</f>
        <v>1members</v>
      </c>
      <c r="M1814">
        <v>1</v>
      </c>
    </row>
    <row r="1815" spans="1:13">
      <c r="A1815">
        <v>1814</v>
      </c>
      <c r="B1815" t="s">
        <v>11</v>
      </c>
      <c r="C1815">
        <v>29</v>
      </c>
      <c r="D1815" t="str" cm="1">
        <f t="array" ref="D1815">_xlfn.IFS(Table2[[#This Row],[Age]]&lt;=11,"Gen A",Table2[[#This Row],[Age]]&lt;=27,"Gen Z",Table2[[#This Row],[Age]]&lt;=43,"Millenials",Table2[[#This Row],[Age]]&lt;=59,"Gen X",Table2[[#This Row],[Age]]&lt;=78,"Baby Boomers",Table2[[#This Row],[Age]]&lt;=96,"Silent",Table2[[#This Row],[Age]]&gt;=97,"Greatest")</f>
        <v>Millenials</v>
      </c>
      <c r="E1815" s="1">
        <v>53002</v>
      </c>
      <c r="F1815">
        <v>73</v>
      </c>
      <c r="G1815" t="str" cm="1">
        <f t="array" ref="G1815">_xlfn.IFS(Table2[[#This Row],[Spending Score (1-100)]]&lt;=25,"Low",Table2[[#This Row],[Spending Score (1-100)]]&lt;=50,"Medium",Table2[[#This Row],[Spending Score (1-100)]]&lt;=75,"High",Table2[[#This Row],[Spending Score (1-100)]]&lt;=100,"Very High")</f>
        <v>High</v>
      </c>
      <c r="H1815" t="s">
        <v>12</v>
      </c>
      <c r="I1815">
        <v>5</v>
      </c>
      <c r="J1815" t="str">
        <f>CONCATENATE(Table2[[#This Row],[Work Experience]],"years")</f>
        <v>5years</v>
      </c>
      <c r="K1815" t="str">
        <f>CONCATENATE(Table2[[#This Row],[Family Size2]],"members")</f>
        <v>5members</v>
      </c>
      <c r="L1815" t="str">
        <f>CONCATENATE(Table2[[#This Row],[Family Size2]],"members")</f>
        <v>5members</v>
      </c>
      <c r="M1815">
        <v>5</v>
      </c>
    </row>
    <row r="1816" spans="1:13">
      <c r="A1816">
        <v>1815</v>
      </c>
      <c r="B1816" t="s">
        <v>8</v>
      </c>
      <c r="C1816">
        <v>87</v>
      </c>
      <c r="D1816" t="str" cm="1">
        <f t="array" ref="D1816">_xlfn.IFS(Table2[[#This Row],[Age]]&lt;=11,"Gen A",Table2[[#This Row],[Age]]&lt;=27,"Gen Z",Table2[[#This Row],[Age]]&lt;=43,"Millenials",Table2[[#This Row],[Age]]&lt;=59,"Gen X",Table2[[#This Row],[Age]]&lt;=78,"Baby Boomers",Table2[[#This Row],[Age]]&lt;=96,"Silent",Table2[[#This Row],[Age]]&gt;=97,"Greatest")</f>
        <v>Silent</v>
      </c>
      <c r="E1816" s="1">
        <v>115699</v>
      </c>
      <c r="F1816">
        <v>61</v>
      </c>
      <c r="G1816" t="str" cm="1">
        <f t="array" ref="G1816">_xlfn.IFS(Table2[[#This Row],[Spending Score (1-100)]]&lt;=25,"Low",Table2[[#This Row],[Spending Score (1-100)]]&lt;=50,"Medium",Table2[[#This Row],[Spending Score (1-100)]]&lt;=75,"High",Table2[[#This Row],[Spending Score (1-100)]]&lt;=100,"Very High")</f>
        <v>High</v>
      </c>
      <c r="H1816" t="s">
        <v>9</v>
      </c>
      <c r="I1816">
        <v>9</v>
      </c>
      <c r="J1816" t="str">
        <f>CONCATENATE(Table2[[#This Row],[Work Experience]],"years")</f>
        <v>9years</v>
      </c>
      <c r="K1816" t="str">
        <f>CONCATENATE(Table2[[#This Row],[Family Size2]],"members")</f>
        <v>1members</v>
      </c>
      <c r="L1816" t="str">
        <f>CONCATENATE(Table2[[#This Row],[Family Size2]],"members")</f>
        <v>1members</v>
      </c>
      <c r="M1816">
        <v>1</v>
      </c>
    </row>
    <row r="1817" spans="1:13">
      <c r="A1817">
        <v>1816</v>
      </c>
      <c r="B1817" t="s">
        <v>8</v>
      </c>
      <c r="C1817">
        <v>33</v>
      </c>
      <c r="D1817" t="str" cm="1">
        <f t="array" ref="D1817">_xlfn.IFS(Table2[[#This Row],[Age]]&lt;=11,"Gen A",Table2[[#This Row],[Age]]&lt;=27,"Gen Z",Table2[[#This Row],[Age]]&lt;=43,"Millenials",Table2[[#This Row],[Age]]&lt;=59,"Gen X",Table2[[#This Row],[Age]]&lt;=78,"Baby Boomers",Table2[[#This Row],[Age]]&lt;=96,"Silent",Table2[[#This Row],[Age]]&gt;=97,"Greatest")</f>
        <v>Millenials</v>
      </c>
      <c r="E1817" s="1">
        <v>149609</v>
      </c>
      <c r="F1817">
        <v>44</v>
      </c>
      <c r="G1817" t="str" cm="1">
        <f t="array" ref="G1817">_xlfn.IFS(Table2[[#This Row],[Spending Score (1-100)]]&lt;=25,"Low",Table2[[#This Row],[Spending Score (1-100)]]&lt;=50,"Medium",Table2[[#This Row],[Spending Score (1-100)]]&lt;=75,"High",Table2[[#This Row],[Spending Score (1-100)]]&lt;=100,"Very High")</f>
        <v>Medium</v>
      </c>
      <c r="H1817" t="s">
        <v>15</v>
      </c>
      <c r="I1817">
        <v>9</v>
      </c>
      <c r="J1817" t="str">
        <f>CONCATENATE(Table2[[#This Row],[Work Experience]],"years")</f>
        <v>9years</v>
      </c>
      <c r="K1817" t="str">
        <f>CONCATENATE(Table2[[#This Row],[Family Size2]],"members")</f>
        <v>2members</v>
      </c>
      <c r="L1817" t="str">
        <f>CONCATENATE(Table2[[#This Row],[Family Size2]],"members")</f>
        <v>2members</v>
      </c>
      <c r="M1817">
        <v>2</v>
      </c>
    </row>
    <row r="1818" spans="1:13">
      <c r="A1818">
        <v>1817</v>
      </c>
      <c r="B1818" t="s">
        <v>11</v>
      </c>
      <c r="C1818">
        <v>29</v>
      </c>
      <c r="D1818" t="str" cm="1">
        <f t="array" ref="D1818">_xlfn.IFS(Table2[[#This Row],[Age]]&lt;=11,"Gen A",Table2[[#This Row],[Age]]&lt;=27,"Gen Z",Table2[[#This Row],[Age]]&lt;=43,"Millenials",Table2[[#This Row],[Age]]&lt;=59,"Gen X",Table2[[#This Row],[Age]]&lt;=78,"Baby Boomers",Table2[[#This Row],[Age]]&lt;=96,"Silent",Table2[[#This Row],[Age]]&gt;=97,"Greatest")</f>
        <v>Millenials</v>
      </c>
      <c r="E1818" s="1">
        <v>165254</v>
      </c>
      <c r="F1818">
        <v>7</v>
      </c>
      <c r="G1818" t="str" cm="1">
        <f t="array" ref="G1818">_xlfn.IFS(Table2[[#This Row],[Spending Score (1-100)]]&lt;=25,"Low",Table2[[#This Row],[Spending Score (1-100)]]&lt;=50,"Medium",Table2[[#This Row],[Spending Score (1-100)]]&lt;=75,"High",Table2[[#This Row],[Spending Score (1-100)]]&lt;=100,"Very High")</f>
        <v>Low</v>
      </c>
      <c r="H1818" t="s">
        <v>15</v>
      </c>
      <c r="I1818">
        <v>9</v>
      </c>
      <c r="J1818" t="str">
        <f>CONCATENATE(Table2[[#This Row],[Work Experience]],"years")</f>
        <v>9years</v>
      </c>
      <c r="K1818" t="str">
        <f>CONCATENATE(Table2[[#This Row],[Family Size2]],"members")</f>
        <v>7members</v>
      </c>
      <c r="L1818" t="str">
        <f>CONCATENATE(Table2[[#This Row],[Family Size2]],"members")</f>
        <v>7members</v>
      </c>
      <c r="M1818">
        <v>7</v>
      </c>
    </row>
    <row r="1819" spans="1:13">
      <c r="A1819">
        <v>1818</v>
      </c>
      <c r="B1819" t="s">
        <v>8</v>
      </c>
      <c r="C1819">
        <v>43</v>
      </c>
      <c r="D1819" t="str" cm="1">
        <f t="array" ref="D1819">_xlfn.IFS(Table2[[#This Row],[Age]]&lt;=11,"Gen A",Table2[[#This Row],[Age]]&lt;=27,"Gen Z",Table2[[#This Row],[Age]]&lt;=43,"Millenials",Table2[[#This Row],[Age]]&lt;=59,"Gen X",Table2[[#This Row],[Age]]&lt;=78,"Baby Boomers",Table2[[#This Row],[Age]]&lt;=96,"Silent",Table2[[#This Row],[Age]]&gt;=97,"Greatest")</f>
        <v>Millenials</v>
      </c>
      <c r="E1819" s="1">
        <v>50418</v>
      </c>
      <c r="F1819">
        <v>49</v>
      </c>
      <c r="G1819" t="str" cm="1">
        <f t="array" ref="G1819">_xlfn.IFS(Table2[[#This Row],[Spending Score (1-100)]]&lt;=25,"Low",Table2[[#This Row],[Spending Score (1-100)]]&lt;=50,"Medium",Table2[[#This Row],[Spending Score (1-100)]]&lt;=75,"High",Table2[[#This Row],[Spending Score (1-100)]]&lt;=100,"Very High")</f>
        <v>Medium</v>
      </c>
      <c r="H1819" t="s">
        <v>9</v>
      </c>
      <c r="I1819">
        <v>5</v>
      </c>
      <c r="J1819" t="str">
        <f>CONCATENATE(Table2[[#This Row],[Work Experience]],"years")</f>
        <v>5years</v>
      </c>
      <c r="K1819" t="str">
        <f>CONCATENATE(Table2[[#This Row],[Family Size2]],"members")</f>
        <v>1members</v>
      </c>
      <c r="L1819" t="str">
        <f>CONCATENATE(Table2[[#This Row],[Family Size2]],"members")</f>
        <v>1members</v>
      </c>
      <c r="M1819">
        <v>1</v>
      </c>
    </row>
    <row r="1820" spans="1:13">
      <c r="A1820">
        <v>1819</v>
      </c>
      <c r="B1820" t="s">
        <v>8</v>
      </c>
      <c r="C1820">
        <v>43</v>
      </c>
      <c r="D1820" t="str" cm="1">
        <f t="array" ref="D1820">_xlfn.IFS(Table2[[#This Row],[Age]]&lt;=11,"Gen A",Table2[[#This Row],[Age]]&lt;=27,"Gen Z",Table2[[#This Row],[Age]]&lt;=43,"Millenials",Table2[[#This Row],[Age]]&lt;=59,"Gen X",Table2[[#This Row],[Age]]&lt;=78,"Baby Boomers",Table2[[#This Row],[Age]]&lt;=96,"Silent",Table2[[#This Row],[Age]]&gt;=97,"Greatest")</f>
        <v>Millenials</v>
      </c>
      <c r="E1820" s="1">
        <v>103531</v>
      </c>
      <c r="F1820">
        <v>90</v>
      </c>
      <c r="G1820" t="str" cm="1">
        <f t="array" ref="G1820">_xlfn.IFS(Table2[[#This Row],[Spending Score (1-100)]]&lt;=25,"Low",Table2[[#This Row],[Spending Score (1-100)]]&lt;=50,"Medium",Table2[[#This Row],[Spending Score (1-100)]]&lt;=75,"High",Table2[[#This Row],[Spending Score (1-100)]]&lt;=100,"Very High")</f>
        <v>Very High</v>
      </c>
      <c r="H1820" t="s">
        <v>14</v>
      </c>
      <c r="I1820">
        <v>10</v>
      </c>
      <c r="J1820" t="str">
        <f>CONCATENATE(Table2[[#This Row],[Work Experience]],"years")</f>
        <v>10years</v>
      </c>
      <c r="K1820" t="str">
        <f>CONCATENATE(Table2[[#This Row],[Family Size2]],"members")</f>
        <v>5members</v>
      </c>
      <c r="L1820" t="str">
        <f>CONCATENATE(Table2[[#This Row],[Family Size2]],"members")</f>
        <v>5members</v>
      </c>
      <c r="M1820">
        <v>5</v>
      </c>
    </row>
    <row r="1821" spans="1:13">
      <c r="A1821">
        <v>1820</v>
      </c>
      <c r="B1821" t="s">
        <v>11</v>
      </c>
      <c r="C1821">
        <v>66</v>
      </c>
      <c r="D1821" t="str" cm="1">
        <f t="array" ref="D1821">_xlfn.IFS(Table2[[#This Row],[Age]]&lt;=11,"Gen A",Table2[[#This Row],[Age]]&lt;=27,"Gen Z",Table2[[#This Row],[Age]]&lt;=43,"Millenials",Table2[[#This Row],[Age]]&lt;=59,"Gen X",Table2[[#This Row],[Age]]&lt;=78,"Baby Boomers",Table2[[#This Row],[Age]]&lt;=96,"Silent",Table2[[#This Row],[Age]]&gt;=97,"Greatest")</f>
        <v>Baby Boomers</v>
      </c>
      <c r="E1821" s="1">
        <v>184060</v>
      </c>
      <c r="F1821">
        <v>98</v>
      </c>
      <c r="G1821" t="str" cm="1">
        <f t="array" ref="G1821">_xlfn.IFS(Table2[[#This Row],[Spending Score (1-100)]]&lt;=25,"Low",Table2[[#This Row],[Spending Score (1-100)]]&lt;=50,"Medium",Table2[[#This Row],[Spending Score (1-100)]]&lt;=75,"High",Table2[[#This Row],[Spending Score (1-100)]]&lt;=100,"Very High")</f>
        <v>Very High</v>
      </c>
      <c r="H1821" t="s">
        <v>14</v>
      </c>
      <c r="I1821">
        <v>10</v>
      </c>
      <c r="J1821" t="str">
        <f>CONCATENATE(Table2[[#This Row],[Work Experience]],"years")</f>
        <v>10years</v>
      </c>
      <c r="K1821" t="str">
        <f>CONCATENATE(Table2[[#This Row],[Family Size2]],"members")</f>
        <v>5members</v>
      </c>
      <c r="L1821" t="str">
        <f>CONCATENATE(Table2[[#This Row],[Family Size2]],"members")</f>
        <v>5members</v>
      </c>
      <c r="M1821">
        <v>5</v>
      </c>
    </row>
    <row r="1822" spans="1:13">
      <c r="A1822">
        <v>1821</v>
      </c>
      <c r="B1822" t="s">
        <v>8</v>
      </c>
      <c r="C1822">
        <v>23</v>
      </c>
      <c r="D1822" t="str" cm="1">
        <f t="array" ref="D1822">_xlfn.IFS(Table2[[#This Row],[Age]]&lt;=11,"Gen A",Table2[[#This Row],[Age]]&lt;=27,"Gen Z",Table2[[#This Row],[Age]]&lt;=43,"Millenials",Table2[[#This Row],[Age]]&lt;=59,"Gen X",Table2[[#This Row],[Age]]&lt;=78,"Baby Boomers",Table2[[#This Row],[Age]]&lt;=96,"Silent",Table2[[#This Row],[Age]]&gt;=97,"Greatest")</f>
        <v>Gen Z</v>
      </c>
      <c r="E1822" s="1">
        <v>75961</v>
      </c>
      <c r="F1822">
        <v>70</v>
      </c>
      <c r="G1822" t="str" cm="1">
        <f t="array" ref="G1822">_xlfn.IFS(Table2[[#This Row],[Spending Score (1-100)]]&lt;=25,"Low",Table2[[#This Row],[Spending Score (1-100)]]&lt;=50,"Medium",Table2[[#This Row],[Spending Score (1-100)]]&lt;=75,"High",Table2[[#This Row],[Spending Score (1-100)]]&lt;=100,"Very High")</f>
        <v>High</v>
      </c>
      <c r="H1822" t="s">
        <v>15</v>
      </c>
      <c r="I1822">
        <v>5</v>
      </c>
      <c r="J1822" t="str">
        <f>CONCATENATE(Table2[[#This Row],[Work Experience]],"years")</f>
        <v>5years</v>
      </c>
      <c r="K1822" t="str">
        <f>CONCATENATE(Table2[[#This Row],[Family Size2]],"members")</f>
        <v>7members</v>
      </c>
      <c r="L1822" t="str">
        <f>CONCATENATE(Table2[[#This Row],[Family Size2]],"members")</f>
        <v>7members</v>
      </c>
      <c r="M1822">
        <v>7</v>
      </c>
    </row>
    <row r="1823" spans="1:13">
      <c r="A1823">
        <v>1822</v>
      </c>
      <c r="B1823" t="s">
        <v>8</v>
      </c>
      <c r="C1823">
        <v>87</v>
      </c>
      <c r="D1823" t="str" cm="1">
        <f t="array" ref="D1823">_xlfn.IFS(Table2[[#This Row],[Age]]&lt;=11,"Gen A",Table2[[#This Row],[Age]]&lt;=27,"Gen Z",Table2[[#This Row],[Age]]&lt;=43,"Millenials",Table2[[#This Row],[Age]]&lt;=59,"Gen X",Table2[[#This Row],[Age]]&lt;=78,"Baby Boomers",Table2[[#This Row],[Age]]&lt;=96,"Silent",Table2[[#This Row],[Age]]&gt;=97,"Greatest")</f>
        <v>Silent</v>
      </c>
      <c r="E1823" s="1">
        <v>174163</v>
      </c>
      <c r="F1823">
        <v>28</v>
      </c>
      <c r="G1823" t="str" cm="1">
        <f t="array" ref="G1823">_xlfn.IFS(Table2[[#This Row],[Spending Score (1-100)]]&lt;=25,"Low",Table2[[#This Row],[Spending Score (1-100)]]&lt;=50,"Medium",Table2[[#This Row],[Spending Score (1-100)]]&lt;=75,"High",Table2[[#This Row],[Spending Score (1-100)]]&lt;=100,"Very High")</f>
        <v>Medium</v>
      </c>
      <c r="H1823" t="s">
        <v>14</v>
      </c>
      <c r="I1823">
        <v>4</v>
      </c>
      <c r="J1823" t="str">
        <f>CONCATENATE(Table2[[#This Row],[Work Experience]],"years")</f>
        <v>4years</v>
      </c>
      <c r="K1823" t="str">
        <f>CONCATENATE(Table2[[#This Row],[Family Size2]],"members")</f>
        <v>2members</v>
      </c>
      <c r="L1823" t="str">
        <f>CONCATENATE(Table2[[#This Row],[Family Size2]],"members")</f>
        <v>2members</v>
      </c>
      <c r="M1823">
        <v>2</v>
      </c>
    </row>
    <row r="1824" spans="1:13">
      <c r="A1824">
        <v>1823</v>
      </c>
      <c r="B1824" t="s">
        <v>11</v>
      </c>
      <c r="C1824">
        <v>81</v>
      </c>
      <c r="D1824" t="str" cm="1">
        <f t="array" ref="D1824">_xlfn.IFS(Table2[[#This Row],[Age]]&lt;=11,"Gen A",Table2[[#This Row],[Age]]&lt;=27,"Gen Z",Table2[[#This Row],[Age]]&lt;=43,"Millenials",Table2[[#This Row],[Age]]&lt;=59,"Gen X",Table2[[#This Row],[Age]]&lt;=78,"Baby Boomers",Table2[[#This Row],[Age]]&lt;=96,"Silent",Table2[[#This Row],[Age]]&gt;=97,"Greatest")</f>
        <v>Silent</v>
      </c>
      <c r="E1824" s="1">
        <v>105255</v>
      </c>
      <c r="F1824">
        <v>54</v>
      </c>
      <c r="G1824" t="str" cm="1">
        <f t="array" ref="G1824">_xlfn.IFS(Table2[[#This Row],[Spending Score (1-100)]]&lt;=25,"Low",Table2[[#This Row],[Spending Score (1-100)]]&lt;=50,"Medium",Table2[[#This Row],[Spending Score (1-100)]]&lt;=75,"High",Table2[[#This Row],[Spending Score (1-100)]]&lt;=100,"Very High")</f>
        <v>High</v>
      </c>
      <c r="H1824" t="s">
        <v>15</v>
      </c>
      <c r="I1824">
        <v>8</v>
      </c>
      <c r="J1824" t="str">
        <f>CONCATENATE(Table2[[#This Row],[Work Experience]],"years")</f>
        <v>8years</v>
      </c>
      <c r="K1824" t="str">
        <f>CONCATENATE(Table2[[#This Row],[Family Size2]],"members")</f>
        <v>3members</v>
      </c>
      <c r="L1824" t="str">
        <f>CONCATENATE(Table2[[#This Row],[Family Size2]],"members")</f>
        <v>3members</v>
      </c>
      <c r="M1824">
        <v>3</v>
      </c>
    </row>
    <row r="1825" spans="1:13">
      <c r="A1825">
        <v>1824</v>
      </c>
      <c r="B1825" t="s">
        <v>8</v>
      </c>
      <c r="C1825">
        <v>42</v>
      </c>
      <c r="D1825" t="str" cm="1">
        <f t="array" ref="D1825">_xlfn.IFS(Table2[[#This Row],[Age]]&lt;=11,"Gen A",Table2[[#This Row],[Age]]&lt;=27,"Gen Z",Table2[[#This Row],[Age]]&lt;=43,"Millenials",Table2[[#This Row],[Age]]&lt;=59,"Gen X",Table2[[#This Row],[Age]]&lt;=78,"Baby Boomers",Table2[[#This Row],[Age]]&lt;=96,"Silent",Table2[[#This Row],[Age]]&gt;=97,"Greatest")</f>
        <v>Millenials</v>
      </c>
      <c r="E1825" s="1">
        <v>51860</v>
      </c>
      <c r="F1825">
        <v>4</v>
      </c>
      <c r="G1825" t="str" cm="1">
        <f t="array" ref="G1825">_xlfn.IFS(Table2[[#This Row],[Spending Score (1-100)]]&lt;=25,"Low",Table2[[#This Row],[Spending Score (1-100)]]&lt;=50,"Medium",Table2[[#This Row],[Spending Score (1-100)]]&lt;=75,"High",Table2[[#This Row],[Spending Score (1-100)]]&lt;=100,"Very High")</f>
        <v>Low</v>
      </c>
      <c r="H1825" t="s">
        <v>12</v>
      </c>
      <c r="I1825">
        <v>4</v>
      </c>
      <c r="J1825" t="str">
        <f>CONCATENATE(Table2[[#This Row],[Work Experience]],"years")</f>
        <v>4years</v>
      </c>
      <c r="K1825" t="str">
        <f>CONCATENATE(Table2[[#This Row],[Family Size2]],"members")</f>
        <v>5members</v>
      </c>
      <c r="L1825" t="str">
        <f>CONCATENATE(Table2[[#This Row],[Family Size2]],"members")</f>
        <v>5members</v>
      </c>
      <c r="M1825">
        <v>5</v>
      </c>
    </row>
    <row r="1826" spans="1:13">
      <c r="A1826">
        <v>1825</v>
      </c>
      <c r="B1826" t="s">
        <v>11</v>
      </c>
      <c r="C1826">
        <v>32</v>
      </c>
      <c r="D1826" t="str" cm="1">
        <f t="array" ref="D1826">_xlfn.IFS(Table2[[#This Row],[Age]]&lt;=11,"Gen A",Table2[[#This Row],[Age]]&lt;=27,"Gen Z",Table2[[#This Row],[Age]]&lt;=43,"Millenials",Table2[[#This Row],[Age]]&lt;=59,"Gen X",Table2[[#This Row],[Age]]&lt;=78,"Baby Boomers",Table2[[#This Row],[Age]]&lt;=96,"Silent",Table2[[#This Row],[Age]]&gt;=97,"Greatest")</f>
        <v>Millenials</v>
      </c>
      <c r="E1826" s="1">
        <v>185218</v>
      </c>
      <c r="F1826">
        <v>83</v>
      </c>
      <c r="G1826" t="str" cm="1">
        <f t="array" ref="G1826">_xlfn.IFS(Table2[[#This Row],[Spending Score (1-100)]]&lt;=25,"Low",Table2[[#This Row],[Spending Score (1-100)]]&lt;=50,"Medium",Table2[[#This Row],[Spending Score (1-100)]]&lt;=75,"High",Table2[[#This Row],[Spending Score (1-100)]]&lt;=100,"Very High")</f>
        <v>Very High</v>
      </c>
      <c r="H1826" t="s">
        <v>9</v>
      </c>
      <c r="I1826">
        <v>4</v>
      </c>
      <c r="J1826" t="str">
        <f>CONCATENATE(Table2[[#This Row],[Work Experience]],"years")</f>
        <v>4years</v>
      </c>
      <c r="K1826" t="str">
        <f>CONCATENATE(Table2[[#This Row],[Family Size2]],"members")</f>
        <v>6members</v>
      </c>
      <c r="L1826" t="str">
        <f>CONCATENATE(Table2[[#This Row],[Family Size2]],"members")</f>
        <v>6members</v>
      </c>
      <c r="M1826">
        <v>6</v>
      </c>
    </row>
    <row r="1827" spans="1:13">
      <c r="A1827">
        <v>1826</v>
      </c>
      <c r="B1827" t="s">
        <v>8</v>
      </c>
      <c r="C1827">
        <v>7</v>
      </c>
      <c r="D1827" t="str" cm="1">
        <f t="array" ref="D1827">_xlfn.IFS(Table2[[#This Row],[Age]]&lt;=11,"Gen A",Table2[[#This Row],[Age]]&lt;=27,"Gen Z",Table2[[#This Row],[Age]]&lt;=43,"Millenials",Table2[[#This Row],[Age]]&lt;=59,"Gen X",Table2[[#This Row],[Age]]&lt;=78,"Baby Boomers",Table2[[#This Row],[Age]]&lt;=96,"Silent",Table2[[#This Row],[Age]]&gt;=97,"Greatest")</f>
        <v>Gen A</v>
      </c>
      <c r="E1827" s="1">
        <v>189709</v>
      </c>
      <c r="F1827">
        <v>18</v>
      </c>
      <c r="G1827" t="str" cm="1">
        <f t="array" ref="G1827">_xlfn.IFS(Table2[[#This Row],[Spending Score (1-100)]]&lt;=25,"Low",Table2[[#This Row],[Spending Score (1-100)]]&lt;=50,"Medium",Table2[[#This Row],[Spending Score (1-100)]]&lt;=75,"High",Table2[[#This Row],[Spending Score (1-100)]]&lt;=100,"Very High")</f>
        <v>Low</v>
      </c>
      <c r="H1827" t="s">
        <v>14</v>
      </c>
      <c r="I1827">
        <v>6</v>
      </c>
      <c r="J1827" t="str">
        <f>CONCATENATE(Table2[[#This Row],[Work Experience]],"years")</f>
        <v>6years</v>
      </c>
      <c r="K1827" t="str">
        <f>CONCATENATE(Table2[[#This Row],[Family Size2]],"members")</f>
        <v>6members</v>
      </c>
      <c r="L1827" t="str">
        <f>CONCATENATE(Table2[[#This Row],[Family Size2]],"members")</f>
        <v>6members</v>
      </c>
      <c r="M1827">
        <v>6</v>
      </c>
    </row>
    <row r="1828" spans="1:13">
      <c r="A1828">
        <v>1827</v>
      </c>
      <c r="B1828" t="s">
        <v>11</v>
      </c>
      <c r="C1828">
        <v>91</v>
      </c>
      <c r="D1828" t="str" cm="1">
        <f t="array" ref="D1828">_xlfn.IFS(Table2[[#This Row],[Age]]&lt;=11,"Gen A",Table2[[#This Row],[Age]]&lt;=27,"Gen Z",Table2[[#This Row],[Age]]&lt;=43,"Millenials",Table2[[#This Row],[Age]]&lt;=59,"Gen X",Table2[[#This Row],[Age]]&lt;=78,"Baby Boomers",Table2[[#This Row],[Age]]&lt;=96,"Silent",Table2[[#This Row],[Age]]&gt;=97,"Greatest")</f>
        <v>Silent</v>
      </c>
      <c r="E1828" s="1">
        <v>134665</v>
      </c>
      <c r="F1828">
        <v>66</v>
      </c>
      <c r="G1828" t="str" cm="1">
        <f t="array" ref="G1828">_xlfn.IFS(Table2[[#This Row],[Spending Score (1-100)]]&lt;=25,"Low",Table2[[#This Row],[Spending Score (1-100)]]&lt;=50,"Medium",Table2[[#This Row],[Spending Score (1-100)]]&lt;=75,"High",Table2[[#This Row],[Spending Score (1-100)]]&lt;=100,"Very High")</f>
        <v>High</v>
      </c>
      <c r="H1828" t="s">
        <v>14</v>
      </c>
      <c r="I1828">
        <v>7</v>
      </c>
      <c r="J1828" t="str">
        <f>CONCATENATE(Table2[[#This Row],[Work Experience]],"years")</f>
        <v>7years</v>
      </c>
      <c r="K1828" t="str">
        <f>CONCATENATE(Table2[[#This Row],[Family Size2]],"members")</f>
        <v>2members</v>
      </c>
      <c r="L1828" t="str">
        <f>CONCATENATE(Table2[[#This Row],[Family Size2]],"members")</f>
        <v>2members</v>
      </c>
      <c r="M1828">
        <v>2</v>
      </c>
    </row>
    <row r="1829" spans="1:13">
      <c r="A1829">
        <v>1828</v>
      </c>
      <c r="B1829" t="s">
        <v>8</v>
      </c>
      <c r="C1829">
        <v>95</v>
      </c>
      <c r="D1829" t="str" cm="1">
        <f t="array" ref="D1829">_xlfn.IFS(Table2[[#This Row],[Age]]&lt;=11,"Gen A",Table2[[#This Row],[Age]]&lt;=27,"Gen Z",Table2[[#This Row],[Age]]&lt;=43,"Millenials",Table2[[#This Row],[Age]]&lt;=59,"Gen X",Table2[[#This Row],[Age]]&lt;=78,"Baby Boomers",Table2[[#This Row],[Age]]&lt;=96,"Silent",Table2[[#This Row],[Age]]&gt;=97,"Greatest")</f>
        <v>Silent</v>
      </c>
      <c r="E1829" s="1">
        <v>91352</v>
      </c>
      <c r="F1829">
        <v>9</v>
      </c>
      <c r="G1829" t="str" cm="1">
        <f t="array" ref="G1829">_xlfn.IFS(Table2[[#This Row],[Spending Score (1-100)]]&lt;=25,"Low",Table2[[#This Row],[Spending Score (1-100)]]&lt;=50,"Medium",Table2[[#This Row],[Spending Score (1-100)]]&lt;=75,"High",Table2[[#This Row],[Spending Score (1-100)]]&lt;=100,"Very High")</f>
        <v>Low</v>
      </c>
      <c r="H1829" t="s">
        <v>16</v>
      </c>
      <c r="I1829">
        <v>7</v>
      </c>
      <c r="J1829" t="str">
        <f>CONCATENATE(Table2[[#This Row],[Work Experience]],"years")</f>
        <v>7years</v>
      </c>
      <c r="K1829" t="str">
        <f>CONCATENATE(Table2[[#This Row],[Family Size2]],"members")</f>
        <v>3members</v>
      </c>
      <c r="L1829" t="str">
        <f>CONCATENATE(Table2[[#This Row],[Family Size2]],"members")</f>
        <v>3members</v>
      </c>
      <c r="M1829">
        <v>3</v>
      </c>
    </row>
    <row r="1830" spans="1:13">
      <c r="A1830">
        <v>1829</v>
      </c>
      <c r="B1830" t="s">
        <v>11</v>
      </c>
      <c r="C1830">
        <v>10</v>
      </c>
      <c r="D1830" t="str" cm="1">
        <f t="array" ref="D1830">_xlfn.IFS(Table2[[#This Row],[Age]]&lt;=11,"Gen A",Table2[[#This Row],[Age]]&lt;=27,"Gen Z",Table2[[#This Row],[Age]]&lt;=43,"Millenials",Table2[[#This Row],[Age]]&lt;=59,"Gen X",Table2[[#This Row],[Age]]&lt;=78,"Baby Boomers",Table2[[#This Row],[Age]]&lt;=96,"Silent",Table2[[#This Row],[Age]]&gt;=97,"Greatest")</f>
        <v>Gen A</v>
      </c>
      <c r="E1830" s="1">
        <v>154623</v>
      </c>
      <c r="F1830">
        <v>21</v>
      </c>
      <c r="G1830" t="str" cm="1">
        <f t="array" ref="G1830">_xlfn.IFS(Table2[[#This Row],[Spending Score (1-100)]]&lt;=25,"Low",Table2[[#This Row],[Spending Score (1-100)]]&lt;=50,"Medium",Table2[[#This Row],[Spending Score (1-100)]]&lt;=75,"High",Table2[[#This Row],[Spending Score (1-100)]]&lt;=100,"Very High")</f>
        <v>Low</v>
      </c>
      <c r="H1830" t="s">
        <v>14</v>
      </c>
      <c r="I1830">
        <v>6</v>
      </c>
      <c r="J1830" t="str">
        <f>CONCATENATE(Table2[[#This Row],[Work Experience]],"years")</f>
        <v>6years</v>
      </c>
      <c r="K1830" t="str">
        <f>CONCATENATE(Table2[[#This Row],[Family Size2]],"members")</f>
        <v>6members</v>
      </c>
      <c r="L1830" t="str">
        <f>CONCATENATE(Table2[[#This Row],[Family Size2]],"members")</f>
        <v>6members</v>
      </c>
      <c r="M1830">
        <v>6</v>
      </c>
    </row>
    <row r="1831" spans="1:13">
      <c r="A1831">
        <v>1830</v>
      </c>
      <c r="B1831" t="s">
        <v>11</v>
      </c>
      <c r="C1831">
        <v>20</v>
      </c>
      <c r="D1831" t="str" cm="1">
        <f t="array" ref="D1831">_xlfn.IFS(Table2[[#This Row],[Age]]&lt;=11,"Gen A",Table2[[#This Row],[Age]]&lt;=27,"Gen Z",Table2[[#This Row],[Age]]&lt;=43,"Millenials",Table2[[#This Row],[Age]]&lt;=59,"Gen X",Table2[[#This Row],[Age]]&lt;=78,"Baby Boomers",Table2[[#This Row],[Age]]&lt;=96,"Silent",Table2[[#This Row],[Age]]&gt;=97,"Greatest")</f>
        <v>Gen Z</v>
      </c>
      <c r="E1831" s="1">
        <v>113767</v>
      </c>
      <c r="F1831">
        <v>88</v>
      </c>
      <c r="G1831" t="str" cm="1">
        <f t="array" ref="G1831">_xlfn.IFS(Table2[[#This Row],[Spending Score (1-100)]]&lt;=25,"Low",Table2[[#This Row],[Spending Score (1-100)]]&lt;=50,"Medium",Table2[[#This Row],[Spending Score (1-100)]]&lt;=75,"High",Table2[[#This Row],[Spending Score (1-100)]]&lt;=100,"Very High")</f>
        <v>Very High</v>
      </c>
      <c r="H1831" t="s">
        <v>14</v>
      </c>
      <c r="I1831">
        <v>6</v>
      </c>
      <c r="J1831" t="str">
        <f>CONCATENATE(Table2[[#This Row],[Work Experience]],"years")</f>
        <v>6years</v>
      </c>
      <c r="K1831" t="str">
        <f>CONCATENATE(Table2[[#This Row],[Family Size2]],"members")</f>
        <v>2members</v>
      </c>
      <c r="L1831" t="str">
        <f>CONCATENATE(Table2[[#This Row],[Family Size2]],"members")</f>
        <v>2members</v>
      </c>
      <c r="M1831">
        <v>2</v>
      </c>
    </row>
    <row r="1832" spans="1:13">
      <c r="A1832">
        <v>1831</v>
      </c>
      <c r="B1832" t="s">
        <v>8</v>
      </c>
      <c r="C1832">
        <v>5</v>
      </c>
      <c r="D1832" t="str" cm="1">
        <f t="array" ref="D1832">_xlfn.IFS(Table2[[#This Row],[Age]]&lt;=11,"Gen A",Table2[[#This Row],[Age]]&lt;=27,"Gen Z",Table2[[#This Row],[Age]]&lt;=43,"Millenials",Table2[[#This Row],[Age]]&lt;=59,"Gen X",Table2[[#This Row],[Age]]&lt;=78,"Baby Boomers",Table2[[#This Row],[Age]]&lt;=96,"Silent",Table2[[#This Row],[Age]]&gt;=97,"Greatest")</f>
        <v>Gen A</v>
      </c>
      <c r="E1832" s="1">
        <v>160469</v>
      </c>
      <c r="F1832">
        <v>61</v>
      </c>
      <c r="G1832" t="str" cm="1">
        <f t="array" ref="G1832">_xlfn.IFS(Table2[[#This Row],[Spending Score (1-100)]]&lt;=25,"Low",Table2[[#This Row],[Spending Score (1-100)]]&lt;=50,"Medium",Table2[[#This Row],[Spending Score (1-100)]]&lt;=75,"High",Table2[[#This Row],[Spending Score (1-100)]]&lt;=100,"Very High")</f>
        <v>High</v>
      </c>
      <c r="H1832" t="s">
        <v>12</v>
      </c>
      <c r="I1832">
        <v>8</v>
      </c>
      <c r="J1832" t="str">
        <f>CONCATENATE(Table2[[#This Row],[Work Experience]],"years")</f>
        <v>8years</v>
      </c>
      <c r="K1832" t="str">
        <f>CONCATENATE(Table2[[#This Row],[Family Size2]],"members")</f>
        <v>1members</v>
      </c>
      <c r="L1832" t="str">
        <f>CONCATENATE(Table2[[#This Row],[Family Size2]],"members")</f>
        <v>1members</v>
      </c>
      <c r="M1832">
        <v>1</v>
      </c>
    </row>
    <row r="1833" spans="1:13">
      <c r="A1833">
        <v>1832</v>
      </c>
      <c r="B1833" t="s">
        <v>11</v>
      </c>
      <c r="C1833">
        <v>84</v>
      </c>
      <c r="D1833" t="str" cm="1">
        <f t="array" ref="D1833">_xlfn.IFS(Table2[[#This Row],[Age]]&lt;=11,"Gen A",Table2[[#This Row],[Age]]&lt;=27,"Gen Z",Table2[[#This Row],[Age]]&lt;=43,"Millenials",Table2[[#This Row],[Age]]&lt;=59,"Gen X",Table2[[#This Row],[Age]]&lt;=78,"Baby Boomers",Table2[[#This Row],[Age]]&lt;=96,"Silent",Table2[[#This Row],[Age]]&gt;=97,"Greatest")</f>
        <v>Silent</v>
      </c>
      <c r="E1833" s="1">
        <v>99418</v>
      </c>
      <c r="F1833">
        <v>27</v>
      </c>
      <c r="G1833" t="str" cm="1">
        <f t="array" ref="G1833">_xlfn.IFS(Table2[[#This Row],[Spending Score (1-100)]]&lt;=25,"Low",Table2[[#This Row],[Spending Score (1-100)]]&lt;=50,"Medium",Table2[[#This Row],[Spending Score (1-100)]]&lt;=75,"High",Table2[[#This Row],[Spending Score (1-100)]]&lt;=100,"Very High")</f>
        <v>Medium</v>
      </c>
      <c r="H1833" t="s">
        <v>14</v>
      </c>
      <c r="I1833">
        <v>4</v>
      </c>
      <c r="J1833" t="str">
        <f>CONCATENATE(Table2[[#This Row],[Work Experience]],"years")</f>
        <v>4years</v>
      </c>
      <c r="K1833" t="str">
        <f>CONCATENATE(Table2[[#This Row],[Family Size2]],"members")</f>
        <v>2members</v>
      </c>
      <c r="L1833" t="str">
        <f>CONCATENATE(Table2[[#This Row],[Family Size2]],"members")</f>
        <v>2members</v>
      </c>
      <c r="M1833">
        <v>2</v>
      </c>
    </row>
    <row r="1834" spans="1:13">
      <c r="A1834">
        <v>1833</v>
      </c>
      <c r="B1834" t="s">
        <v>8</v>
      </c>
      <c r="C1834">
        <v>54</v>
      </c>
      <c r="D1834" t="str" cm="1">
        <f t="array" ref="D1834">_xlfn.IFS(Table2[[#This Row],[Age]]&lt;=11,"Gen A",Table2[[#This Row],[Age]]&lt;=27,"Gen Z",Table2[[#This Row],[Age]]&lt;=43,"Millenials",Table2[[#This Row],[Age]]&lt;=59,"Gen X",Table2[[#This Row],[Age]]&lt;=78,"Baby Boomers",Table2[[#This Row],[Age]]&lt;=96,"Silent",Table2[[#This Row],[Age]]&gt;=97,"Greatest")</f>
        <v>Gen X</v>
      </c>
      <c r="E1834" s="1">
        <v>56215</v>
      </c>
      <c r="F1834">
        <v>34</v>
      </c>
      <c r="G1834" t="str" cm="1">
        <f t="array" ref="G1834">_xlfn.IFS(Table2[[#This Row],[Spending Score (1-100)]]&lt;=25,"Low",Table2[[#This Row],[Spending Score (1-100)]]&lt;=50,"Medium",Table2[[#This Row],[Spending Score (1-100)]]&lt;=75,"High",Table2[[#This Row],[Spending Score (1-100)]]&lt;=100,"Very High")</f>
        <v>Medium</v>
      </c>
      <c r="H1834" t="s">
        <v>9</v>
      </c>
      <c r="I1834">
        <v>10</v>
      </c>
      <c r="J1834" t="str">
        <f>CONCATENATE(Table2[[#This Row],[Work Experience]],"years")</f>
        <v>10years</v>
      </c>
      <c r="K1834" t="str">
        <f>CONCATENATE(Table2[[#This Row],[Family Size2]],"members")</f>
        <v>4members</v>
      </c>
      <c r="L1834" t="str">
        <f>CONCATENATE(Table2[[#This Row],[Family Size2]],"members")</f>
        <v>4members</v>
      </c>
      <c r="M1834">
        <v>4</v>
      </c>
    </row>
    <row r="1835" spans="1:13">
      <c r="A1835">
        <v>1834</v>
      </c>
      <c r="B1835" t="s">
        <v>8</v>
      </c>
      <c r="C1835">
        <v>12</v>
      </c>
      <c r="D1835" t="str" cm="1">
        <f t="array" ref="D1835">_xlfn.IFS(Table2[[#This Row],[Age]]&lt;=11,"Gen A",Table2[[#This Row],[Age]]&lt;=27,"Gen Z",Table2[[#This Row],[Age]]&lt;=43,"Millenials",Table2[[#This Row],[Age]]&lt;=59,"Gen X",Table2[[#This Row],[Age]]&lt;=78,"Baby Boomers",Table2[[#This Row],[Age]]&lt;=96,"Silent",Table2[[#This Row],[Age]]&gt;=97,"Greatest")</f>
        <v>Gen Z</v>
      </c>
      <c r="E1835" s="1">
        <v>55639</v>
      </c>
      <c r="F1835">
        <v>63</v>
      </c>
      <c r="G1835" t="str" cm="1">
        <f t="array" ref="G1835">_xlfn.IFS(Table2[[#This Row],[Spending Score (1-100)]]&lt;=25,"Low",Table2[[#This Row],[Spending Score (1-100)]]&lt;=50,"Medium",Table2[[#This Row],[Spending Score (1-100)]]&lt;=75,"High",Table2[[#This Row],[Spending Score (1-100)]]&lt;=100,"Very High")</f>
        <v>High</v>
      </c>
      <c r="H1835" t="s">
        <v>9</v>
      </c>
      <c r="I1835">
        <v>8</v>
      </c>
      <c r="J1835" t="str">
        <f>CONCATENATE(Table2[[#This Row],[Work Experience]],"years")</f>
        <v>8years</v>
      </c>
      <c r="K1835" t="str">
        <f>CONCATENATE(Table2[[#This Row],[Family Size2]],"members")</f>
        <v>1members</v>
      </c>
      <c r="L1835" t="str">
        <f>CONCATENATE(Table2[[#This Row],[Family Size2]],"members")</f>
        <v>1members</v>
      </c>
      <c r="M1835">
        <v>1</v>
      </c>
    </row>
    <row r="1836" spans="1:13">
      <c r="A1836">
        <v>1835</v>
      </c>
      <c r="B1836" t="s">
        <v>11</v>
      </c>
      <c r="C1836">
        <v>90</v>
      </c>
      <c r="D1836" t="str" cm="1">
        <f t="array" ref="D1836">_xlfn.IFS(Table2[[#This Row],[Age]]&lt;=11,"Gen A",Table2[[#This Row],[Age]]&lt;=27,"Gen Z",Table2[[#This Row],[Age]]&lt;=43,"Millenials",Table2[[#This Row],[Age]]&lt;=59,"Gen X",Table2[[#This Row],[Age]]&lt;=78,"Baby Boomers",Table2[[#This Row],[Age]]&lt;=96,"Silent",Table2[[#This Row],[Age]]&gt;=97,"Greatest")</f>
        <v>Silent</v>
      </c>
      <c r="E1836" s="1">
        <v>62504</v>
      </c>
      <c r="F1836">
        <v>99</v>
      </c>
      <c r="G1836" t="str" cm="1">
        <f t="array" ref="G1836">_xlfn.IFS(Table2[[#This Row],[Spending Score (1-100)]]&lt;=25,"Low",Table2[[#This Row],[Spending Score (1-100)]]&lt;=50,"Medium",Table2[[#This Row],[Spending Score (1-100)]]&lt;=75,"High",Table2[[#This Row],[Spending Score (1-100)]]&lt;=100,"Very High")</f>
        <v>Very High</v>
      </c>
      <c r="H1836" t="s">
        <v>14</v>
      </c>
      <c r="I1836">
        <v>10</v>
      </c>
      <c r="J1836" t="str">
        <f>CONCATENATE(Table2[[#This Row],[Work Experience]],"years")</f>
        <v>10years</v>
      </c>
      <c r="K1836" t="str">
        <f>CONCATENATE(Table2[[#This Row],[Family Size2]],"members")</f>
        <v>4members</v>
      </c>
      <c r="L1836" t="str">
        <f>CONCATENATE(Table2[[#This Row],[Family Size2]],"members")</f>
        <v>4members</v>
      </c>
      <c r="M1836">
        <v>4</v>
      </c>
    </row>
    <row r="1837" spans="1:13">
      <c r="A1837">
        <v>1836</v>
      </c>
      <c r="B1837" t="s">
        <v>11</v>
      </c>
      <c r="C1837">
        <v>19</v>
      </c>
      <c r="D1837" t="str" cm="1">
        <f t="array" ref="D1837">_xlfn.IFS(Table2[[#This Row],[Age]]&lt;=11,"Gen A",Table2[[#This Row],[Age]]&lt;=27,"Gen Z",Table2[[#This Row],[Age]]&lt;=43,"Millenials",Table2[[#This Row],[Age]]&lt;=59,"Gen X",Table2[[#This Row],[Age]]&lt;=78,"Baby Boomers",Table2[[#This Row],[Age]]&lt;=96,"Silent",Table2[[#This Row],[Age]]&gt;=97,"Greatest")</f>
        <v>Gen Z</v>
      </c>
      <c r="E1837" s="1">
        <v>151382</v>
      </c>
      <c r="F1837">
        <v>38</v>
      </c>
      <c r="G1837" t="str" cm="1">
        <f t="array" ref="G1837">_xlfn.IFS(Table2[[#This Row],[Spending Score (1-100)]]&lt;=25,"Low",Table2[[#This Row],[Spending Score (1-100)]]&lt;=50,"Medium",Table2[[#This Row],[Spending Score (1-100)]]&lt;=75,"High",Table2[[#This Row],[Spending Score (1-100)]]&lt;=100,"Very High")</f>
        <v>Medium</v>
      </c>
      <c r="H1837" t="s">
        <v>12</v>
      </c>
      <c r="I1837">
        <v>1</v>
      </c>
      <c r="J1837" t="str">
        <f>CONCATENATE(Table2[[#This Row],[Work Experience]],"years")</f>
        <v>1years</v>
      </c>
      <c r="K1837" t="str">
        <f>CONCATENATE(Table2[[#This Row],[Family Size2]],"members")</f>
        <v>1members</v>
      </c>
      <c r="L1837" t="str">
        <f>CONCATENATE(Table2[[#This Row],[Family Size2]],"members")</f>
        <v>1members</v>
      </c>
      <c r="M1837">
        <v>1</v>
      </c>
    </row>
    <row r="1838" spans="1:13">
      <c r="A1838">
        <v>1837</v>
      </c>
      <c r="B1838" t="s">
        <v>11</v>
      </c>
      <c r="C1838">
        <v>91</v>
      </c>
      <c r="D1838" t="str" cm="1">
        <f t="array" ref="D1838">_xlfn.IFS(Table2[[#This Row],[Age]]&lt;=11,"Gen A",Table2[[#This Row],[Age]]&lt;=27,"Gen Z",Table2[[#This Row],[Age]]&lt;=43,"Millenials",Table2[[#This Row],[Age]]&lt;=59,"Gen X",Table2[[#This Row],[Age]]&lt;=78,"Baby Boomers",Table2[[#This Row],[Age]]&lt;=96,"Silent",Table2[[#This Row],[Age]]&gt;=97,"Greatest")</f>
        <v>Silent</v>
      </c>
      <c r="E1838" s="1">
        <v>156574</v>
      </c>
      <c r="F1838">
        <v>96</v>
      </c>
      <c r="G1838" t="str" cm="1">
        <f t="array" ref="G1838">_xlfn.IFS(Table2[[#This Row],[Spending Score (1-100)]]&lt;=25,"Low",Table2[[#This Row],[Spending Score (1-100)]]&lt;=50,"Medium",Table2[[#This Row],[Spending Score (1-100)]]&lt;=75,"High",Table2[[#This Row],[Spending Score (1-100)]]&lt;=100,"Very High")</f>
        <v>Very High</v>
      </c>
      <c r="H1838" t="s">
        <v>18</v>
      </c>
      <c r="I1838">
        <v>0</v>
      </c>
      <c r="J1838" t="str">
        <f>CONCATENATE(Table2[[#This Row],[Work Experience]],"years")</f>
        <v>0years</v>
      </c>
      <c r="K1838" t="str">
        <f>CONCATENATE(Table2[[#This Row],[Family Size2]],"members")</f>
        <v>7members</v>
      </c>
      <c r="L1838" t="str">
        <f>CONCATENATE(Table2[[#This Row],[Family Size2]],"members")</f>
        <v>7members</v>
      </c>
      <c r="M1838">
        <v>7</v>
      </c>
    </row>
    <row r="1839" spans="1:13">
      <c r="A1839">
        <v>1838</v>
      </c>
      <c r="B1839" t="s">
        <v>11</v>
      </c>
      <c r="C1839">
        <v>90</v>
      </c>
      <c r="D1839" t="str" cm="1">
        <f t="array" ref="D1839">_xlfn.IFS(Table2[[#This Row],[Age]]&lt;=11,"Gen A",Table2[[#This Row],[Age]]&lt;=27,"Gen Z",Table2[[#This Row],[Age]]&lt;=43,"Millenials",Table2[[#This Row],[Age]]&lt;=59,"Gen X",Table2[[#This Row],[Age]]&lt;=78,"Baby Boomers",Table2[[#This Row],[Age]]&lt;=96,"Silent",Table2[[#This Row],[Age]]&gt;=97,"Greatest")</f>
        <v>Silent</v>
      </c>
      <c r="E1839" s="1">
        <v>60998</v>
      </c>
      <c r="F1839">
        <v>35</v>
      </c>
      <c r="G1839" t="str" cm="1">
        <f t="array" ref="G1839">_xlfn.IFS(Table2[[#This Row],[Spending Score (1-100)]]&lt;=25,"Low",Table2[[#This Row],[Spending Score (1-100)]]&lt;=50,"Medium",Table2[[#This Row],[Spending Score (1-100)]]&lt;=75,"High",Table2[[#This Row],[Spending Score (1-100)]]&lt;=100,"Very High")</f>
        <v>Medium</v>
      </c>
      <c r="H1839" t="s">
        <v>13</v>
      </c>
      <c r="I1839">
        <v>1</v>
      </c>
      <c r="J1839" t="str">
        <f>CONCATENATE(Table2[[#This Row],[Work Experience]],"years")</f>
        <v>1years</v>
      </c>
      <c r="K1839" t="str">
        <f>CONCATENATE(Table2[[#This Row],[Family Size2]],"members")</f>
        <v>7members</v>
      </c>
      <c r="L1839" t="str">
        <f>CONCATENATE(Table2[[#This Row],[Family Size2]],"members")</f>
        <v>7members</v>
      </c>
      <c r="M1839">
        <v>7</v>
      </c>
    </row>
    <row r="1840" spans="1:13">
      <c r="A1840">
        <v>1839</v>
      </c>
      <c r="B1840" t="s">
        <v>11</v>
      </c>
      <c r="C1840">
        <v>60</v>
      </c>
      <c r="D1840" t="str" cm="1">
        <f t="array" ref="D1840">_xlfn.IFS(Table2[[#This Row],[Age]]&lt;=11,"Gen A",Table2[[#This Row],[Age]]&lt;=27,"Gen Z",Table2[[#This Row],[Age]]&lt;=43,"Millenials",Table2[[#This Row],[Age]]&lt;=59,"Gen X",Table2[[#This Row],[Age]]&lt;=78,"Baby Boomers",Table2[[#This Row],[Age]]&lt;=96,"Silent",Table2[[#This Row],[Age]]&gt;=97,"Greatest")</f>
        <v>Baby Boomers</v>
      </c>
      <c r="E1840" s="1">
        <v>108509</v>
      </c>
      <c r="F1840">
        <v>36</v>
      </c>
      <c r="G1840" t="str" cm="1">
        <f t="array" ref="G1840">_xlfn.IFS(Table2[[#This Row],[Spending Score (1-100)]]&lt;=25,"Low",Table2[[#This Row],[Spending Score (1-100)]]&lt;=50,"Medium",Table2[[#This Row],[Spending Score (1-100)]]&lt;=75,"High",Table2[[#This Row],[Spending Score (1-100)]]&lt;=100,"Very High")</f>
        <v>Medium</v>
      </c>
      <c r="H1840" t="s">
        <v>16</v>
      </c>
      <c r="I1840">
        <v>0</v>
      </c>
      <c r="J1840" t="str">
        <f>CONCATENATE(Table2[[#This Row],[Work Experience]],"years")</f>
        <v>0years</v>
      </c>
      <c r="K1840" t="str">
        <f>CONCATENATE(Table2[[#This Row],[Family Size2]],"members")</f>
        <v>2members</v>
      </c>
      <c r="L1840" t="str">
        <f>CONCATENATE(Table2[[#This Row],[Family Size2]],"members")</f>
        <v>2members</v>
      </c>
      <c r="M1840">
        <v>2</v>
      </c>
    </row>
    <row r="1841" spans="1:13">
      <c r="A1841">
        <v>1840</v>
      </c>
      <c r="B1841" t="s">
        <v>11</v>
      </c>
      <c r="C1841">
        <v>68</v>
      </c>
      <c r="D1841" t="str" cm="1">
        <f t="array" ref="D1841">_xlfn.IFS(Table2[[#This Row],[Age]]&lt;=11,"Gen A",Table2[[#This Row],[Age]]&lt;=27,"Gen Z",Table2[[#This Row],[Age]]&lt;=43,"Millenials",Table2[[#This Row],[Age]]&lt;=59,"Gen X",Table2[[#This Row],[Age]]&lt;=78,"Baby Boomers",Table2[[#This Row],[Age]]&lt;=96,"Silent",Table2[[#This Row],[Age]]&gt;=97,"Greatest")</f>
        <v>Baby Boomers</v>
      </c>
      <c r="E1841" s="1">
        <v>85540</v>
      </c>
      <c r="F1841">
        <v>49</v>
      </c>
      <c r="G1841" t="str" cm="1">
        <f t="array" ref="G1841">_xlfn.IFS(Table2[[#This Row],[Spending Score (1-100)]]&lt;=25,"Low",Table2[[#This Row],[Spending Score (1-100)]]&lt;=50,"Medium",Table2[[#This Row],[Spending Score (1-100)]]&lt;=75,"High",Table2[[#This Row],[Spending Score (1-100)]]&lt;=100,"Very High")</f>
        <v>Medium</v>
      </c>
      <c r="H1841" t="s">
        <v>17</v>
      </c>
      <c r="I1841">
        <v>9</v>
      </c>
      <c r="J1841" t="str">
        <f>CONCATENATE(Table2[[#This Row],[Work Experience]],"years")</f>
        <v>9years</v>
      </c>
      <c r="K1841" t="str">
        <f>CONCATENATE(Table2[[#This Row],[Family Size2]],"members")</f>
        <v>1members</v>
      </c>
      <c r="L1841" t="str">
        <f>CONCATENATE(Table2[[#This Row],[Family Size2]],"members")</f>
        <v>1members</v>
      </c>
      <c r="M1841">
        <v>1</v>
      </c>
    </row>
    <row r="1842" spans="1:13">
      <c r="A1842">
        <v>1841</v>
      </c>
      <c r="B1842" t="s">
        <v>11</v>
      </c>
      <c r="C1842">
        <v>43</v>
      </c>
      <c r="D1842" t="str" cm="1">
        <f t="array" ref="D1842">_xlfn.IFS(Table2[[#This Row],[Age]]&lt;=11,"Gen A",Table2[[#This Row],[Age]]&lt;=27,"Gen Z",Table2[[#This Row],[Age]]&lt;=43,"Millenials",Table2[[#This Row],[Age]]&lt;=59,"Gen X",Table2[[#This Row],[Age]]&lt;=78,"Baby Boomers",Table2[[#This Row],[Age]]&lt;=96,"Silent",Table2[[#This Row],[Age]]&gt;=97,"Greatest")</f>
        <v>Millenials</v>
      </c>
      <c r="E1842" s="1">
        <v>73915</v>
      </c>
      <c r="F1842">
        <v>47</v>
      </c>
      <c r="G1842" t="str" cm="1">
        <f t="array" ref="G1842">_xlfn.IFS(Table2[[#This Row],[Spending Score (1-100)]]&lt;=25,"Low",Table2[[#This Row],[Spending Score (1-100)]]&lt;=50,"Medium",Table2[[#This Row],[Spending Score (1-100)]]&lt;=75,"High",Table2[[#This Row],[Spending Score (1-100)]]&lt;=100,"Very High")</f>
        <v>Medium</v>
      </c>
      <c r="H1842" t="s">
        <v>14</v>
      </c>
      <c r="I1842">
        <v>11</v>
      </c>
      <c r="J1842" t="str">
        <f>CONCATENATE(Table2[[#This Row],[Work Experience]],"years")</f>
        <v>11years</v>
      </c>
      <c r="K1842" t="str">
        <f>CONCATENATE(Table2[[#This Row],[Family Size2]],"members")</f>
        <v>2members</v>
      </c>
      <c r="L1842" t="str">
        <f>CONCATENATE(Table2[[#This Row],[Family Size2]],"members")</f>
        <v>2members</v>
      </c>
      <c r="M1842">
        <v>2</v>
      </c>
    </row>
    <row r="1843" spans="1:13">
      <c r="A1843">
        <v>1842</v>
      </c>
      <c r="B1843" t="s">
        <v>8</v>
      </c>
      <c r="C1843">
        <v>52</v>
      </c>
      <c r="D1843" t="str" cm="1">
        <f t="array" ref="D1843">_xlfn.IFS(Table2[[#This Row],[Age]]&lt;=11,"Gen A",Table2[[#This Row],[Age]]&lt;=27,"Gen Z",Table2[[#This Row],[Age]]&lt;=43,"Millenials",Table2[[#This Row],[Age]]&lt;=59,"Gen X",Table2[[#This Row],[Age]]&lt;=78,"Baby Boomers",Table2[[#This Row],[Age]]&lt;=96,"Silent",Table2[[#This Row],[Age]]&gt;=97,"Greatest")</f>
        <v>Gen X</v>
      </c>
      <c r="E1843" s="1">
        <v>148901</v>
      </c>
      <c r="F1843">
        <v>77</v>
      </c>
      <c r="G1843" t="str" cm="1">
        <f t="array" ref="G1843">_xlfn.IFS(Table2[[#This Row],[Spending Score (1-100)]]&lt;=25,"Low",Table2[[#This Row],[Spending Score (1-100)]]&lt;=50,"Medium",Table2[[#This Row],[Spending Score (1-100)]]&lt;=75,"High",Table2[[#This Row],[Spending Score (1-100)]]&lt;=100,"Very High")</f>
        <v>Very High</v>
      </c>
      <c r="H1843" t="s">
        <v>9</v>
      </c>
      <c r="I1843">
        <v>4</v>
      </c>
      <c r="J1843" t="str">
        <f>CONCATENATE(Table2[[#This Row],[Work Experience]],"years")</f>
        <v>4years</v>
      </c>
      <c r="K1843" t="str">
        <f>CONCATENATE(Table2[[#This Row],[Family Size2]],"members")</f>
        <v>4members</v>
      </c>
      <c r="L1843" t="str">
        <f>CONCATENATE(Table2[[#This Row],[Family Size2]],"members")</f>
        <v>4members</v>
      </c>
      <c r="M1843">
        <v>4</v>
      </c>
    </row>
    <row r="1844" spans="1:13">
      <c r="A1844">
        <v>1843</v>
      </c>
      <c r="B1844" t="s">
        <v>8</v>
      </c>
      <c r="C1844">
        <v>81</v>
      </c>
      <c r="D1844" t="str" cm="1">
        <f t="array" ref="D1844">_xlfn.IFS(Table2[[#This Row],[Age]]&lt;=11,"Gen A",Table2[[#This Row],[Age]]&lt;=27,"Gen Z",Table2[[#This Row],[Age]]&lt;=43,"Millenials",Table2[[#This Row],[Age]]&lt;=59,"Gen X",Table2[[#This Row],[Age]]&lt;=78,"Baby Boomers",Table2[[#This Row],[Age]]&lt;=96,"Silent",Table2[[#This Row],[Age]]&gt;=97,"Greatest")</f>
        <v>Silent</v>
      </c>
      <c r="E1844" s="1">
        <v>152602</v>
      </c>
      <c r="F1844">
        <v>91</v>
      </c>
      <c r="G1844" t="str" cm="1">
        <f t="array" ref="G1844">_xlfn.IFS(Table2[[#This Row],[Spending Score (1-100)]]&lt;=25,"Low",Table2[[#This Row],[Spending Score (1-100)]]&lt;=50,"Medium",Table2[[#This Row],[Spending Score (1-100)]]&lt;=75,"High",Table2[[#This Row],[Spending Score (1-100)]]&lt;=100,"Very High")</f>
        <v>Very High</v>
      </c>
      <c r="H1844" t="s">
        <v>13</v>
      </c>
      <c r="I1844">
        <v>0</v>
      </c>
      <c r="J1844" t="str">
        <f>CONCATENATE(Table2[[#This Row],[Work Experience]],"years")</f>
        <v>0years</v>
      </c>
      <c r="K1844" t="str">
        <f>CONCATENATE(Table2[[#This Row],[Family Size2]],"members")</f>
        <v>1members</v>
      </c>
      <c r="L1844" t="str">
        <f>CONCATENATE(Table2[[#This Row],[Family Size2]],"members")</f>
        <v>1members</v>
      </c>
      <c r="M1844">
        <v>1</v>
      </c>
    </row>
    <row r="1845" spans="1:13">
      <c r="A1845">
        <v>1844</v>
      </c>
      <c r="B1845" t="s">
        <v>11</v>
      </c>
      <c r="C1845">
        <v>54</v>
      </c>
      <c r="D1845" t="str" cm="1">
        <f t="array" ref="D1845">_xlfn.IFS(Table2[[#This Row],[Age]]&lt;=11,"Gen A",Table2[[#This Row],[Age]]&lt;=27,"Gen Z",Table2[[#This Row],[Age]]&lt;=43,"Millenials",Table2[[#This Row],[Age]]&lt;=59,"Gen X",Table2[[#This Row],[Age]]&lt;=78,"Baby Boomers",Table2[[#This Row],[Age]]&lt;=96,"Silent",Table2[[#This Row],[Age]]&gt;=97,"Greatest")</f>
        <v>Gen X</v>
      </c>
      <c r="E1845" s="1">
        <v>58999</v>
      </c>
      <c r="F1845">
        <v>22</v>
      </c>
      <c r="G1845" t="str" cm="1">
        <f t="array" ref="G1845">_xlfn.IFS(Table2[[#This Row],[Spending Score (1-100)]]&lt;=25,"Low",Table2[[#This Row],[Spending Score (1-100)]]&lt;=50,"Medium",Table2[[#This Row],[Spending Score (1-100)]]&lt;=75,"High",Table2[[#This Row],[Spending Score (1-100)]]&lt;=100,"Very High")</f>
        <v>Low</v>
      </c>
      <c r="H1845" t="s">
        <v>13</v>
      </c>
      <c r="I1845">
        <v>7</v>
      </c>
      <c r="J1845" t="str">
        <f>CONCATENATE(Table2[[#This Row],[Work Experience]],"years")</f>
        <v>7years</v>
      </c>
      <c r="K1845" t="str">
        <f>CONCATENATE(Table2[[#This Row],[Family Size2]],"members")</f>
        <v>3members</v>
      </c>
      <c r="L1845" t="str">
        <f>CONCATENATE(Table2[[#This Row],[Family Size2]],"members")</f>
        <v>3members</v>
      </c>
      <c r="M1845">
        <v>3</v>
      </c>
    </row>
    <row r="1846" spans="1:13">
      <c r="A1846">
        <v>1845</v>
      </c>
      <c r="B1846" t="s">
        <v>11</v>
      </c>
      <c r="C1846">
        <v>43</v>
      </c>
      <c r="D1846" t="str" cm="1">
        <f t="array" ref="D1846">_xlfn.IFS(Table2[[#This Row],[Age]]&lt;=11,"Gen A",Table2[[#This Row],[Age]]&lt;=27,"Gen Z",Table2[[#This Row],[Age]]&lt;=43,"Millenials",Table2[[#This Row],[Age]]&lt;=59,"Gen X",Table2[[#This Row],[Age]]&lt;=78,"Baby Boomers",Table2[[#This Row],[Age]]&lt;=96,"Silent",Table2[[#This Row],[Age]]&gt;=97,"Greatest")</f>
        <v>Millenials</v>
      </c>
      <c r="E1846" s="1">
        <v>133740</v>
      </c>
      <c r="F1846">
        <v>37</v>
      </c>
      <c r="G1846" t="str" cm="1">
        <f t="array" ref="G1846">_xlfn.IFS(Table2[[#This Row],[Spending Score (1-100)]]&lt;=25,"Low",Table2[[#This Row],[Spending Score (1-100)]]&lt;=50,"Medium",Table2[[#This Row],[Spending Score (1-100)]]&lt;=75,"High",Table2[[#This Row],[Spending Score (1-100)]]&lt;=100,"Very High")</f>
        <v>Medium</v>
      </c>
      <c r="H1846" t="s">
        <v>14</v>
      </c>
      <c r="I1846">
        <v>5</v>
      </c>
      <c r="J1846" t="str">
        <f>CONCATENATE(Table2[[#This Row],[Work Experience]],"years")</f>
        <v>5years</v>
      </c>
      <c r="K1846" t="str">
        <f>CONCATENATE(Table2[[#This Row],[Family Size2]],"members")</f>
        <v>4members</v>
      </c>
      <c r="L1846" t="str">
        <f>CONCATENATE(Table2[[#This Row],[Family Size2]],"members")</f>
        <v>4members</v>
      </c>
      <c r="M1846">
        <v>4</v>
      </c>
    </row>
    <row r="1847" spans="1:13">
      <c r="A1847">
        <v>1846</v>
      </c>
      <c r="B1847" t="s">
        <v>11</v>
      </c>
      <c r="C1847">
        <v>20</v>
      </c>
      <c r="D1847" t="str" cm="1">
        <f t="array" ref="D1847">_xlfn.IFS(Table2[[#This Row],[Age]]&lt;=11,"Gen A",Table2[[#This Row],[Age]]&lt;=27,"Gen Z",Table2[[#This Row],[Age]]&lt;=43,"Millenials",Table2[[#This Row],[Age]]&lt;=59,"Gen X",Table2[[#This Row],[Age]]&lt;=78,"Baby Boomers",Table2[[#This Row],[Age]]&lt;=96,"Silent",Table2[[#This Row],[Age]]&gt;=97,"Greatest")</f>
        <v>Gen Z</v>
      </c>
      <c r="E1847" s="1">
        <v>113217</v>
      </c>
      <c r="F1847">
        <v>41</v>
      </c>
      <c r="G1847" t="str" cm="1">
        <f t="array" ref="G1847">_xlfn.IFS(Table2[[#This Row],[Spending Score (1-100)]]&lt;=25,"Low",Table2[[#This Row],[Spending Score (1-100)]]&lt;=50,"Medium",Table2[[#This Row],[Spending Score (1-100)]]&lt;=75,"High",Table2[[#This Row],[Spending Score (1-100)]]&lt;=100,"Very High")</f>
        <v>Medium</v>
      </c>
      <c r="H1847" t="s">
        <v>12</v>
      </c>
      <c r="I1847">
        <v>9</v>
      </c>
      <c r="J1847" t="str">
        <f>CONCATENATE(Table2[[#This Row],[Work Experience]],"years")</f>
        <v>9years</v>
      </c>
      <c r="K1847" t="str">
        <f>CONCATENATE(Table2[[#This Row],[Family Size2]],"members")</f>
        <v>1members</v>
      </c>
      <c r="L1847" t="str">
        <f>CONCATENATE(Table2[[#This Row],[Family Size2]],"members")</f>
        <v>1members</v>
      </c>
      <c r="M1847">
        <v>1</v>
      </c>
    </row>
    <row r="1848" spans="1:13">
      <c r="A1848">
        <v>1847</v>
      </c>
      <c r="B1848" t="s">
        <v>11</v>
      </c>
      <c r="C1848">
        <v>71</v>
      </c>
      <c r="D1848" t="str" cm="1">
        <f t="array" ref="D1848">_xlfn.IFS(Table2[[#This Row],[Age]]&lt;=11,"Gen A",Table2[[#This Row],[Age]]&lt;=27,"Gen Z",Table2[[#This Row],[Age]]&lt;=43,"Millenials",Table2[[#This Row],[Age]]&lt;=59,"Gen X",Table2[[#This Row],[Age]]&lt;=78,"Baby Boomers",Table2[[#This Row],[Age]]&lt;=96,"Silent",Table2[[#This Row],[Age]]&gt;=97,"Greatest")</f>
        <v>Baby Boomers</v>
      </c>
      <c r="E1848" s="1">
        <v>60209</v>
      </c>
      <c r="F1848">
        <v>46</v>
      </c>
      <c r="G1848" t="str" cm="1">
        <f t="array" ref="G1848">_xlfn.IFS(Table2[[#This Row],[Spending Score (1-100)]]&lt;=25,"Low",Table2[[#This Row],[Spending Score (1-100)]]&lt;=50,"Medium",Table2[[#This Row],[Spending Score (1-100)]]&lt;=75,"High",Table2[[#This Row],[Spending Score (1-100)]]&lt;=100,"Very High")</f>
        <v>Medium</v>
      </c>
      <c r="H1848" t="s">
        <v>14</v>
      </c>
      <c r="I1848">
        <v>1</v>
      </c>
      <c r="J1848" t="str">
        <f>CONCATENATE(Table2[[#This Row],[Work Experience]],"years")</f>
        <v>1years</v>
      </c>
      <c r="K1848" t="str">
        <f>CONCATENATE(Table2[[#This Row],[Family Size2]],"members")</f>
        <v>3members</v>
      </c>
      <c r="L1848" t="str">
        <f>CONCATENATE(Table2[[#This Row],[Family Size2]],"members")</f>
        <v>3members</v>
      </c>
      <c r="M1848">
        <v>3</v>
      </c>
    </row>
    <row r="1849" spans="1:13">
      <c r="A1849">
        <v>1848</v>
      </c>
      <c r="B1849" t="s">
        <v>11</v>
      </c>
      <c r="C1849">
        <v>26</v>
      </c>
      <c r="D1849" t="str" cm="1">
        <f t="array" ref="D1849">_xlfn.IFS(Table2[[#This Row],[Age]]&lt;=11,"Gen A",Table2[[#This Row],[Age]]&lt;=27,"Gen Z",Table2[[#This Row],[Age]]&lt;=43,"Millenials",Table2[[#This Row],[Age]]&lt;=59,"Gen X",Table2[[#This Row],[Age]]&lt;=78,"Baby Boomers",Table2[[#This Row],[Age]]&lt;=96,"Silent",Table2[[#This Row],[Age]]&gt;=97,"Greatest")</f>
        <v>Gen Z</v>
      </c>
      <c r="E1849" s="1">
        <v>145491</v>
      </c>
      <c r="F1849">
        <v>72</v>
      </c>
      <c r="G1849" t="str" cm="1">
        <f t="array" ref="G1849">_xlfn.IFS(Table2[[#This Row],[Spending Score (1-100)]]&lt;=25,"Low",Table2[[#This Row],[Spending Score (1-100)]]&lt;=50,"Medium",Table2[[#This Row],[Spending Score (1-100)]]&lt;=75,"High",Table2[[#This Row],[Spending Score (1-100)]]&lt;=100,"Very High")</f>
        <v>High</v>
      </c>
      <c r="H1849" t="s">
        <v>13</v>
      </c>
      <c r="I1849">
        <v>9</v>
      </c>
      <c r="J1849" t="str">
        <f>CONCATENATE(Table2[[#This Row],[Work Experience]],"years")</f>
        <v>9years</v>
      </c>
      <c r="K1849" t="str">
        <f>CONCATENATE(Table2[[#This Row],[Family Size2]],"members")</f>
        <v>5members</v>
      </c>
      <c r="L1849" t="str">
        <f>CONCATENATE(Table2[[#This Row],[Family Size2]],"members")</f>
        <v>5members</v>
      </c>
      <c r="M1849">
        <v>5</v>
      </c>
    </row>
    <row r="1850" spans="1:13">
      <c r="A1850">
        <v>1849</v>
      </c>
      <c r="B1850" t="s">
        <v>11</v>
      </c>
      <c r="C1850">
        <v>75</v>
      </c>
      <c r="D1850" t="str" cm="1">
        <f t="array" ref="D1850">_xlfn.IFS(Table2[[#This Row],[Age]]&lt;=11,"Gen A",Table2[[#This Row],[Age]]&lt;=27,"Gen Z",Table2[[#This Row],[Age]]&lt;=43,"Millenials",Table2[[#This Row],[Age]]&lt;=59,"Gen X",Table2[[#This Row],[Age]]&lt;=78,"Baby Boomers",Table2[[#This Row],[Age]]&lt;=96,"Silent",Table2[[#This Row],[Age]]&gt;=97,"Greatest")</f>
        <v>Baby Boomers</v>
      </c>
      <c r="E1850" s="1">
        <v>61393</v>
      </c>
      <c r="F1850">
        <v>65</v>
      </c>
      <c r="G1850" t="str" cm="1">
        <f t="array" ref="G1850">_xlfn.IFS(Table2[[#This Row],[Spending Score (1-100)]]&lt;=25,"Low",Table2[[#This Row],[Spending Score (1-100)]]&lt;=50,"Medium",Table2[[#This Row],[Spending Score (1-100)]]&lt;=75,"High",Table2[[#This Row],[Spending Score (1-100)]]&lt;=100,"Very High")</f>
        <v>High</v>
      </c>
      <c r="H1850" t="s">
        <v>16</v>
      </c>
      <c r="I1850">
        <v>7</v>
      </c>
      <c r="J1850" t="str">
        <f>CONCATENATE(Table2[[#This Row],[Work Experience]],"years")</f>
        <v>7years</v>
      </c>
      <c r="K1850" t="str">
        <f>CONCATENATE(Table2[[#This Row],[Family Size2]],"members")</f>
        <v>5members</v>
      </c>
      <c r="L1850" t="str">
        <f>CONCATENATE(Table2[[#This Row],[Family Size2]],"members")</f>
        <v>5members</v>
      </c>
      <c r="M1850">
        <v>5</v>
      </c>
    </row>
    <row r="1851" spans="1:13">
      <c r="A1851">
        <v>1850</v>
      </c>
      <c r="B1851" t="s">
        <v>11</v>
      </c>
      <c r="C1851">
        <v>52</v>
      </c>
      <c r="D1851" t="str" cm="1">
        <f t="array" ref="D1851">_xlfn.IFS(Table2[[#This Row],[Age]]&lt;=11,"Gen A",Table2[[#This Row],[Age]]&lt;=27,"Gen Z",Table2[[#This Row],[Age]]&lt;=43,"Millenials",Table2[[#This Row],[Age]]&lt;=59,"Gen X",Table2[[#This Row],[Age]]&lt;=78,"Baby Boomers",Table2[[#This Row],[Age]]&lt;=96,"Silent",Table2[[#This Row],[Age]]&gt;=97,"Greatest")</f>
        <v>Gen X</v>
      </c>
      <c r="E1851" s="1">
        <v>133252</v>
      </c>
      <c r="F1851">
        <v>55</v>
      </c>
      <c r="G1851" t="str" cm="1">
        <f t="array" ref="G1851">_xlfn.IFS(Table2[[#This Row],[Spending Score (1-100)]]&lt;=25,"Low",Table2[[#This Row],[Spending Score (1-100)]]&lt;=50,"Medium",Table2[[#This Row],[Spending Score (1-100)]]&lt;=75,"High",Table2[[#This Row],[Spending Score (1-100)]]&lt;=100,"Very High")</f>
        <v>High</v>
      </c>
      <c r="H1851" t="s">
        <v>14</v>
      </c>
      <c r="I1851">
        <v>1</v>
      </c>
      <c r="J1851" t="str">
        <f>CONCATENATE(Table2[[#This Row],[Work Experience]],"years")</f>
        <v>1years</v>
      </c>
      <c r="K1851" t="str">
        <f>CONCATENATE(Table2[[#This Row],[Family Size2]],"members")</f>
        <v>1members</v>
      </c>
      <c r="L1851" t="str">
        <f>CONCATENATE(Table2[[#This Row],[Family Size2]],"members")</f>
        <v>1members</v>
      </c>
      <c r="M1851">
        <v>1</v>
      </c>
    </row>
    <row r="1852" spans="1:13">
      <c r="A1852">
        <v>1851</v>
      </c>
      <c r="B1852" t="s">
        <v>11</v>
      </c>
      <c r="C1852">
        <v>40</v>
      </c>
      <c r="D1852" t="str" cm="1">
        <f t="array" ref="D1852">_xlfn.IFS(Table2[[#This Row],[Age]]&lt;=11,"Gen A",Table2[[#This Row],[Age]]&lt;=27,"Gen Z",Table2[[#This Row],[Age]]&lt;=43,"Millenials",Table2[[#This Row],[Age]]&lt;=59,"Gen X",Table2[[#This Row],[Age]]&lt;=78,"Baby Boomers",Table2[[#This Row],[Age]]&lt;=96,"Silent",Table2[[#This Row],[Age]]&gt;=97,"Greatest")</f>
        <v>Millenials</v>
      </c>
      <c r="E1852" s="1">
        <v>187234</v>
      </c>
      <c r="F1852">
        <v>14</v>
      </c>
      <c r="G1852" t="str" cm="1">
        <f t="array" ref="G1852">_xlfn.IFS(Table2[[#This Row],[Spending Score (1-100)]]&lt;=25,"Low",Table2[[#This Row],[Spending Score (1-100)]]&lt;=50,"Medium",Table2[[#This Row],[Spending Score (1-100)]]&lt;=75,"High",Table2[[#This Row],[Spending Score (1-100)]]&lt;=100,"Very High")</f>
        <v>Low</v>
      </c>
      <c r="H1852" t="s">
        <v>16</v>
      </c>
      <c r="I1852">
        <v>0</v>
      </c>
      <c r="J1852" t="str">
        <f>CONCATENATE(Table2[[#This Row],[Work Experience]],"years")</f>
        <v>0years</v>
      </c>
      <c r="K1852" t="str">
        <f>CONCATENATE(Table2[[#This Row],[Family Size2]],"members")</f>
        <v>5members</v>
      </c>
      <c r="L1852" t="str">
        <f>CONCATENATE(Table2[[#This Row],[Family Size2]],"members")</f>
        <v>5members</v>
      </c>
      <c r="M1852">
        <v>5</v>
      </c>
    </row>
    <row r="1853" spans="1:13">
      <c r="A1853">
        <v>1852</v>
      </c>
      <c r="B1853" t="s">
        <v>8</v>
      </c>
      <c r="C1853">
        <v>5</v>
      </c>
      <c r="D1853" t="str" cm="1">
        <f t="array" ref="D1853">_xlfn.IFS(Table2[[#This Row],[Age]]&lt;=11,"Gen A",Table2[[#This Row],[Age]]&lt;=27,"Gen Z",Table2[[#This Row],[Age]]&lt;=43,"Millenials",Table2[[#This Row],[Age]]&lt;=59,"Gen X",Table2[[#This Row],[Age]]&lt;=78,"Baby Boomers",Table2[[#This Row],[Age]]&lt;=96,"Silent",Table2[[#This Row],[Age]]&gt;=97,"Greatest")</f>
        <v>Gen A</v>
      </c>
      <c r="E1853" s="1">
        <v>145563</v>
      </c>
      <c r="F1853">
        <v>60</v>
      </c>
      <c r="G1853" t="str" cm="1">
        <f t="array" ref="G1853">_xlfn.IFS(Table2[[#This Row],[Spending Score (1-100)]]&lt;=25,"Low",Table2[[#This Row],[Spending Score (1-100)]]&lt;=50,"Medium",Table2[[#This Row],[Spending Score (1-100)]]&lt;=75,"High",Table2[[#This Row],[Spending Score (1-100)]]&lt;=100,"Very High")</f>
        <v>High</v>
      </c>
      <c r="H1853" t="s">
        <v>13</v>
      </c>
      <c r="I1853">
        <v>9</v>
      </c>
      <c r="J1853" t="str">
        <f>CONCATENATE(Table2[[#This Row],[Work Experience]],"years")</f>
        <v>9years</v>
      </c>
      <c r="K1853" t="str">
        <f>CONCATENATE(Table2[[#This Row],[Family Size2]],"members")</f>
        <v>6members</v>
      </c>
      <c r="L1853" t="str">
        <f>CONCATENATE(Table2[[#This Row],[Family Size2]],"members")</f>
        <v>6members</v>
      </c>
      <c r="M1853">
        <v>6</v>
      </c>
    </row>
    <row r="1854" spans="1:13">
      <c r="A1854">
        <v>1853</v>
      </c>
      <c r="B1854" t="s">
        <v>11</v>
      </c>
      <c r="C1854">
        <v>46</v>
      </c>
      <c r="D1854" t="str" cm="1">
        <f t="array" ref="D1854">_xlfn.IFS(Table2[[#This Row],[Age]]&lt;=11,"Gen A",Table2[[#This Row],[Age]]&lt;=27,"Gen Z",Table2[[#This Row],[Age]]&lt;=43,"Millenials",Table2[[#This Row],[Age]]&lt;=59,"Gen X",Table2[[#This Row],[Age]]&lt;=78,"Baby Boomers",Table2[[#This Row],[Age]]&lt;=96,"Silent",Table2[[#This Row],[Age]]&gt;=97,"Greatest")</f>
        <v>Gen X</v>
      </c>
      <c r="E1854" s="1">
        <v>165810</v>
      </c>
      <c r="F1854">
        <v>38</v>
      </c>
      <c r="G1854" t="str" cm="1">
        <f t="array" ref="G1854">_xlfn.IFS(Table2[[#This Row],[Spending Score (1-100)]]&lt;=25,"Low",Table2[[#This Row],[Spending Score (1-100)]]&lt;=50,"Medium",Table2[[#This Row],[Spending Score (1-100)]]&lt;=75,"High",Table2[[#This Row],[Spending Score (1-100)]]&lt;=100,"Very High")</f>
        <v>Medium</v>
      </c>
      <c r="H1854" t="s">
        <v>9</v>
      </c>
      <c r="I1854">
        <v>3</v>
      </c>
      <c r="J1854" t="str">
        <f>CONCATENATE(Table2[[#This Row],[Work Experience]],"years")</f>
        <v>3years</v>
      </c>
      <c r="K1854" t="str">
        <f>CONCATENATE(Table2[[#This Row],[Family Size2]],"members")</f>
        <v>5members</v>
      </c>
      <c r="L1854" t="str">
        <f>CONCATENATE(Table2[[#This Row],[Family Size2]],"members")</f>
        <v>5members</v>
      </c>
      <c r="M1854">
        <v>5</v>
      </c>
    </row>
    <row r="1855" spans="1:13">
      <c r="A1855">
        <v>1854</v>
      </c>
      <c r="B1855" t="s">
        <v>8</v>
      </c>
      <c r="C1855">
        <v>98</v>
      </c>
      <c r="D1855" t="str" cm="1">
        <f t="array" ref="D1855">_xlfn.IFS(Table2[[#This Row],[Age]]&lt;=11,"Gen A",Table2[[#This Row],[Age]]&lt;=27,"Gen Z",Table2[[#This Row],[Age]]&lt;=43,"Millenials",Table2[[#This Row],[Age]]&lt;=59,"Gen X",Table2[[#This Row],[Age]]&lt;=78,"Baby Boomers",Table2[[#This Row],[Age]]&lt;=96,"Silent",Table2[[#This Row],[Age]]&gt;=97,"Greatest")</f>
        <v>Greatest</v>
      </c>
      <c r="E1855" s="1">
        <v>125181</v>
      </c>
      <c r="F1855">
        <v>30</v>
      </c>
      <c r="G1855" t="str" cm="1">
        <f t="array" ref="G1855">_xlfn.IFS(Table2[[#This Row],[Spending Score (1-100)]]&lt;=25,"Low",Table2[[#This Row],[Spending Score (1-100)]]&lt;=50,"Medium",Table2[[#This Row],[Spending Score (1-100)]]&lt;=75,"High",Table2[[#This Row],[Spending Score (1-100)]]&lt;=100,"Very High")</f>
        <v>Medium</v>
      </c>
      <c r="H1855" t="s">
        <v>14</v>
      </c>
      <c r="I1855">
        <v>0</v>
      </c>
      <c r="J1855" t="str">
        <f>CONCATENATE(Table2[[#This Row],[Work Experience]],"years")</f>
        <v>0years</v>
      </c>
      <c r="K1855" t="str">
        <f>CONCATENATE(Table2[[#This Row],[Family Size2]],"members")</f>
        <v>7members</v>
      </c>
      <c r="L1855" t="str">
        <f>CONCATENATE(Table2[[#This Row],[Family Size2]],"members")</f>
        <v>7members</v>
      </c>
      <c r="M1855">
        <v>7</v>
      </c>
    </row>
    <row r="1856" spans="1:13">
      <c r="A1856">
        <v>1855</v>
      </c>
      <c r="B1856" t="s">
        <v>11</v>
      </c>
      <c r="C1856">
        <v>84</v>
      </c>
      <c r="D1856" t="str" cm="1">
        <f t="array" ref="D1856">_xlfn.IFS(Table2[[#This Row],[Age]]&lt;=11,"Gen A",Table2[[#This Row],[Age]]&lt;=27,"Gen Z",Table2[[#This Row],[Age]]&lt;=43,"Millenials",Table2[[#This Row],[Age]]&lt;=59,"Gen X",Table2[[#This Row],[Age]]&lt;=78,"Baby Boomers",Table2[[#This Row],[Age]]&lt;=96,"Silent",Table2[[#This Row],[Age]]&gt;=97,"Greatest")</f>
        <v>Silent</v>
      </c>
      <c r="E1856" s="1">
        <v>56809</v>
      </c>
      <c r="F1856">
        <v>96</v>
      </c>
      <c r="G1856" t="str" cm="1">
        <f t="array" ref="G1856">_xlfn.IFS(Table2[[#This Row],[Spending Score (1-100)]]&lt;=25,"Low",Table2[[#This Row],[Spending Score (1-100)]]&lt;=50,"Medium",Table2[[#This Row],[Spending Score (1-100)]]&lt;=75,"High",Table2[[#This Row],[Spending Score (1-100)]]&lt;=100,"Very High")</f>
        <v>Very High</v>
      </c>
      <c r="H1856" t="s">
        <v>9</v>
      </c>
      <c r="I1856">
        <v>1</v>
      </c>
      <c r="J1856" t="str">
        <f>CONCATENATE(Table2[[#This Row],[Work Experience]],"years")</f>
        <v>1years</v>
      </c>
      <c r="K1856" t="str">
        <f>CONCATENATE(Table2[[#This Row],[Family Size2]],"members")</f>
        <v>2members</v>
      </c>
      <c r="L1856" t="str">
        <f>CONCATENATE(Table2[[#This Row],[Family Size2]],"members")</f>
        <v>2members</v>
      </c>
      <c r="M1856">
        <v>2</v>
      </c>
    </row>
    <row r="1857" spans="1:13">
      <c r="A1857">
        <v>1856</v>
      </c>
      <c r="B1857" t="s">
        <v>8</v>
      </c>
      <c r="C1857">
        <v>35</v>
      </c>
      <c r="D1857" t="str" cm="1">
        <f t="array" ref="D1857">_xlfn.IFS(Table2[[#This Row],[Age]]&lt;=11,"Gen A",Table2[[#This Row],[Age]]&lt;=27,"Gen Z",Table2[[#This Row],[Age]]&lt;=43,"Millenials",Table2[[#This Row],[Age]]&lt;=59,"Gen X",Table2[[#This Row],[Age]]&lt;=78,"Baby Boomers",Table2[[#This Row],[Age]]&lt;=96,"Silent",Table2[[#This Row],[Age]]&gt;=97,"Greatest")</f>
        <v>Millenials</v>
      </c>
      <c r="E1857" s="1">
        <v>69419</v>
      </c>
      <c r="F1857">
        <v>68</v>
      </c>
      <c r="G1857" t="str" cm="1">
        <f t="array" ref="G1857">_xlfn.IFS(Table2[[#This Row],[Spending Score (1-100)]]&lt;=25,"Low",Table2[[#This Row],[Spending Score (1-100)]]&lt;=50,"Medium",Table2[[#This Row],[Spending Score (1-100)]]&lt;=75,"High",Table2[[#This Row],[Spending Score (1-100)]]&lt;=100,"Very High")</f>
        <v>High</v>
      </c>
      <c r="H1857" t="s">
        <v>9</v>
      </c>
      <c r="I1857">
        <v>9</v>
      </c>
      <c r="J1857" t="str">
        <f>CONCATENATE(Table2[[#This Row],[Work Experience]],"years")</f>
        <v>9years</v>
      </c>
      <c r="K1857" t="str">
        <f>CONCATENATE(Table2[[#This Row],[Family Size2]],"members")</f>
        <v>1members</v>
      </c>
      <c r="L1857" t="str">
        <f>CONCATENATE(Table2[[#This Row],[Family Size2]],"members")</f>
        <v>1members</v>
      </c>
      <c r="M1857">
        <v>1</v>
      </c>
    </row>
    <row r="1858" spans="1:13">
      <c r="A1858">
        <v>1857</v>
      </c>
      <c r="B1858" t="s">
        <v>11</v>
      </c>
      <c r="C1858">
        <v>78</v>
      </c>
      <c r="D1858" t="str" cm="1">
        <f t="array" ref="D1858">_xlfn.IFS(Table2[[#This Row],[Age]]&lt;=11,"Gen A",Table2[[#This Row],[Age]]&lt;=27,"Gen Z",Table2[[#This Row],[Age]]&lt;=43,"Millenials",Table2[[#This Row],[Age]]&lt;=59,"Gen X",Table2[[#This Row],[Age]]&lt;=78,"Baby Boomers",Table2[[#This Row],[Age]]&lt;=96,"Silent",Table2[[#This Row],[Age]]&gt;=97,"Greatest")</f>
        <v>Baby Boomers</v>
      </c>
      <c r="E1858" s="1">
        <v>70689</v>
      </c>
      <c r="F1858">
        <v>54</v>
      </c>
      <c r="G1858" t="str" cm="1">
        <f t="array" ref="G1858">_xlfn.IFS(Table2[[#This Row],[Spending Score (1-100)]]&lt;=25,"Low",Table2[[#This Row],[Spending Score (1-100)]]&lt;=50,"Medium",Table2[[#This Row],[Spending Score (1-100)]]&lt;=75,"High",Table2[[#This Row],[Spending Score (1-100)]]&lt;=100,"Very High")</f>
        <v>High</v>
      </c>
      <c r="H1858" t="s">
        <v>14</v>
      </c>
      <c r="I1858">
        <v>1</v>
      </c>
      <c r="J1858" t="str">
        <f>CONCATENATE(Table2[[#This Row],[Work Experience]],"years")</f>
        <v>1years</v>
      </c>
      <c r="K1858" t="str">
        <f>CONCATENATE(Table2[[#This Row],[Family Size2]],"members")</f>
        <v>4members</v>
      </c>
      <c r="L1858" t="str">
        <f>CONCATENATE(Table2[[#This Row],[Family Size2]],"members")</f>
        <v>4members</v>
      </c>
      <c r="M1858">
        <v>4</v>
      </c>
    </row>
    <row r="1859" spans="1:13">
      <c r="A1859">
        <v>1858</v>
      </c>
      <c r="B1859" t="s">
        <v>8</v>
      </c>
      <c r="C1859">
        <v>64</v>
      </c>
      <c r="D1859" t="str" cm="1">
        <f t="array" ref="D1859">_xlfn.IFS(Table2[[#This Row],[Age]]&lt;=11,"Gen A",Table2[[#This Row],[Age]]&lt;=27,"Gen Z",Table2[[#This Row],[Age]]&lt;=43,"Millenials",Table2[[#This Row],[Age]]&lt;=59,"Gen X",Table2[[#This Row],[Age]]&lt;=78,"Baby Boomers",Table2[[#This Row],[Age]]&lt;=96,"Silent",Table2[[#This Row],[Age]]&gt;=97,"Greatest")</f>
        <v>Baby Boomers</v>
      </c>
      <c r="E1859" s="1">
        <v>55011</v>
      </c>
      <c r="F1859">
        <v>53</v>
      </c>
      <c r="G1859" t="str" cm="1">
        <f t="array" ref="G1859">_xlfn.IFS(Table2[[#This Row],[Spending Score (1-100)]]&lt;=25,"Low",Table2[[#This Row],[Spending Score (1-100)]]&lt;=50,"Medium",Table2[[#This Row],[Spending Score (1-100)]]&lt;=75,"High",Table2[[#This Row],[Spending Score (1-100)]]&lt;=100,"Very High")</f>
        <v>High</v>
      </c>
      <c r="H1859" t="s">
        <v>14</v>
      </c>
      <c r="I1859">
        <v>1</v>
      </c>
      <c r="J1859" t="str">
        <f>CONCATENATE(Table2[[#This Row],[Work Experience]],"years")</f>
        <v>1years</v>
      </c>
      <c r="K1859" t="str">
        <f>CONCATENATE(Table2[[#This Row],[Family Size2]],"members")</f>
        <v>7members</v>
      </c>
      <c r="L1859" t="str">
        <f>CONCATENATE(Table2[[#This Row],[Family Size2]],"members")</f>
        <v>7members</v>
      </c>
      <c r="M1859">
        <v>7</v>
      </c>
    </row>
    <row r="1860" spans="1:13">
      <c r="A1860">
        <v>1859</v>
      </c>
      <c r="B1860" t="s">
        <v>11</v>
      </c>
      <c r="C1860">
        <v>98</v>
      </c>
      <c r="D1860" t="str" cm="1">
        <f t="array" ref="D1860">_xlfn.IFS(Table2[[#This Row],[Age]]&lt;=11,"Gen A",Table2[[#This Row],[Age]]&lt;=27,"Gen Z",Table2[[#This Row],[Age]]&lt;=43,"Millenials",Table2[[#This Row],[Age]]&lt;=59,"Gen X",Table2[[#This Row],[Age]]&lt;=78,"Baby Boomers",Table2[[#This Row],[Age]]&lt;=96,"Silent",Table2[[#This Row],[Age]]&gt;=97,"Greatest")</f>
        <v>Greatest</v>
      </c>
      <c r="E1860" s="1">
        <v>87955</v>
      </c>
      <c r="F1860">
        <v>79</v>
      </c>
      <c r="G1860" t="str" cm="1">
        <f t="array" ref="G1860">_xlfn.IFS(Table2[[#This Row],[Spending Score (1-100)]]&lt;=25,"Low",Table2[[#This Row],[Spending Score (1-100)]]&lt;=50,"Medium",Table2[[#This Row],[Spending Score (1-100)]]&lt;=75,"High",Table2[[#This Row],[Spending Score (1-100)]]&lt;=100,"Very High")</f>
        <v>Very High</v>
      </c>
      <c r="H1860" t="s">
        <v>10</v>
      </c>
      <c r="I1860">
        <v>0</v>
      </c>
      <c r="J1860" t="str">
        <f>CONCATENATE(Table2[[#This Row],[Work Experience]],"years")</f>
        <v>0years</v>
      </c>
      <c r="K1860" t="str">
        <f>CONCATENATE(Table2[[#This Row],[Family Size2]],"members")</f>
        <v>2members</v>
      </c>
      <c r="L1860" t="str">
        <f>CONCATENATE(Table2[[#This Row],[Family Size2]],"members")</f>
        <v>2members</v>
      </c>
      <c r="M1860">
        <v>2</v>
      </c>
    </row>
    <row r="1861" spans="1:13">
      <c r="A1861">
        <v>1860</v>
      </c>
      <c r="B1861" t="s">
        <v>8</v>
      </c>
      <c r="C1861">
        <v>66</v>
      </c>
      <c r="D1861" t="str" cm="1">
        <f t="array" ref="D1861">_xlfn.IFS(Table2[[#This Row],[Age]]&lt;=11,"Gen A",Table2[[#This Row],[Age]]&lt;=27,"Gen Z",Table2[[#This Row],[Age]]&lt;=43,"Millenials",Table2[[#This Row],[Age]]&lt;=59,"Gen X",Table2[[#This Row],[Age]]&lt;=78,"Baby Boomers",Table2[[#This Row],[Age]]&lt;=96,"Silent",Table2[[#This Row],[Age]]&gt;=97,"Greatest")</f>
        <v>Baby Boomers</v>
      </c>
      <c r="E1861" s="1">
        <v>153660</v>
      </c>
      <c r="F1861">
        <v>24</v>
      </c>
      <c r="G1861" t="str" cm="1">
        <f t="array" ref="G1861">_xlfn.IFS(Table2[[#This Row],[Spending Score (1-100)]]&lt;=25,"Low",Table2[[#This Row],[Spending Score (1-100)]]&lt;=50,"Medium",Table2[[#This Row],[Spending Score (1-100)]]&lt;=75,"High",Table2[[#This Row],[Spending Score (1-100)]]&lt;=100,"Very High")</f>
        <v>Low</v>
      </c>
      <c r="H1861" t="s">
        <v>9</v>
      </c>
      <c r="I1861">
        <v>0</v>
      </c>
      <c r="J1861" t="str">
        <f>CONCATENATE(Table2[[#This Row],[Work Experience]],"years")</f>
        <v>0years</v>
      </c>
      <c r="K1861" t="str">
        <f>CONCATENATE(Table2[[#This Row],[Family Size2]],"members")</f>
        <v>5members</v>
      </c>
      <c r="L1861" t="str">
        <f>CONCATENATE(Table2[[#This Row],[Family Size2]],"members")</f>
        <v>5members</v>
      </c>
      <c r="M1861">
        <v>5</v>
      </c>
    </row>
    <row r="1862" spans="1:13">
      <c r="A1862">
        <v>1861</v>
      </c>
      <c r="B1862" t="s">
        <v>8</v>
      </c>
      <c r="C1862">
        <v>32</v>
      </c>
      <c r="D1862" t="str" cm="1">
        <f t="array" ref="D1862">_xlfn.IFS(Table2[[#This Row],[Age]]&lt;=11,"Gen A",Table2[[#This Row],[Age]]&lt;=27,"Gen Z",Table2[[#This Row],[Age]]&lt;=43,"Millenials",Table2[[#This Row],[Age]]&lt;=59,"Gen X",Table2[[#This Row],[Age]]&lt;=78,"Baby Boomers",Table2[[#This Row],[Age]]&lt;=96,"Silent",Table2[[#This Row],[Age]]&gt;=97,"Greatest")</f>
        <v>Millenials</v>
      </c>
      <c r="E1862" s="1">
        <v>104494</v>
      </c>
      <c r="F1862">
        <v>28</v>
      </c>
      <c r="G1862" t="str" cm="1">
        <f t="array" ref="G1862">_xlfn.IFS(Table2[[#This Row],[Spending Score (1-100)]]&lt;=25,"Low",Table2[[#This Row],[Spending Score (1-100)]]&lt;=50,"Medium",Table2[[#This Row],[Spending Score (1-100)]]&lt;=75,"High",Table2[[#This Row],[Spending Score (1-100)]]&lt;=100,"Very High")</f>
        <v>Medium</v>
      </c>
      <c r="H1862" t="s">
        <v>9</v>
      </c>
      <c r="I1862">
        <v>6</v>
      </c>
      <c r="J1862" t="str">
        <f>CONCATENATE(Table2[[#This Row],[Work Experience]],"years")</f>
        <v>6years</v>
      </c>
      <c r="K1862" t="str">
        <f>CONCATENATE(Table2[[#This Row],[Family Size2]],"members")</f>
        <v>4members</v>
      </c>
      <c r="L1862" t="str">
        <f>CONCATENATE(Table2[[#This Row],[Family Size2]],"members")</f>
        <v>4members</v>
      </c>
      <c r="M1862">
        <v>4</v>
      </c>
    </row>
    <row r="1863" spans="1:13">
      <c r="A1863">
        <v>1862</v>
      </c>
      <c r="B1863" t="s">
        <v>8</v>
      </c>
      <c r="C1863">
        <v>22</v>
      </c>
      <c r="D1863" t="str" cm="1">
        <f t="array" ref="D1863">_xlfn.IFS(Table2[[#This Row],[Age]]&lt;=11,"Gen A",Table2[[#This Row],[Age]]&lt;=27,"Gen Z",Table2[[#This Row],[Age]]&lt;=43,"Millenials",Table2[[#This Row],[Age]]&lt;=59,"Gen X",Table2[[#This Row],[Age]]&lt;=78,"Baby Boomers",Table2[[#This Row],[Age]]&lt;=96,"Silent",Table2[[#This Row],[Age]]&gt;=97,"Greatest")</f>
        <v>Gen Z</v>
      </c>
      <c r="E1863" s="1">
        <v>184443</v>
      </c>
      <c r="F1863">
        <v>44</v>
      </c>
      <c r="G1863" t="str" cm="1">
        <f t="array" ref="G1863">_xlfn.IFS(Table2[[#This Row],[Spending Score (1-100)]]&lt;=25,"Low",Table2[[#This Row],[Spending Score (1-100)]]&lt;=50,"Medium",Table2[[#This Row],[Spending Score (1-100)]]&lt;=75,"High",Table2[[#This Row],[Spending Score (1-100)]]&lt;=100,"Very High")</f>
        <v>Medium</v>
      </c>
      <c r="H1863" t="s">
        <v>15</v>
      </c>
      <c r="I1863">
        <v>3</v>
      </c>
      <c r="J1863" t="str">
        <f>CONCATENATE(Table2[[#This Row],[Work Experience]],"years")</f>
        <v>3years</v>
      </c>
      <c r="K1863" t="str">
        <f>CONCATENATE(Table2[[#This Row],[Family Size2]],"members")</f>
        <v>7members</v>
      </c>
      <c r="L1863" t="str">
        <f>CONCATENATE(Table2[[#This Row],[Family Size2]],"members")</f>
        <v>7members</v>
      </c>
      <c r="M1863">
        <v>7</v>
      </c>
    </row>
    <row r="1864" spans="1:13">
      <c r="A1864">
        <v>1863</v>
      </c>
      <c r="B1864" t="s">
        <v>11</v>
      </c>
      <c r="C1864">
        <v>17</v>
      </c>
      <c r="D1864" t="str" cm="1">
        <f t="array" ref="D1864">_xlfn.IFS(Table2[[#This Row],[Age]]&lt;=11,"Gen A",Table2[[#This Row],[Age]]&lt;=27,"Gen Z",Table2[[#This Row],[Age]]&lt;=43,"Millenials",Table2[[#This Row],[Age]]&lt;=59,"Gen X",Table2[[#This Row],[Age]]&lt;=78,"Baby Boomers",Table2[[#This Row],[Age]]&lt;=96,"Silent",Table2[[#This Row],[Age]]&gt;=97,"Greatest")</f>
        <v>Gen Z</v>
      </c>
      <c r="E1864" s="1">
        <v>150778</v>
      </c>
      <c r="F1864">
        <v>35</v>
      </c>
      <c r="G1864" t="str" cm="1">
        <f t="array" ref="G1864">_xlfn.IFS(Table2[[#This Row],[Spending Score (1-100)]]&lt;=25,"Low",Table2[[#This Row],[Spending Score (1-100)]]&lt;=50,"Medium",Table2[[#This Row],[Spending Score (1-100)]]&lt;=75,"High",Table2[[#This Row],[Spending Score (1-100)]]&lt;=100,"Very High")</f>
        <v>Medium</v>
      </c>
      <c r="H1864" t="s">
        <v>13</v>
      </c>
      <c r="I1864">
        <v>1</v>
      </c>
      <c r="J1864" t="str">
        <f>CONCATENATE(Table2[[#This Row],[Work Experience]],"years")</f>
        <v>1years</v>
      </c>
      <c r="K1864" t="str">
        <f>CONCATENATE(Table2[[#This Row],[Family Size2]],"members")</f>
        <v>7members</v>
      </c>
      <c r="L1864" t="str">
        <f>CONCATENATE(Table2[[#This Row],[Family Size2]],"members")</f>
        <v>7members</v>
      </c>
      <c r="M1864">
        <v>7</v>
      </c>
    </row>
    <row r="1865" spans="1:13">
      <c r="A1865">
        <v>1864</v>
      </c>
      <c r="B1865" t="s">
        <v>11</v>
      </c>
      <c r="C1865">
        <v>22</v>
      </c>
      <c r="D1865" t="str" cm="1">
        <f t="array" ref="D1865">_xlfn.IFS(Table2[[#This Row],[Age]]&lt;=11,"Gen A",Table2[[#This Row],[Age]]&lt;=27,"Gen Z",Table2[[#This Row],[Age]]&lt;=43,"Millenials",Table2[[#This Row],[Age]]&lt;=59,"Gen X",Table2[[#This Row],[Age]]&lt;=78,"Baby Boomers",Table2[[#This Row],[Age]]&lt;=96,"Silent",Table2[[#This Row],[Age]]&gt;=97,"Greatest")</f>
        <v>Gen Z</v>
      </c>
      <c r="E1865" s="1">
        <v>88729</v>
      </c>
      <c r="F1865">
        <v>81</v>
      </c>
      <c r="G1865" t="str" cm="1">
        <f t="array" ref="G1865">_xlfn.IFS(Table2[[#This Row],[Spending Score (1-100)]]&lt;=25,"Low",Table2[[#This Row],[Spending Score (1-100)]]&lt;=50,"Medium",Table2[[#This Row],[Spending Score (1-100)]]&lt;=75,"High",Table2[[#This Row],[Spending Score (1-100)]]&lt;=100,"Very High")</f>
        <v>Very High</v>
      </c>
      <c r="H1865" t="s">
        <v>10</v>
      </c>
      <c r="I1865">
        <v>1</v>
      </c>
      <c r="J1865" t="str">
        <f>CONCATENATE(Table2[[#This Row],[Work Experience]],"years")</f>
        <v>1years</v>
      </c>
      <c r="K1865" t="str">
        <f>CONCATENATE(Table2[[#This Row],[Family Size2]],"members")</f>
        <v>1members</v>
      </c>
      <c r="L1865" t="str">
        <f>CONCATENATE(Table2[[#This Row],[Family Size2]],"members")</f>
        <v>1members</v>
      </c>
      <c r="M1865">
        <v>1</v>
      </c>
    </row>
    <row r="1866" spans="1:13">
      <c r="A1866">
        <v>1865</v>
      </c>
      <c r="B1866" t="s">
        <v>8</v>
      </c>
      <c r="C1866">
        <v>9</v>
      </c>
      <c r="D1866" t="str" cm="1">
        <f t="array" ref="D1866">_xlfn.IFS(Table2[[#This Row],[Age]]&lt;=11,"Gen A",Table2[[#This Row],[Age]]&lt;=27,"Gen Z",Table2[[#This Row],[Age]]&lt;=43,"Millenials",Table2[[#This Row],[Age]]&lt;=59,"Gen X",Table2[[#This Row],[Age]]&lt;=78,"Baby Boomers",Table2[[#This Row],[Age]]&lt;=96,"Silent",Table2[[#This Row],[Age]]&gt;=97,"Greatest")</f>
        <v>Gen A</v>
      </c>
      <c r="E1866" s="1">
        <v>151902</v>
      </c>
      <c r="F1866">
        <v>18</v>
      </c>
      <c r="G1866" t="str" cm="1">
        <f t="array" ref="G1866">_xlfn.IFS(Table2[[#This Row],[Spending Score (1-100)]]&lt;=25,"Low",Table2[[#This Row],[Spending Score (1-100)]]&lt;=50,"Medium",Table2[[#This Row],[Spending Score (1-100)]]&lt;=75,"High",Table2[[#This Row],[Spending Score (1-100)]]&lt;=100,"Very High")</f>
        <v>Low</v>
      </c>
      <c r="H1866" t="s">
        <v>14</v>
      </c>
      <c r="I1866">
        <v>0</v>
      </c>
      <c r="J1866" t="str">
        <f>CONCATENATE(Table2[[#This Row],[Work Experience]],"years")</f>
        <v>0years</v>
      </c>
      <c r="K1866" t="str">
        <f>CONCATENATE(Table2[[#This Row],[Family Size2]],"members")</f>
        <v>2members</v>
      </c>
      <c r="L1866" t="str">
        <f>CONCATENATE(Table2[[#This Row],[Family Size2]],"members")</f>
        <v>2members</v>
      </c>
      <c r="M1866">
        <v>2</v>
      </c>
    </row>
    <row r="1867" spans="1:13">
      <c r="A1867">
        <v>1866</v>
      </c>
      <c r="B1867" t="s">
        <v>8</v>
      </c>
      <c r="C1867">
        <v>24</v>
      </c>
      <c r="D1867" t="str" cm="1">
        <f t="array" ref="D1867">_xlfn.IFS(Table2[[#This Row],[Age]]&lt;=11,"Gen A",Table2[[#This Row],[Age]]&lt;=27,"Gen Z",Table2[[#This Row],[Age]]&lt;=43,"Millenials",Table2[[#This Row],[Age]]&lt;=59,"Gen X",Table2[[#This Row],[Age]]&lt;=78,"Baby Boomers",Table2[[#This Row],[Age]]&lt;=96,"Silent",Table2[[#This Row],[Age]]&gt;=97,"Greatest")</f>
        <v>Gen Z</v>
      </c>
      <c r="E1867" s="1">
        <v>51604</v>
      </c>
      <c r="F1867">
        <v>4</v>
      </c>
      <c r="G1867" t="str" cm="1">
        <f t="array" ref="G1867">_xlfn.IFS(Table2[[#This Row],[Spending Score (1-100)]]&lt;=25,"Low",Table2[[#This Row],[Spending Score (1-100)]]&lt;=50,"Medium",Table2[[#This Row],[Spending Score (1-100)]]&lt;=75,"High",Table2[[#This Row],[Spending Score (1-100)]]&lt;=100,"Very High")</f>
        <v>Low</v>
      </c>
      <c r="H1867" t="s">
        <v>14</v>
      </c>
      <c r="I1867">
        <v>0</v>
      </c>
      <c r="J1867" t="str">
        <f>CONCATENATE(Table2[[#This Row],[Work Experience]],"years")</f>
        <v>0years</v>
      </c>
      <c r="K1867" t="str">
        <f>CONCATENATE(Table2[[#This Row],[Family Size2]],"members")</f>
        <v>2members</v>
      </c>
      <c r="L1867" t="str">
        <f>CONCATENATE(Table2[[#This Row],[Family Size2]],"members")</f>
        <v>2members</v>
      </c>
      <c r="M1867">
        <v>2</v>
      </c>
    </row>
    <row r="1868" spans="1:13">
      <c r="A1868">
        <v>1867</v>
      </c>
      <c r="B1868" t="s">
        <v>11</v>
      </c>
      <c r="C1868">
        <v>8</v>
      </c>
      <c r="D1868" t="str" cm="1">
        <f t="array" ref="D1868">_xlfn.IFS(Table2[[#This Row],[Age]]&lt;=11,"Gen A",Table2[[#This Row],[Age]]&lt;=27,"Gen Z",Table2[[#This Row],[Age]]&lt;=43,"Millenials",Table2[[#This Row],[Age]]&lt;=59,"Gen X",Table2[[#This Row],[Age]]&lt;=78,"Baby Boomers",Table2[[#This Row],[Age]]&lt;=96,"Silent",Table2[[#This Row],[Age]]&gt;=97,"Greatest")</f>
        <v>Gen A</v>
      </c>
      <c r="E1868" s="1">
        <v>157316</v>
      </c>
      <c r="F1868">
        <v>75</v>
      </c>
      <c r="G1868" t="str" cm="1">
        <f t="array" ref="G1868">_xlfn.IFS(Table2[[#This Row],[Spending Score (1-100)]]&lt;=25,"Low",Table2[[#This Row],[Spending Score (1-100)]]&lt;=50,"Medium",Table2[[#This Row],[Spending Score (1-100)]]&lt;=75,"High",Table2[[#This Row],[Spending Score (1-100)]]&lt;=100,"Very High")</f>
        <v>High</v>
      </c>
      <c r="H1868" t="s">
        <v>14</v>
      </c>
      <c r="I1868">
        <v>9</v>
      </c>
      <c r="J1868" t="str">
        <f>CONCATENATE(Table2[[#This Row],[Work Experience]],"years")</f>
        <v>9years</v>
      </c>
      <c r="K1868" t="str">
        <f>CONCATENATE(Table2[[#This Row],[Family Size2]],"members")</f>
        <v>3members</v>
      </c>
      <c r="L1868" t="str">
        <f>CONCATENATE(Table2[[#This Row],[Family Size2]],"members")</f>
        <v>3members</v>
      </c>
      <c r="M1868">
        <v>3</v>
      </c>
    </row>
    <row r="1869" spans="1:13">
      <c r="A1869">
        <v>1868</v>
      </c>
      <c r="B1869" t="s">
        <v>11</v>
      </c>
      <c r="C1869">
        <v>52</v>
      </c>
      <c r="D1869" t="str" cm="1">
        <f t="array" ref="D1869">_xlfn.IFS(Table2[[#This Row],[Age]]&lt;=11,"Gen A",Table2[[#This Row],[Age]]&lt;=27,"Gen Z",Table2[[#This Row],[Age]]&lt;=43,"Millenials",Table2[[#This Row],[Age]]&lt;=59,"Gen X",Table2[[#This Row],[Age]]&lt;=78,"Baby Boomers",Table2[[#This Row],[Age]]&lt;=96,"Silent",Table2[[#This Row],[Age]]&gt;=97,"Greatest")</f>
        <v>Gen X</v>
      </c>
      <c r="E1869" s="1">
        <v>125508</v>
      </c>
      <c r="F1869">
        <v>15</v>
      </c>
      <c r="G1869" t="str" cm="1">
        <f t="array" ref="G1869">_xlfn.IFS(Table2[[#This Row],[Spending Score (1-100)]]&lt;=25,"Low",Table2[[#This Row],[Spending Score (1-100)]]&lt;=50,"Medium",Table2[[#This Row],[Spending Score (1-100)]]&lt;=75,"High",Table2[[#This Row],[Spending Score (1-100)]]&lt;=100,"Very High")</f>
        <v>Low</v>
      </c>
      <c r="H1869" t="s">
        <v>14</v>
      </c>
      <c r="I1869">
        <v>1</v>
      </c>
      <c r="J1869" t="str">
        <f>CONCATENATE(Table2[[#This Row],[Work Experience]],"years")</f>
        <v>1years</v>
      </c>
      <c r="K1869" t="str">
        <f>CONCATENATE(Table2[[#This Row],[Family Size2]],"members")</f>
        <v>6members</v>
      </c>
      <c r="L1869" t="str">
        <f>CONCATENATE(Table2[[#This Row],[Family Size2]],"members")</f>
        <v>6members</v>
      </c>
      <c r="M1869">
        <v>6</v>
      </c>
    </row>
    <row r="1870" spans="1:13">
      <c r="A1870">
        <v>1869</v>
      </c>
      <c r="B1870" t="s">
        <v>8</v>
      </c>
      <c r="C1870">
        <v>62</v>
      </c>
      <c r="D1870" t="str" cm="1">
        <f t="array" ref="D1870">_xlfn.IFS(Table2[[#This Row],[Age]]&lt;=11,"Gen A",Table2[[#This Row],[Age]]&lt;=27,"Gen Z",Table2[[#This Row],[Age]]&lt;=43,"Millenials",Table2[[#This Row],[Age]]&lt;=59,"Gen X",Table2[[#This Row],[Age]]&lt;=78,"Baby Boomers",Table2[[#This Row],[Age]]&lt;=96,"Silent",Table2[[#This Row],[Age]]&gt;=97,"Greatest")</f>
        <v>Baby Boomers</v>
      </c>
      <c r="E1870" s="1">
        <v>186157</v>
      </c>
      <c r="F1870">
        <v>54</v>
      </c>
      <c r="G1870" t="str" cm="1">
        <f t="array" ref="G1870">_xlfn.IFS(Table2[[#This Row],[Spending Score (1-100)]]&lt;=25,"Low",Table2[[#This Row],[Spending Score (1-100)]]&lt;=50,"Medium",Table2[[#This Row],[Spending Score (1-100)]]&lt;=75,"High",Table2[[#This Row],[Spending Score (1-100)]]&lt;=100,"Very High")</f>
        <v>High</v>
      </c>
      <c r="H1870" t="s">
        <v>9</v>
      </c>
      <c r="I1870">
        <v>1</v>
      </c>
      <c r="J1870" t="str">
        <f>CONCATENATE(Table2[[#This Row],[Work Experience]],"years")</f>
        <v>1years</v>
      </c>
      <c r="K1870" t="str">
        <f>CONCATENATE(Table2[[#This Row],[Family Size2]],"members")</f>
        <v>1members</v>
      </c>
      <c r="L1870" t="str">
        <f>CONCATENATE(Table2[[#This Row],[Family Size2]],"members")</f>
        <v>1members</v>
      </c>
      <c r="M1870">
        <v>1</v>
      </c>
    </row>
    <row r="1871" spans="1:13">
      <c r="A1871">
        <v>1870</v>
      </c>
      <c r="B1871" t="s">
        <v>11</v>
      </c>
      <c r="C1871">
        <v>37</v>
      </c>
      <c r="D1871" t="str" cm="1">
        <f t="array" ref="D1871">_xlfn.IFS(Table2[[#This Row],[Age]]&lt;=11,"Gen A",Table2[[#This Row],[Age]]&lt;=27,"Gen Z",Table2[[#This Row],[Age]]&lt;=43,"Millenials",Table2[[#This Row],[Age]]&lt;=59,"Gen X",Table2[[#This Row],[Age]]&lt;=78,"Baby Boomers",Table2[[#This Row],[Age]]&lt;=96,"Silent",Table2[[#This Row],[Age]]&gt;=97,"Greatest")</f>
        <v>Millenials</v>
      </c>
      <c r="E1871" s="1">
        <v>169381</v>
      </c>
      <c r="F1871">
        <v>45</v>
      </c>
      <c r="G1871" t="str" cm="1">
        <f t="array" ref="G1871">_xlfn.IFS(Table2[[#This Row],[Spending Score (1-100)]]&lt;=25,"Low",Table2[[#This Row],[Spending Score (1-100)]]&lt;=50,"Medium",Table2[[#This Row],[Spending Score (1-100)]]&lt;=75,"High",Table2[[#This Row],[Spending Score (1-100)]]&lt;=100,"Very High")</f>
        <v>Medium</v>
      </c>
      <c r="H1871" t="s">
        <v>13</v>
      </c>
      <c r="I1871">
        <v>0</v>
      </c>
      <c r="J1871" t="str">
        <f>CONCATENATE(Table2[[#This Row],[Work Experience]],"years")</f>
        <v>0years</v>
      </c>
      <c r="K1871" t="str">
        <f>CONCATENATE(Table2[[#This Row],[Family Size2]],"members")</f>
        <v>4members</v>
      </c>
      <c r="L1871" t="str">
        <f>CONCATENATE(Table2[[#This Row],[Family Size2]],"members")</f>
        <v>4members</v>
      </c>
      <c r="M1871">
        <v>4</v>
      </c>
    </row>
    <row r="1872" spans="1:13">
      <c r="A1872">
        <v>1871</v>
      </c>
      <c r="B1872" t="s">
        <v>8</v>
      </c>
      <c r="C1872">
        <v>68</v>
      </c>
      <c r="D1872" t="str" cm="1">
        <f t="array" ref="D1872">_xlfn.IFS(Table2[[#This Row],[Age]]&lt;=11,"Gen A",Table2[[#This Row],[Age]]&lt;=27,"Gen Z",Table2[[#This Row],[Age]]&lt;=43,"Millenials",Table2[[#This Row],[Age]]&lt;=59,"Gen X",Table2[[#This Row],[Age]]&lt;=78,"Baby Boomers",Table2[[#This Row],[Age]]&lt;=96,"Silent",Table2[[#This Row],[Age]]&gt;=97,"Greatest")</f>
        <v>Baby Boomers</v>
      </c>
      <c r="E1872" s="1">
        <v>110195</v>
      </c>
      <c r="F1872">
        <v>47</v>
      </c>
      <c r="G1872" t="str" cm="1">
        <f t="array" ref="G1872">_xlfn.IFS(Table2[[#This Row],[Spending Score (1-100)]]&lt;=25,"Low",Table2[[#This Row],[Spending Score (1-100)]]&lt;=50,"Medium",Table2[[#This Row],[Spending Score (1-100)]]&lt;=75,"High",Table2[[#This Row],[Spending Score (1-100)]]&lt;=100,"Very High")</f>
        <v>Medium</v>
      </c>
      <c r="H1872" t="s">
        <v>17</v>
      </c>
      <c r="I1872">
        <v>9</v>
      </c>
      <c r="J1872" t="str">
        <f>CONCATENATE(Table2[[#This Row],[Work Experience]],"years")</f>
        <v>9years</v>
      </c>
      <c r="K1872" t="str">
        <f>CONCATENATE(Table2[[#This Row],[Family Size2]],"members")</f>
        <v>2members</v>
      </c>
      <c r="L1872" t="str">
        <f>CONCATENATE(Table2[[#This Row],[Family Size2]],"members")</f>
        <v>2members</v>
      </c>
      <c r="M1872">
        <v>2</v>
      </c>
    </row>
    <row r="1873" spans="1:13">
      <c r="A1873">
        <v>1872</v>
      </c>
      <c r="B1873" t="s">
        <v>11</v>
      </c>
      <c r="C1873">
        <v>63</v>
      </c>
      <c r="D1873" t="str" cm="1">
        <f t="array" ref="D1873">_xlfn.IFS(Table2[[#This Row],[Age]]&lt;=11,"Gen A",Table2[[#This Row],[Age]]&lt;=27,"Gen Z",Table2[[#This Row],[Age]]&lt;=43,"Millenials",Table2[[#This Row],[Age]]&lt;=59,"Gen X",Table2[[#This Row],[Age]]&lt;=78,"Baby Boomers",Table2[[#This Row],[Age]]&lt;=96,"Silent",Table2[[#This Row],[Age]]&gt;=97,"Greatest")</f>
        <v>Baby Boomers</v>
      </c>
      <c r="E1873" s="1">
        <v>81199</v>
      </c>
      <c r="F1873">
        <v>80</v>
      </c>
      <c r="G1873" t="str" cm="1">
        <f t="array" ref="G1873">_xlfn.IFS(Table2[[#This Row],[Spending Score (1-100)]]&lt;=25,"Low",Table2[[#This Row],[Spending Score (1-100)]]&lt;=50,"Medium",Table2[[#This Row],[Spending Score (1-100)]]&lt;=75,"High",Table2[[#This Row],[Spending Score (1-100)]]&lt;=100,"Very High")</f>
        <v>Very High</v>
      </c>
      <c r="H1873" t="s">
        <v>13</v>
      </c>
      <c r="I1873">
        <v>1</v>
      </c>
      <c r="J1873" t="str">
        <f>CONCATENATE(Table2[[#This Row],[Work Experience]],"years")</f>
        <v>1years</v>
      </c>
      <c r="K1873" t="str">
        <f>CONCATENATE(Table2[[#This Row],[Family Size2]],"members")</f>
        <v>2members</v>
      </c>
      <c r="L1873" t="str">
        <f>CONCATENATE(Table2[[#This Row],[Family Size2]],"members")</f>
        <v>2members</v>
      </c>
      <c r="M1873">
        <v>2</v>
      </c>
    </row>
    <row r="1874" spans="1:13">
      <c r="A1874">
        <v>1873</v>
      </c>
      <c r="B1874" t="s">
        <v>11</v>
      </c>
      <c r="C1874">
        <v>15</v>
      </c>
      <c r="D1874" t="str" cm="1">
        <f t="array" ref="D1874">_xlfn.IFS(Table2[[#This Row],[Age]]&lt;=11,"Gen A",Table2[[#This Row],[Age]]&lt;=27,"Gen Z",Table2[[#This Row],[Age]]&lt;=43,"Millenials",Table2[[#This Row],[Age]]&lt;=59,"Gen X",Table2[[#This Row],[Age]]&lt;=78,"Baby Boomers",Table2[[#This Row],[Age]]&lt;=96,"Silent",Table2[[#This Row],[Age]]&gt;=97,"Greatest")</f>
        <v>Gen Z</v>
      </c>
      <c r="E1874" s="1">
        <v>58459</v>
      </c>
      <c r="F1874">
        <v>67</v>
      </c>
      <c r="G1874" t="str" cm="1">
        <f t="array" ref="G1874">_xlfn.IFS(Table2[[#This Row],[Spending Score (1-100)]]&lt;=25,"Low",Table2[[#This Row],[Spending Score (1-100)]]&lt;=50,"Medium",Table2[[#This Row],[Spending Score (1-100)]]&lt;=75,"High",Table2[[#This Row],[Spending Score (1-100)]]&lt;=100,"Very High")</f>
        <v>High</v>
      </c>
      <c r="H1874" t="s">
        <v>15</v>
      </c>
      <c r="I1874">
        <v>0</v>
      </c>
      <c r="J1874" t="str">
        <f>CONCATENATE(Table2[[#This Row],[Work Experience]],"years")</f>
        <v>0years</v>
      </c>
      <c r="K1874" t="str">
        <f>CONCATENATE(Table2[[#This Row],[Family Size2]],"members")</f>
        <v>6members</v>
      </c>
      <c r="L1874" t="str">
        <f>CONCATENATE(Table2[[#This Row],[Family Size2]],"members")</f>
        <v>6members</v>
      </c>
      <c r="M1874">
        <v>6</v>
      </c>
    </row>
    <row r="1875" spans="1:13">
      <c r="A1875">
        <v>1874</v>
      </c>
      <c r="B1875" t="s">
        <v>11</v>
      </c>
      <c r="C1875">
        <v>44</v>
      </c>
      <c r="D1875" t="str" cm="1">
        <f t="array" ref="D1875">_xlfn.IFS(Table2[[#This Row],[Age]]&lt;=11,"Gen A",Table2[[#This Row],[Age]]&lt;=27,"Gen Z",Table2[[#This Row],[Age]]&lt;=43,"Millenials",Table2[[#This Row],[Age]]&lt;=59,"Gen X",Table2[[#This Row],[Age]]&lt;=78,"Baby Boomers",Table2[[#This Row],[Age]]&lt;=96,"Silent",Table2[[#This Row],[Age]]&gt;=97,"Greatest")</f>
        <v>Gen X</v>
      </c>
      <c r="E1875" s="1">
        <v>173682</v>
      </c>
      <c r="F1875">
        <v>89</v>
      </c>
      <c r="G1875" t="str" cm="1">
        <f t="array" ref="G1875">_xlfn.IFS(Table2[[#This Row],[Spending Score (1-100)]]&lt;=25,"Low",Table2[[#This Row],[Spending Score (1-100)]]&lt;=50,"Medium",Table2[[#This Row],[Spending Score (1-100)]]&lt;=75,"High",Table2[[#This Row],[Spending Score (1-100)]]&lt;=100,"Very High")</f>
        <v>Very High</v>
      </c>
      <c r="H1875" t="s">
        <v>14</v>
      </c>
      <c r="I1875">
        <v>12</v>
      </c>
      <c r="J1875" t="str">
        <f>CONCATENATE(Table2[[#This Row],[Work Experience]],"years")</f>
        <v>12years</v>
      </c>
      <c r="K1875" t="str">
        <f>CONCATENATE(Table2[[#This Row],[Family Size2]],"members")</f>
        <v>6members</v>
      </c>
      <c r="L1875" t="str">
        <f>CONCATENATE(Table2[[#This Row],[Family Size2]],"members")</f>
        <v>6members</v>
      </c>
      <c r="M1875">
        <v>6</v>
      </c>
    </row>
    <row r="1876" spans="1:13">
      <c r="A1876">
        <v>1875</v>
      </c>
      <c r="B1876" t="s">
        <v>8</v>
      </c>
      <c r="C1876">
        <v>18</v>
      </c>
      <c r="D1876" t="str" cm="1">
        <f t="array" ref="D1876">_xlfn.IFS(Table2[[#This Row],[Age]]&lt;=11,"Gen A",Table2[[#This Row],[Age]]&lt;=27,"Gen Z",Table2[[#This Row],[Age]]&lt;=43,"Millenials",Table2[[#This Row],[Age]]&lt;=59,"Gen X",Table2[[#This Row],[Age]]&lt;=78,"Baby Boomers",Table2[[#This Row],[Age]]&lt;=96,"Silent",Table2[[#This Row],[Age]]&gt;=97,"Greatest")</f>
        <v>Gen Z</v>
      </c>
      <c r="E1876" s="1">
        <v>162983</v>
      </c>
      <c r="F1876">
        <v>16</v>
      </c>
      <c r="G1876" t="str" cm="1">
        <f t="array" ref="G1876">_xlfn.IFS(Table2[[#This Row],[Spending Score (1-100)]]&lt;=25,"Low",Table2[[#This Row],[Spending Score (1-100)]]&lt;=50,"Medium",Table2[[#This Row],[Spending Score (1-100)]]&lt;=75,"High",Table2[[#This Row],[Spending Score (1-100)]]&lt;=100,"Very High")</f>
        <v>Low</v>
      </c>
      <c r="H1876" t="s">
        <v>13</v>
      </c>
      <c r="I1876">
        <v>0</v>
      </c>
      <c r="J1876" t="str">
        <f>CONCATENATE(Table2[[#This Row],[Work Experience]],"years")</f>
        <v>0years</v>
      </c>
      <c r="K1876" t="str">
        <f>CONCATENATE(Table2[[#This Row],[Family Size2]],"members")</f>
        <v>6members</v>
      </c>
      <c r="L1876" t="str">
        <f>CONCATENATE(Table2[[#This Row],[Family Size2]],"members")</f>
        <v>6members</v>
      </c>
      <c r="M1876">
        <v>6</v>
      </c>
    </row>
    <row r="1877" spans="1:13">
      <c r="A1877">
        <v>1876</v>
      </c>
      <c r="B1877" t="s">
        <v>8</v>
      </c>
      <c r="C1877">
        <v>30</v>
      </c>
      <c r="D1877" t="str" cm="1">
        <f t="array" ref="D1877">_xlfn.IFS(Table2[[#This Row],[Age]]&lt;=11,"Gen A",Table2[[#This Row],[Age]]&lt;=27,"Gen Z",Table2[[#This Row],[Age]]&lt;=43,"Millenials",Table2[[#This Row],[Age]]&lt;=59,"Gen X",Table2[[#This Row],[Age]]&lt;=78,"Baby Boomers",Table2[[#This Row],[Age]]&lt;=96,"Silent",Table2[[#This Row],[Age]]&gt;=97,"Greatest")</f>
        <v>Millenials</v>
      </c>
      <c r="E1877" s="1">
        <v>94480</v>
      </c>
      <c r="F1877">
        <v>1</v>
      </c>
      <c r="G1877" t="str" cm="1">
        <f t="array" ref="G1877">_xlfn.IFS(Table2[[#This Row],[Spending Score (1-100)]]&lt;=25,"Low",Table2[[#This Row],[Spending Score (1-100)]]&lt;=50,"Medium",Table2[[#This Row],[Spending Score (1-100)]]&lt;=75,"High",Table2[[#This Row],[Spending Score (1-100)]]&lt;=100,"Very High")</f>
        <v>Low</v>
      </c>
      <c r="H1877" t="s">
        <v>15</v>
      </c>
      <c r="I1877">
        <v>0</v>
      </c>
      <c r="J1877" t="str">
        <f>CONCATENATE(Table2[[#This Row],[Work Experience]],"years")</f>
        <v>0years</v>
      </c>
      <c r="K1877" t="str">
        <f>CONCATENATE(Table2[[#This Row],[Family Size2]],"members")</f>
        <v>4members</v>
      </c>
      <c r="L1877" t="str">
        <f>CONCATENATE(Table2[[#This Row],[Family Size2]],"members")</f>
        <v>4members</v>
      </c>
      <c r="M1877">
        <v>4</v>
      </c>
    </row>
    <row r="1878" spans="1:13">
      <c r="A1878">
        <v>1877</v>
      </c>
      <c r="B1878" t="s">
        <v>11</v>
      </c>
      <c r="C1878">
        <v>69</v>
      </c>
      <c r="D1878" t="str" cm="1">
        <f t="array" ref="D1878">_xlfn.IFS(Table2[[#This Row],[Age]]&lt;=11,"Gen A",Table2[[#This Row],[Age]]&lt;=27,"Gen Z",Table2[[#This Row],[Age]]&lt;=43,"Millenials",Table2[[#This Row],[Age]]&lt;=59,"Gen X",Table2[[#This Row],[Age]]&lt;=78,"Baby Boomers",Table2[[#This Row],[Age]]&lt;=96,"Silent",Table2[[#This Row],[Age]]&gt;=97,"Greatest")</f>
        <v>Baby Boomers</v>
      </c>
      <c r="E1878" s="1">
        <v>168710</v>
      </c>
      <c r="F1878">
        <v>80</v>
      </c>
      <c r="G1878" t="str" cm="1">
        <f t="array" ref="G1878">_xlfn.IFS(Table2[[#This Row],[Spending Score (1-100)]]&lt;=25,"Low",Table2[[#This Row],[Spending Score (1-100)]]&lt;=50,"Medium",Table2[[#This Row],[Spending Score (1-100)]]&lt;=75,"High",Table2[[#This Row],[Spending Score (1-100)]]&lt;=100,"Very High")</f>
        <v>Very High</v>
      </c>
      <c r="H1878" t="s">
        <v>16</v>
      </c>
      <c r="I1878">
        <v>1</v>
      </c>
      <c r="J1878" t="str">
        <f>CONCATENATE(Table2[[#This Row],[Work Experience]],"years")</f>
        <v>1years</v>
      </c>
      <c r="K1878" t="str">
        <f>CONCATENATE(Table2[[#This Row],[Family Size2]],"members")</f>
        <v>4members</v>
      </c>
      <c r="L1878" t="str">
        <f>CONCATENATE(Table2[[#This Row],[Family Size2]],"members")</f>
        <v>4members</v>
      </c>
      <c r="M1878">
        <v>4</v>
      </c>
    </row>
    <row r="1879" spans="1:13">
      <c r="A1879">
        <v>1878</v>
      </c>
      <c r="B1879" t="s">
        <v>8</v>
      </c>
      <c r="C1879">
        <v>16</v>
      </c>
      <c r="D1879" t="str" cm="1">
        <f t="array" ref="D1879">_xlfn.IFS(Table2[[#This Row],[Age]]&lt;=11,"Gen A",Table2[[#This Row],[Age]]&lt;=27,"Gen Z",Table2[[#This Row],[Age]]&lt;=43,"Millenials",Table2[[#This Row],[Age]]&lt;=59,"Gen X",Table2[[#This Row],[Age]]&lt;=78,"Baby Boomers",Table2[[#This Row],[Age]]&lt;=96,"Silent",Table2[[#This Row],[Age]]&gt;=97,"Greatest")</f>
        <v>Gen Z</v>
      </c>
      <c r="E1879" s="1">
        <v>150193</v>
      </c>
      <c r="F1879">
        <v>83</v>
      </c>
      <c r="G1879" t="str" cm="1">
        <f t="array" ref="G1879">_xlfn.IFS(Table2[[#This Row],[Spending Score (1-100)]]&lt;=25,"Low",Table2[[#This Row],[Spending Score (1-100)]]&lt;=50,"Medium",Table2[[#This Row],[Spending Score (1-100)]]&lt;=75,"High",Table2[[#This Row],[Spending Score (1-100)]]&lt;=100,"Very High")</f>
        <v>Very High</v>
      </c>
      <c r="H1879" t="s">
        <v>10</v>
      </c>
      <c r="I1879">
        <v>2</v>
      </c>
      <c r="J1879" t="str">
        <f>CONCATENATE(Table2[[#This Row],[Work Experience]],"years")</f>
        <v>2years</v>
      </c>
      <c r="K1879" t="str">
        <f>CONCATENATE(Table2[[#This Row],[Family Size2]],"members")</f>
        <v>2members</v>
      </c>
      <c r="L1879" t="str">
        <f>CONCATENATE(Table2[[#This Row],[Family Size2]],"members")</f>
        <v>2members</v>
      </c>
      <c r="M1879">
        <v>2</v>
      </c>
    </row>
    <row r="1880" spans="1:13">
      <c r="A1880">
        <v>1879</v>
      </c>
      <c r="B1880" t="s">
        <v>11</v>
      </c>
      <c r="C1880">
        <v>71</v>
      </c>
      <c r="D1880" t="str" cm="1">
        <f t="array" ref="D1880">_xlfn.IFS(Table2[[#This Row],[Age]]&lt;=11,"Gen A",Table2[[#This Row],[Age]]&lt;=27,"Gen Z",Table2[[#This Row],[Age]]&lt;=43,"Millenials",Table2[[#This Row],[Age]]&lt;=59,"Gen X",Table2[[#This Row],[Age]]&lt;=78,"Baby Boomers",Table2[[#This Row],[Age]]&lt;=96,"Silent",Table2[[#This Row],[Age]]&gt;=97,"Greatest")</f>
        <v>Baby Boomers</v>
      </c>
      <c r="E1880" s="1">
        <v>91823</v>
      </c>
      <c r="F1880">
        <v>74</v>
      </c>
      <c r="G1880" t="str" cm="1">
        <f t="array" ref="G1880">_xlfn.IFS(Table2[[#This Row],[Spending Score (1-100)]]&lt;=25,"Low",Table2[[#This Row],[Spending Score (1-100)]]&lt;=50,"Medium",Table2[[#This Row],[Spending Score (1-100)]]&lt;=75,"High",Table2[[#This Row],[Spending Score (1-100)]]&lt;=100,"Very High")</f>
        <v>High</v>
      </c>
      <c r="H1880" t="s">
        <v>14</v>
      </c>
      <c r="I1880">
        <v>1</v>
      </c>
      <c r="J1880" t="str">
        <f>CONCATENATE(Table2[[#This Row],[Work Experience]],"years")</f>
        <v>1years</v>
      </c>
      <c r="K1880" t="str">
        <f>CONCATENATE(Table2[[#This Row],[Family Size2]],"members")</f>
        <v>4members</v>
      </c>
      <c r="L1880" t="str">
        <f>CONCATENATE(Table2[[#This Row],[Family Size2]],"members")</f>
        <v>4members</v>
      </c>
      <c r="M1880">
        <v>4</v>
      </c>
    </row>
    <row r="1881" spans="1:13">
      <c r="A1881">
        <v>1880</v>
      </c>
      <c r="B1881" t="s">
        <v>11</v>
      </c>
      <c r="C1881">
        <v>24</v>
      </c>
      <c r="D1881" t="str" cm="1">
        <f t="array" ref="D1881">_xlfn.IFS(Table2[[#This Row],[Age]]&lt;=11,"Gen A",Table2[[#This Row],[Age]]&lt;=27,"Gen Z",Table2[[#This Row],[Age]]&lt;=43,"Millenials",Table2[[#This Row],[Age]]&lt;=59,"Gen X",Table2[[#This Row],[Age]]&lt;=78,"Baby Boomers",Table2[[#This Row],[Age]]&lt;=96,"Silent",Table2[[#This Row],[Age]]&gt;=97,"Greatest")</f>
        <v>Gen Z</v>
      </c>
      <c r="E1881" s="1">
        <v>173091</v>
      </c>
      <c r="F1881">
        <v>24</v>
      </c>
      <c r="G1881" t="str" cm="1">
        <f t="array" ref="G1881">_xlfn.IFS(Table2[[#This Row],[Spending Score (1-100)]]&lt;=25,"Low",Table2[[#This Row],[Spending Score (1-100)]]&lt;=50,"Medium",Table2[[#This Row],[Spending Score (1-100)]]&lt;=75,"High",Table2[[#This Row],[Spending Score (1-100)]]&lt;=100,"Very High")</f>
        <v>Low</v>
      </c>
      <c r="H1881" t="s">
        <v>13</v>
      </c>
      <c r="I1881">
        <v>6</v>
      </c>
      <c r="J1881" t="str">
        <f>CONCATENATE(Table2[[#This Row],[Work Experience]],"years")</f>
        <v>6years</v>
      </c>
      <c r="K1881" t="str">
        <f>CONCATENATE(Table2[[#This Row],[Family Size2]],"members")</f>
        <v>2members</v>
      </c>
      <c r="L1881" t="str">
        <f>CONCATENATE(Table2[[#This Row],[Family Size2]],"members")</f>
        <v>2members</v>
      </c>
      <c r="M1881">
        <v>2</v>
      </c>
    </row>
    <row r="1882" spans="1:13">
      <c r="A1882">
        <v>1881</v>
      </c>
      <c r="B1882" t="s">
        <v>8</v>
      </c>
      <c r="C1882">
        <v>57</v>
      </c>
      <c r="D1882" t="str" cm="1">
        <f t="array" ref="D1882">_xlfn.IFS(Table2[[#This Row],[Age]]&lt;=11,"Gen A",Table2[[#This Row],[Age]]&lt;=27,"Gen Z",Table2[[#This Row],[Age]]&lt;=43,"Millenials",Table2[[#This Row],[Age]]&lt;=59,"Gen X",Table2[[#This Row],[Age]]&lt;=78,"Baby Boomers",Table2[[#This Row],[Age]]&lt;=96,"Silent",Table2[[#This Row],[Age]]&gt;=97,"Greatest")</f>
        <v>Gen X</v>
      </c>
      <c r="E1882" s="1">
        <v>102692</v>
      </c>
      <c r="F1882">
        <v>94</v>
      </c>
      <c r="G1882" t="str" cm="1">
        <f t="array" ref="G1882">_xlfn.IFS(Table2[[#This Row],[Spending Score (1-100)]]&lt;=25,"Low",Table2[[#This Row],[Spending Score (1-100)]]&lt;=50,"Medium",Table2[[#This Row],[Spending Score (1-100)]]&lt;=75,"High",Table2[[#This Row],[Spending Score (1-100)]]&lt;=100,"Very High")</f>
        <v>Very High</v>
      </c>
      <c r="H1882" t="s">
        <v>9</v>
      </c>
      <c r="I1882">
        <v>0</v>
      </c>
      <c r="J1882" t="str">
        <f>CONCATENATE(Table2[[#This Row],[Work Experience]],"years")</f>
        <v>0years</v>
      </c>
      <c r="K1882" t="str">
        <f>CONCATENATE(Table2[[#This Row],[Family Size2]],"members")</f>
        <v>2members</v>
      </c>
      <c r="L1882" t="str">
        <f>CONCATENATE(Table2[[#This Row],[Family Size2]],"members")</f>
        <v>2members</v>
      </c>
      <c r="M1882">
        <v>2</v>
      </c>
    </row>
    <row r="1883" spans="1:13">
      <c r="A1883">
        <v>1882</v>
      </c>
      <c r="B1883" t="s">
        <v>8</v>
      </c>
      <c r="C1883">
        <v>97</v>
      </c>
      <c r="D1883" t="str" cm="1">
        <f t="array" ref="D1883">_xlfn.IFS(Table2[[#This Row],[Age]]&lt;=11,"Gen A",Table2[[#This Row],[Age]]&lt;=27,"Gen Z",Table2[[#This Row],[Age]]&lt;=43,"Millenials",Table2[[#This Row],[Age]]&lt;=59,"Gen X",Table2[[#This Row],[Age]]&lt;=78,"Baby Boomers",Table2[[#This Row],[Age]]&lt;=96,"Silent",Table2[[#This Row],[Age]]&gt;=97,"Greatest")</f>
        <v>Greatest</v>
      </c>
      <c r="E1883" s="1">
        <v>156812</v>
      </c>
      <c r="F1883">
        <v>77</v>
      </c>
      <c r="G1883" t="str" cm="1">
        <f t="array" ref="G1883">_xlfn.IFS(Table2[[#This Row],[Spending Score (1-100)]]&lt;=25,"Low",Table2[[#This Row],[Spending Score (1-100)]]&lt;=50,"Medium",Table2[[#This Row],[Spending Score (1-100)]]&lt;=75,"High",Table2[[#This Row],[Spending Score (1-100)]]&lt;=100,"Very High")</f>
        <v>Very High</v>
      </c>
      <c r="H1883" t="s">
        <v>9</v>
      </c>
      <c r="I1883">
        <v>0</v>
      </c>
      <c r="J1883" t="str">
        <f>CONCATENATE(Table2[[#This Row],[Work Experience]],"years")</f>
        <v>0years</v>
      </c>
      <c r="K1883" t="str">
        <f>CONCATENATE(Table2[[#This Row],[Family Size2]],"members")</f>
        <v>6members</v>
      </c>
      <c r="L1883" t="str">
        <f>CONCATENATE(Table2[[#This Row],[Family Size2]],"members")</f>
        <v>6members</v>
      </c>
      <c r="M1883">
        <v>6</v>
      </c>
    </row>
    <row r="1884" spans="1:13">
      <c r="A1884">
        <v>1883</v>
      </c>
      <c r="B1884" t="s">
        <v>8</v>
      </c>
      <c r="C1884">
        <v>68</v>
      </c>
      <c r="D1884" t="str" cm="1">
        <f t="array" ref="D1884">_xlfn.IFS(Table2[[#This Row],[Age]]&lt;=11,"Gen A",Table2[[#This Row],[Age]]&lt;=27,"Gen Z",Table2[[#This Row],[Age]]&lt;=43,"Millenials",Table2[[#This Row],[Age]]&lt;=59,"Gen X",Table2[[#This Row],[Age]]&lt;=78,"Baby Boomers",Table2[[#This Row],[Age]]&lt;=96,"Silent",Table2[[#This Row],[Age]]&gt;=97,"Greatest")</f>
        <v>Baby Boomers</v>
      </c>
      <c r="E1884" s="1">
        <v>51468</v>
      </c>
      <c r="F1884">
        <v>48</v>
      </c>
      <c r="G1884" t="str" cm="1">
        <f t="array" ref="G1884">_xlfn.IFS(Table2[[#This Row],[Spending Score (1-100)]]&lt;=25,"Low",Table2[[#This Row],[Spending Score (1-100)]]&lt;=50,"Medium",Table2[[#This Row],[Spending Score (1-100)]]&lt;=75,"High",Table2[[#This Row],[Spending Score (1-100)]]&lt;=100,"Very High")</f>
        <v>Medium</v>
      </c>
      <c r="H1884" t="s">
        <v>14</v>
      </c>
      <c r="I1884">
        <v>0</v>
      </c>
      <c r="J1884" t="str">
        <f>CONCATENATE(Table2[[#This Row],[Work Experience]],"years")</f>
        <v>0years</v>
      </c>
      <c r="K1884" t="str">
        <f>CONCATENATE(Table2[[#This Row],[Family Size2]],"members")</f>
        <v>3members</v>
      </c>
      <c r="L1884" t="str">
        <f>CONCATENATE(Table2[[#This Row],[Family Size2]],"members")</f>
        <v>3members</v>
      </c>
      <c r="M1884">
        <v>3</v>
      </c>
    </row>
    <row r="1885" spans="1:13">
      <c r="A1885">
        <v>1884</v>
      </c>
      <c r="B1885" t="s">
        <v>11</v>
      </c>
      <c r="C1885">
        <v>11</v>
      </c>
      <c r="D1885" t="str" cm="1">
        <f t="array" ref="D1885">_xlfn.IFS(Table2[[#This Row],[Age]]&lt;=11,"Gen A",Table2[[#This Row],[Age]]&lt;=27,"Gen Z",Table2[[#This Row],[Age]]&lt;=43,"Millenials",Table2[[#This Row],[Age]]&lt;=59,"Gen X",Table2[[#This Row],[Age]]&lt;=78,"Baby Boomers",Table2[[#This Row],[Age]]&lt;=96,"Silent",Table2[[#This Row],[Age]]&gt;=97,"Greatest")</f>
        <v>Gen A</v>
      </c>
      <c r="E1885" s="1">
        <v>114071</v>
      </c>
      <c r="F1885">
        <v>37</v>
      </c>
      <c r="G1885" t="str" cm="1">
        <f t="array" ref="G1885">_xlfn.IFS(Table2[[#This Row],[Spending Score (1-100)]]&lt;=25,"Low",Table2[[#This Row],[Spending Score (1-100)]]&lt;=50,"Medium",Table2[[#This Row],[Spending Score (1-100)]]&lt;=75,"High",Table2[[#This Row],[Spending Score (1-100)]]&lt;=100,"Very High")</f>
        <v>Medium</v>
      </c>
      <c r="H1885" t="s">
        <v>9</v>
      </c>
      <c r="I1885">
        <v>0</v>
      </c>
      <c r="J1885" t="str">
        <f>CONCATENATE(Table2[[#This Row],[Work Experience]],"years")</f>
        <v>0years</v>
      </c>
      <c r="K1885" t="str">
        <f>CONCATENATE(Table2[[#This Row],[Family Size2]],"members")</f>
        <v>2members</v>
      </c>
      <c r="L1885" t="str">
        <f>CONCATENATE(Table2[[#This Row],[Family Size2]],"members")</f>
        <v>2members</v>
      </c>
      <c r="M1885">
        <v>2</v>
      </c>
    </row>
    <row r="1886" spans="1:13">
      <c r="A1886">
        <v>1885</v>
      </c>
      <c r="B1886" t="s">
        <v>11</v>
      </c>
      <c r="C1886">
        <v>63</v>
      </c>
      <c r="D1886" t="str" cm="1">
        <f t="array" ref="D1886">_xlfn.IFS(Table2[[#This Row],[Age]]&lt;=11,"Gen A",Table2[[#This Row],[Age]]&lt;=27,"Gen Z",Table2[[#This Row],[Age]]&lt;=43,"Millenials",Table2[[#This Row],[Age]]&lt;=59,"Gen X",Table2[[#This Row],[Age]]&lt;=78,"Baby Boomers",Table2[[#This Row],[Age]]&lt;=96,"Silent",Table2[[#This Row],[Age]]&gt;=97,"Greatest")</f>
        <v>Baby Boomers</v>
      </c>
      <c r="E1886" s="1">
        <v>155638</v>
      </c>
      <c r="F1886">
        <v>81</v>
      </c>
      <c r="G1886" t="str" cm="1">
        <f t="array" ref="G1886">_xlfn.IFS(Table2[[#This Row],[Spending Score (1-100)]]&lt;=25,"Low",Table2[[#This Row],[Spending Score (1-100)]]&lt;=50,"Medium",Table2[[#This Row],[Spending Score (1-100)]]&lt;=75,"High",Table2[[#This Row],[Spending Score (1-100)]]&lt;=100,"Very High")</f>
        <v>Very High</v>
      </c>
      <c r="H1886" t="s">
        <v>19</v>
      </c>
      <c r="I1886">
        <v>1</v>
      </c>
      <c r="J1886" t="str">
        <f>CONCATENATE(Table2[[#This Row],[Work Experience]],"years")</f>
        <v>1years</v>
      </c>
      <c r="K1886" t="str">
        <f>CONCATENATE(Table2[[#This Row],[Family Size2]],"members")</f>
        <v>4members</v>
      </c>
      <c r="L1886" t="str">
        <f>CONCATENATE(Table2[[#This Row],[Family Size2]],"members")</f>
        <v>4members</v>
      </c>
      <c r="M1886">
        <v>4</v>
      </c>
    </row>
    <row r="1887" spans="1:13">
      <c r="A1887">
        <v>1886</v>
      </c>
      <c r="B1887" t="s">
        <v>8</v>
      </c>
      <c r="C1887">
        <v>68</v>
      </c>
      <c r="D1887" t="str" cm="1">
        <f t="array" ref="D1887">_xlfn.IFS(Table2[[#This Row],[Age]]&lt;=11,"Gen A",Table2[[#This Row],[Age]]&lt;=27,"Gen Z",Table2[[#This Row],[Age]]&lt;=43,"Millenials",Table2[[#This Row],[Age]]&lt;=59,"Gen X",Table2[[#This Row],[Age]]&lt;=78,"Baby Boomers",Table2[[#This Row],[Age]]&lt;=96,"Silent",Table2[[#This Row],[Age]]&gt;=97,"Greatest")</f>
        <v>Baby Boomers</v>
      </c>
      <c r="E1887" s="1">
        <v>129971</v>
      </c>
      <c r="F1887">
        <v>61</v>
      </c>
      <c r="G1887" t="str" cm="1">
        <f t="array" ref="G1887">_xlfn.IFS(Table2[[#This Row],[Spending Score (1-100)]]&lt;=25,"Low",Table2[[#This Row],[Spending Score (1-100)]]&lt;=50,"Medium",Table2[[#This Row],[Spending Score (1-100)]]&lt;=75,"High",Table2[[#This Row],[Spending Score (1-100)]]&lt;=100,"Very High")</f>
        <v>High</v>
      </c>
      <c r="H1887" t="s">
        <v>14</v>
      </c>
      <c r="I1887">
        <v>8</v>
      </c>
      <c r="J1887" t="str">
        <f>CONCATENATE(Table2[[#This Row],[Work Experience]],"years")</f>
        <v>8years</v>
      </c>
      <c r="K1887" t="str">
        <f>CONCATENATE(Table2[[#This Row],[Family Size2]],"members")</f>
        <v>3members</v>
      </c>
      <c r="L1887" t="str">
        <f>CONCATENATE(Table2[[#This Row],[Family Size2]],"members")</f>
        <v>3members</v>
      </c>
      <c r="M1887">
        <v>3</v>
      </c>
    </row>
    <row r="1888" spans="1:13">
      <c r="A1888">
        <v>1887</v>
      </c>
      <c r="B1888" t="s">
        <v>11</v>
      </c>
      <c r="C1888">
        <v>69</v>
      </c>
      <c r="D1888" t="str" cm="1">
        <f t="array" ref="D1888">_xlfn.IFS(Table2[[#This Row],[Age]]&lt;=11,"Gen A",Table2[[#This Row],[Age]]&lt;=27,"Gen Z",Table2[[#This Row],[Age]]&lt;=43,"Millenials",Table2[[#This Row],[Age]]&lt;=59,"Gen X",Table2[[#This Row],[Age]]&lt;=78,"Baby Boomers",Table2[[#This Row],[Age]]&lt;=96,"Silent",Table2[[#This Row],[Age]]&gt;=97,"Greatest")</f>
        <v>Baby Boomers</v>
      </c>
      <c r="E1888" s="1">
        <v>104160</v>
      </c>
      <c r="F1888">
        <v>77</v>
      </c>
      <c r="G1888" t="str" cm="1">
        <f t="array" ref="G1888">_xlfn.IFS(Table2[[#This Row],[Spending Score (1-100)]]&lt;=25,"Low",Table2[[#This Row],[Spending Score (1-100)]]&lt;=50,"Medium",Table2[[#This Row],[Spending Score (1-100)]]&lt;=75,"High",Table2[[#This Row],[Spending Score (1-100)]]&lt;=100,"Very High")</f>
        <v>Very High</v>
      </c>
      <c r="H1888" t="s">
        <v>10</v>
      </c>
      <c r="I1888">
        <v>4</v>
      </c>
      <c r="J1888" t="str">
        <f>CONCATENATE(Table2[[#This Row],[Work Experience]],"years")</f>
        <v>4years</v>
      </c>
      <c r="K1888" t="str">
        <f>CONCATENATE(Table2[[#This Row],[Family Size2]],"members")</f>
        <v>4members</v>
      </c>
      <c r="L1888" t="str">
        <f>CONCATENATE(Table2[[#This Row],[Family Size2]],"members")</f>
        <v>4members</v>
      </c>
      <c r="M1888">
        <v>4</v>
      </c>
    </row>
    <row r="1889" spans="1:13">
      <c r="A1889">
        <v>1888</v>
      </c>
      <c r="B1889" t="s">
        <v>11</v>
      </c>
      <c r="C1889">
        <v>77</v>
      </c>
      <c r="D1889" t="str" cm="1">
        <f t="array" ref="D1889">_xlfn.IFS(Table2[[#This Row],[Age]]&lt;=11,"Gen A",Table2[[#This Row],[Age]]&lt;=27,"Gen Z",Table2[[#This Row],[Age]]&lt;=43,"Millenials",Table2[[#This Row],[Age]]&lt;=59,"Gen X",Table2[[#This Row],[Age]]&lt;=78,"Baby Boomers",Table2[[#This Row],[Age]]&lt;=96,"Silent",Table2[[#This Row],[Age]]&gt;=97,"Greatest")</f>
        <v>Baby Boomers</v>
      </c>
      <c r="E1889" s="1">
        <v>124995</v>
      </c>
      <c r="F1889">
        <v>66</v>
      </c>
      <c r="G1889" t="str" cm="1">
        <f t="array" ref="G1889">_xlfn.IFS(Table2[[#This Row],[Spending Score (1-100)]]&lt;=25,"Low",Table2[[#This Row],[Spending Score (1-100)]]&lt;=50,"Medium",Table2[[#This Row],[Spending Score (1-100)]]&lt;=75,"High",Table2[[#This Row],[Spending Score (1-100)]]&lt;=100,"Very High")</f>
        <v>High</v>
      </c>
      <c r="H1889" t="s">
        <v>9</v>
      </c>
      <c r="I1889">
        <v>0</v>
      </c>
      <c r="J1889" t="str">
        <f>CONCATENATE(Table2[[#This Row],[Work Experience]],"years")</f>
        <v>0years</v>
      </c>
      <c r="K1889" t="str">
        <f>CONCATENATE(Table2[[#This Row],[Family Size2]],"members")</f>
        <v>1members</v>
      </c>
      <c r="L1889" t="str">
        <f>CONCATENATE(Table2[[#This Row],[Family Size2]],"members")</f>
        <v>1members</v>
      </c>
      <c r="M1889">
        <v>1</v>
      </c>
    </row>
    <row r="1890" spans="1:13">
      <c r="A1890">
        <v>1889</v>
      </c>
      <c r="B1890" t="s">
        <v>11</v>
      </c>
      <c r="C1890">
        <v>73</v>
      </c>
      <c r="D1890" t="str" cm="1">
        <f t="array" ref="D1890">_xlfn.IFS(Table2[[#This Row],[Age]]&lt;=11,"Gen A",Table2[[#This Row],[Age]]&lt;=27,"Gen Z",Table2[[#This Row],[Age]]&lt;=43,"Millenials",Table2[[#This Row],[Age]]&lt;=59,"Gen X",Table2[[#This Row],[Age]]&lt;=78,"Baby Boomers",Table2[[#This Row],[Age]]&lt;=96,"Silent",Table2[[#This Row],[Age]]&gt;=97,"Greatest")</f>
        <v>Baby Boomers</v>
      </c>
      <c r="E1890" s="1">
        <v>180437</v>
      </c>
      <c r="F1890">
        <v>50</v>
      </c>
      <c r="G1890" t="str" cm="1">
        <f t="array" ref="G1890">_xlfn.IFS(Table2[[#This Row],[Spending Score (1-100)]]&lt;=25,"Low",Table2[[#This Row],[Spending Score (1-100)]]&lt;=50,"Medium",Table2[[#This Row],[Spending Score (1-100)]]&lt;=75,"High",Table2[[#This Row],[Spending Score (1-100)]]&lt;=100,"Very High")</f>
        <v>Medium</v>
      </c>
      <c r="H1890" t="s">
        <v>13</v>
      </c>
      <c r="I1890">
        <v>1</v>
      </c>
      <c r="J1890" t="str">
        <f>CONCATENATE(Table2[[#This Row],[Work Experience]],"years")</f>
        <v>1years</v>
      </c>
      <c r="K1890" t="str">
        <f>CONCATENATE(Table2[[#This Row],[Family Size2]],"members")</f>
        <v>5members</v>
      </c>
      <c r="L1890" t="str">
        <f>CONCATENATE(Table2[[#This Row],[Family Size2]],"members")</f>
        <v>5members</v>
      </c>
      <c r="M1890">
        <v>5</v>
      </c>
    </row>
    <row r="1891" spans="1:13">
      <c r="A1891">
        <v>1890</v>
      </c>
      <c r="B1891" t="s">
        <v>11</v>
      </c>
      <c r="C1891">
        <v>19</v>
      </c>
      <c r="D1891" t="str" cm="1">
        <f t="array" ref="D1891">_xlfn.IFS(Table2[[#This Row],[Age]]&lt;=11,"Gen A",Table2[[#This Row],[Age]]&lt;=27,"Gen Z",Table2[[#This Row],[Age]]&lt;=43,"Millenials",Table2[[#This Row],[Age]]&lt;=59,"Gen X",Table2[[#This Row],[Age]]&lt;=78,"Baby Boomers",Table2[[#This Row],[Age]]&lt;=96,"Silent",Table2[[#This Row],[Age]]&gt;=97,"Greatest")</f>
        <v>Gen Z</v>
      </c>
      <c r="E1891" s="1">
        <v>134644</v>
      </c>
      <c r="F1891">
        <v>96</v>
      </c>
      <c r="G1891" t="str" cm="1">
        <f t="array" ref="G1891">_xlfn.IFS(Table2[[#This Row],[Spending Score (1-100)]]&lt;=25,"Low",Table2[[#This Row],[Spending Score (1-100)]]&lt;=50,"Medium",Table2[[#This Row],[Spending Score (1-100)]]&lt;=75,"High",Table2[[#This Row],[Spending Score (1-100)]]&lt;=100,"Very High")</f>
        <v>Very High</v>
      </c>
      <c r="H1891" t="s">
        <v>15</v>
      </c>
      <c r="I1891">
        <v>1</v>
      </c>
      <c r="J1891" t="str">
        <f>CONCATENATE(Table2[[#This Row],[Work Experience]],"years")</f>
        <v>1years</v>
      </c>
      <c r="K1891" t="str">
        <f>CONCATENATE(Table2[[#This Row],[Family Size2]],"members")</f>
        <v>2members</v>
      </c>
      <c r="L1891" t="str">
        <f>CONCATENATE(Table2[[#This Row],[Family Size2]],"members")</f>
        <v>2members</v>
      </c>
      <c r="M1891">
        <v>2</v>
      </c>
    </row>
    <row r="1892" spans="1:13">
      <c r="A1892">
        <v>1891</v>
      </c>
      <c r="B1892" t="s">
        <v>11</v>
      </c>
      <c r="C1892">
        <v>1</v>
      </c>
      <c r="D1892" t="str" cm="1">
        <f t="array" ref="D1892">_xlfn.IFS(Table2[[#This Row],[Age]]&lt;=11,"Gen A",Table2[[#This Row],[Age]]&lt;=27,"Gen Z",Table2[[#This Row],[Age]]&lt;=43,"Millenials",Table2[[#This Row],[Age]]&lt;=59,"Gen X",Table2[[#This Row],[Age]]&lt;=78,"Baby Boomers",Table2[[#This Row],[Age]]&lt;=96,"Silent",Table2[[#This Row],[Age]]&gt;=97,"Greatest")</f>
        <v>Gen A</v>
      </c>
      <c r="E1892" s="1">
        <v>130089</v>
      </c>
      <c r="F1892">
        <v>67</v>
      </c>
      <c r="G1892" t="str" cm="1">
        <f t="array" ref="G1892">_xlfn.IFS(Table2[[#This Row],[Spending Score (1-100)]]&lt;=25,"Low",Table2[[#This Row],[Spending Score (1-100)]]&lt;=50,"Medium",Table2[[#This Row],[Spending Score (1-100)]]&lt;=75,"High",Table2[[#This Row],[Spending Score (1-100)]]&lt;=100,"Very High")</f>
        <v>High</v>
      </c>
      <c r="H1892" t="s">
        <v>14</v>
      </c>
      <c r="I1892">
        <v>0</v>
      </c>
      <c r="J1892" t="str">
        <f>CONCATENATE(Table2[[#This Row],[Work Experience]],"years")</f>
        <v>0years</v>
      </c>
      <c r="K1892" t="str">
        <f>CONCATENATE(Table2[[#This Row],[Family Size2]],"members")</f>
        <v>5members</v>
      </c>
      <c r="L1892" t="str">
        <f>CONCATENATE(Table2[[#This Row],[Family Size2]],"members")</f>
        <v>5members</v>
      </c>
      <c r="M1892">
        <v>5</v>
      </c>
    </row>
    <row r="1893" spans="1:13">
      <c r="A1893">
        <v>1892</v>
      </c>
      <c r="B1893" t="s">
        <v>8</v>
      </c>
      <c r="C1893">
        <v>71</v>
      </c>
      <c r="D1893" t="str" cm="1">
        <f t="array" ref="D1893">_xlfn.IFS(Table2[[#This Row],[Age]]&lt;=11,"Gen A",Table2[[#This Row],[Age]]&lt;=27,"Gen Z",Table2[[#This Row],[Age]]&lt;=43,"Millenials",Table2[[#This Row],[Age]]&lt;=59,"Gen X",Table2[[#This Row],[Age]]&lt;=78,"Baby Boomers",Table2[[#This Row],[Age]]&lt;=96,"Silent",Table2[[#This Row],[Age]]&gt;=97,"Greatest")</f>
        <v>Baby Boomers</v>
      </c>
      <c r="E1893" s="1">
        <v>149318</v>
      </c>
      <c r="F1893">
        <v>27</v>
      </c>
      <c r="G1893" t="str" cm="1">
        <f t="array" ref="G1893">_xlfn.IFS(Table2[[#This Row],[Spending Score (1-100)]]&lt;=25,"Low",Table2[[#This Row],[Spending Score (1-100)]]&lt;=50,"Medium",Table2[[#This Row],[Spending Score (1-100)]]&lt;=75,"High",Table2[[#This Row],[Spending Score (1-100)]]&lt;=100,"Very High")</f>
        <v>Medium</v>
      </c>
      <c r="H1893" t="s">
        <v>14</v>
      </c>
      <c r="I1893">
        <v>4</v>
      </c>
      <c r="J1893" t="str">
        <f>CONCATENATE(Table2[[#This Row],[Work Experience]],"years")</f>
        <v>4years</v>
      </c>
      <c r="K1893" t="str">
        <f>CONCATENATE(Table2[[#This Row],[Family Size2]],"members")</f>
        <v>1members</v>
      </c>
      <c r="L1893" t="str">
        <f>CONCATENATE(Table2[[#This Row],[Family Size2]],"members")</f>
        <v>1members</v>
      </c>
      <c r="M1893">
        <v>1</v>
      </c>
    </row>
    <row r="1894" spans="1:13">
      <c r="A1894">
        <v>1893</v>
      </c>
      <c r="B1894" t="s">
        <v>8</v>
      </c>
      <c r="C1894">
        <v>6</v>
      </c>
      <c r="D1894" t="str" cm="1">
        <f t="array" ref="D1894">_xlfn.IFS(Table2[[#This Row],[Age]]&lt;=11,"Gen A",Table2[[#This Row],[Age]]&lt;=27,"Gen Z",Table2[[#This Row],[Age]]&lt;=43,"Millenials",Table2[[#This Row],[Age]]&lt;=59,"Gen X",Table2[[#This Row],[Age]]&lt;=78,"Baby Boomers",Table2[[#This Row],[Age]]&lt;=96,"Silent",Table2[[#This Row],[Age]]&gt;=97,"Greatest")</f>
        <v>Gen A</v>
      </c>
      <c r="E1894" s="1">
        <v>125591</v>
      </c>
      <c r="F1894">
        <v>79</v>
      </c>
      <c r="G1894" t="str" cm="1">
        <f t="array" ref="G1894">_xlfn.IFS(Table2[[#This Row],[Spending Score (1-100)]]&lt;=25,"Low",Table2[[#This Row],[Spending Score (1-100)]]&lt;=50,"Medium",Table2[[#This Row],[Spending Score (1-100)]]&lt;=75,"High",Table2[[#This Row],[Spending Score (1-100)]]&lt;=100,"Very High")</f>
        <v>Very High</v>
      </c>
      <c r="H1894" t="s">
        <v>9</v>
      </c>
      <c r="I1894">
        <v>8</v>
      </c>
      <c r="J1894" t="str">
        <f>CONCATENATE(Table2[[#This Row],[Work Experience]],"years")</f>
        <v>8years</v>
      </c>
      <c r="K1894" t="str">
        <f>CONCATENATE(Table2[[#This Row],[Family Size2]],"members")</f>
        <v>6members</v>
      </c>
      <c r="L1894" t="str">
        <f>CONCATENATE(Table2[[#This Row],[Family Size2]],"members")</f>
        <v>6members</v>
      </c>
      <c r="M1894">
        <v>6</v>
      </c>
    </row>
    <row r="1895" spans="1:13">
      <c r="A1895">
        <v>1894</v>
      </c>
      <c r="B1895" t="s">
        <v>11</v>
      </c>
      <c r="C1895">
        <v>68</v>
      </c>
      <c r="D1895" t="str" cm="1">
        <f t="array" ref="D1895">_xlfn.IFS(Table2[[#This Row],[Age]]&lt;=11,"Gen A",Table2[[#This Row],[Age]]&lt;=27,"Gen Z",Table2[[#This Row],[Age]]&lt;=43,"Millenials",Table2[[#This Row],[Age]]&lt;=59,"Gen X",Table2[[#This Row],[Age]]&lt;=78,"Baby Boomers",Table2[[#This Row],[Age]]&lt;=96,"Silent",Table2[[#This Row],[Age]]&gt;=97,"Greatest")</f>
        <v>Baby Boomers</v>
      </c>
      <c r="E1895" s="1">
        <v>173047</v>
      </c>
      <c r="F1895">
        <v>17</v>
      </c>
      <c r="G1895" t="str" cm="1">
        <f t="array" ref="G1895">_xlfn.IFS(Table2[[#This Row],[Spending Score (1-100)]]&lt;=25,"Low",Table2[[#This Row],[Spending Score (1-100)]]&lt;=50,"Medium",Table2[[#This Row],[Spending Score (1-100)]]&lt;=75,"High",Table2[[#This Row],[Spending Score (1-100)]]&lt;=100,"Very High")</f>
        <v>Low</v>
      </c>
      <c r="H1895" t="s">
        <v>9</v>
      </c>
      <c r="I1895">
        <v>0</v>
      </c>
      <c r="J1895" t="str">
        <f>CONCATENATE(Table2[[#This Row],[Work Experience]],"years")</f>
        <v>0years</v>
      </c>
      <c r="K1895" t="str">
        <f>CONCATENATE(Table2[[#This Row],[Family Size2]],"members")</f>
        <v>3members</v>
      </c>
      <c r="L1895" t="str">
        <f>CONCATENATE(Table2[[#This Row],[Family Size2]],"members")</f>
        <v>3members</v>
      </c>
      <c r="M1895">
        <v>3</v>
      </c>
    </row>
    <row r="1896" spans="1:13">
      <c r="A1896">
        <v>1895</v>
      </c>
      <c r="B1896" t="s">
        <v>11</v>
      </c>
      <c r="C1896">
        <v>39</v>
      </c>
      <c r="D1896" t="str" cm="1">
        <f t="array" ref="D1896">_xlfn.IFS(Table2[[#This Row],[Age]]&lt;=11,"Gen A",Table2[[#This Row],[Age]]&lt;=27,"Gen Z",Table2[[#This Row],[Age]]&lt;=43,"Millenials",Table2[[#This Row],[Age]]&lt;=59,"Gen X",Table2[[#This Row],[Age]]&lt;=78,"Baby Boomers",Table2[[#This Row],[Age]]&lt;=96,"Silent",Table2[[#This Row],[Age]]&gt;=97,"Greatest")</f>
        <v>Millenials</v>
      </c>
      <c r="E1896" s="1">
        <v>61298</v>
      </c>
      <c r="F1896">
        <v>91</v>
      </c>
      <c r="G1896" t="str" cm="1">
        <f t="array" ref="G1896">_xlfn.IFS(Table2[[#This Row],[Spending Score (1-100)]]&lt;=25,"Low",Table2[[#This Row],[Spending Score (1-100)]]&lt;=50,"Medium",Table2[[#This Row],[Spending Score (1-100)]]&lt;=75,"High",Table2[[#This Row],[Spending Score (1-100)]]&lt;=100,"Very High")</f>
        <v>Very High</v>
      </c>
      <c r="H1896" t="s">
        <v>14</v>
      </c>
      <c r="I1896">
        <v>0</v>
      </c>
      <c r="J1896" t="str">
        <f>CONCATENATE(Table2[[#This Row],[Work Experience]],"years")</f>
        <v>0years</v>
      </c>
      <c r="K1896" t="str">
        <f>CONCATENATE(Table2[[#This Row],[Family Size2]],"members")</f>
        <v>5members</v>
      </c>
      <c r="L1896" t="str">
        <f>CONCATENATE(Table2[[#This Row],[Family Size2]],"members")</f>
        <v>5members</v>
      </c>
      <c r="M1896">
        <v>5</v>
      </c>
    </row>
    <row r="1897" spans="1:13">
      <c r="A1897">
        <v>1896</v>
      </c>
      <c r="B1897" t="s">
        <v>8</v>
      </c>
      <c r="C1897">
        <v>75</v>
      </c>
      <c r="D1897" t="str" cm="1">
        <f t="array" ref="D1897">_xlfn.IFS(Table2[[#This Row],[Age]]&lt;=11,"Gen A",Table2[[#This Row],[Age]]&lt;=27,"Gen Z",Table2[[#This Row],[Age]]&lt;=43,"Millenials",Table2[[#This Row],[Age]]&lt;=59,"Gen X",Table2[[#This Row],[Age]]&lt;=78,"Baby Boomers",Table2[[#This Row],[Age]]&lt;=96,"Silent",Table2[[#This Row],[Age]]&gt;=97,"Greatest")</f>
        <v>Baby Boomers</v>
      </c>
      <c r="E1897" s="1">
        <v>132993</v>
      </c>
      <c r="F1897">
        <v>55</v>
      </c>
      <c r="G1897" t="str" cm="1">
        <f t="array" ref="G1897">_xlfn.IFS(Table2[[#This Row],[Spending Score (1-100)]]&lt;=25,"Low",Table2[[#This Row],[Spending Score (1-100)]]&lt;=50,"Medium",Table2[[#This Row],[Spending Score (1-100)]]&lt;=75,"High",Table2[[#This Row],[Spending Score (1-100)]]&lt;=100,"Very High")</f>
        <v>High</v>
      </c>
      <c r="H1897" t="s">
        <v>13</v>
      </c>
      <c r="I1897">
        <v>8</v>
      </c>
      <c r="J1897" t="str">
        <f>CONCATENATE(Table2[[#This Row],[Work Experience]],"years")</f>
        <v>8years</v>
      </c>
      <c r="K1897" t="str">
        <f>CONCATENATE(Table2[[#This Row],[Family Size2]],"members")</f>
        <v>2members</v>
      </c>
      <c r="L1897" t="str">
        <f>CONCATENATE(Table2[[#This Row],[Family Size2]],"members")</f>
        <v>2members</v>
      </c>
      <c r="M1897">
        <v>2</v>
      </c>
    </row>
    <row r="1898" spans="1:13">
      <c r="A1898">
        <v>1897</v>
      </c>
      <c r="B1898" t="s">
        <v>11</v>
      </c>
      <c r="C1898">
        <v>65</v>
      </c>
      <c r="D1898" t="str" cm="1">
        <f t="array" ref="D1898">_xlfn.IFS(Table2[[#This Row],[Age]]&lt;=11,"Gen A",Table2[[#This Row],[Age]]&lt;=27,"Gen Z",Table2[[#This Row],[Age]]&lt;=43,"Millenials",Table2[[#This Row],[Age]]&lt;=59,"Gen X",Table2[[#This Row],[Age]]&lt;=78,"Baby Boomers",Table2[[#This Row],[Age]]&lt;=96,"Silent",Table2[[#This Row],[Age]]&gt;=97,"Greatest")</f>
        <v>Baby Boomers</v>
      </c>
      <c r="E1898" s="1">
        <v>72313</v>
      </c>
      <c r="F1898">
        <v>36</v>
      </c>
      <c r="G1898" t="str" cm="1">
        <f t="array" ref="G1898">_xlfn.IFS(Table2[[#This Row],[Spending Score (1-100)]]&lt;=25,"Low",Table2[[#This Row],[Spending Score (1-100)]]&lt;=50,"Medium",Table2[[#This Row],[Spending Score (1-100)]]&lt;=75,"High",Table2[[#This Row],[Spending Score (1-100)]]&lt;=100,"Very High")</f>
        <v>Medium</v>
      </c>
      <c r="H1898" t="s">
        <v>12</v>
      </c>
      <c r="I1898">
        <v>1</v>
      </c>
      <c r="J1898" t="str">
        <f>CONCATENATE(Table2[[#This Row],[Work Experience]],"years")</f>
        <v>1years</v>
      </c>
      <c r="K1898" t="str">
        <f>CONCATENATE(Table2[[#This Row],[Family Size2]],"members")</f>
        <v>5members</v>
      </c>
      <c r="L1898" t="str">
        <f>CONCATENATE(Table2[[#This Row],[Family Size2]],"members")</f>
        <v>5members</v>
      </c>
      <c r="M1898">
        <v>5</v>
      </c>
    </row>
    <row r="1899" spans="1:13">
      <c r="A1899">
        <v>1898</v>
      </c>
      <c r="B1899" t="s">
        <v>11</v>
      </c>
      <c r="C1899">
        <v>30</v>
      </c>
      <c r="D1899" t="str" cm="1">
        <f t="array" ref="D1899">_xlfn.IFS(Table2[[#This Row],[Age]]&lt;=11,"Gen A",Table2[[#This Row],[Age]]&lt;=27,"Gen Z",Table2[[#This Row],[Age]]&lt;=43,"Millenials",Table2[[#This Row],[Age]]&lt;=59,"Gen X",Table2[[#This Row],[Age]]&lt;=78,"Baby Boomers",Table2[[#This Row],[Age]]&lt;=96,"Silent",Table2[[#This Row],[Age]]&gt;=97,"Greatest")</f>
        <v>Millenials</v>
      </c>
      <c r="E1899" s="1">
        <v>84885</v>
      </c>
      <c r="F1899">
        <v>9</v>
      </c>
      <c r="G1899" t="str" cm="1">
        <f t="array" ref="G1899">_xlfn.IFS(Table2[[#This Row],[Spending Score (1-100)]]&lt;=25,"Low",Table2[[#This Row],[Spending Score (1-100)]]&lt;=50,"Medium",Table2[[#This Row],[Spending Score (1-100)]]&lt;=75,"High",Table2[[#This Row],[Spending Score (1-100)]]&lt;=100,"Very High")</f>
        <v>Low</v>
      </c>
      <c r="H1899" t="s">
        <v>13</v>
      </c>
      <c r="I1899">
        <v>6</v>
      </c>
      <c r="J1899" t="str">
        <f>CONCATENATE(Table2[[#This Row],[Work Experience]],"years")</f>
        <v>6years</v>
      </c>
      <c r="K1899" t="str">
        <f>CONCATENATE(Table2[[#This Row],[Family Size2]],"members")</f>
        <v>5members</v>
      </c>
      <c r="L1899" t="str">
        <f>CONCATENATE(Table2[[#This Row],[Family Size2]],"members")</f>
        <v>5members</v>
      </c>
      <c r="M1899">
        <v>5</v>
      </c>
    </row>
    <row r="1900" spans="1:13">
      <c r="A1900">
        <v>1899</v>
      </c>
      <c r="B1900" t="s">
        <v>8</v>
      </c>
      <c r="C1900">
        <v>46</v>
      </c>
      <c r="D1900" t="str" cm="1">
        <f t="array" ref="D1900">_xlfn.IFS(Table2[[#This Row],[Age]]&lt;=11,"Gen A",Table2[[#This Row],[Age]]&lt;=27,"Gen Z",Table2[[#This Row],[Age]]&lt;=43,"Millenials",Table2[[#This Row],[Age]]&lt;=59,"Gen X",Table2[[#This Row],[Age]]&lt;=78,"Baby Boomers",Table2[[#This Row],[Age]]&lt;=96,"Silent",Table2[[#This Row],[Age]]&gt;=97,"Greatest")</f>
        <v>Gen X</v>
      </c>
      <c r="E1900" s="1">
        <v>126228</v>
      </c>
      <c r="F1900">
        <v>95</v>
      </c>
      <c r="G1900" t="str" cm="1">
        <f t="array" ref="G1900">_xlfn.IFS(Table2[[#This Row],[Spending Score (1-100)]]&lt;=25,"Low",Table2[[#This Row],[Spending Score (1-100)]]&lt;=50,"Medium",Table2[[#This Row],[Spending Score (1-100)]]&lt;=75,"High",Table2[[#This Row],[Spending Score (1-100)]]&lt;=100,"Very High")</f>
        <v>Very High</v>
      </c>
      <c r="H1900" t="s">
        <v>18</v>
      </c>
      <c r="I1900">
        <v>8</v>
      </c>
      <c r="J1900" t="str">
        <f>CONCATENATE(Table2[[#This Row],[Work Experience]],"years")</f>
        <v>8years</v>
      </c>
      <c r="K1900" t="str">
        <f>CONCATENATE(Table2[[#This Row],[Family Size2]],"members")</f>
        <v>2members</v>
      </c>
      <c r="L1900" t="str">
        <f>CONCATENATE(Table2[[#This Row],[Family Size2]],"members")</f>
        <v>2members</v>
      </c>
      <c r="M1900">
        <v>2</v>
      </c>
    </row>
    <row r="1901" spans="1:13">
      <c r="A1901">
        <v>1900</v>
      </c>
      <c r="B1901" t="s">
        <v>8</v>
      </c>
      <c r="C1901">
        <v>40</v>
      </c>
      <c r="D1901" t="str" cm="1">
        <f t="array" ref="D1901">_xlfn.IFS(Table2[[#This Row],[Age]]&lt;=11,"Gen A",Table2[[#This Row],[Age]]&lt;=27,"Gen Z",Table2[[#This Row],[Age]]&lt;=43,"Millenials",Table2[[#This Row],[Age]]&lt;=59,"Gen X",Table2[[#This Row],[Age]]&lt;=78,"Baby Boomers",Table2[[#This Row],[Age]]&lt;=96,"Silent",Table2[[#This Row],[Age]]&gt;=97,"Greatest")</f>
        <v>Millenials</v>
      </c>
      <c r="E1901" s="1">
        <v>51199</v>
      </c>
      <c r="F1901">
        <v>29</v>
      </c>
      <c r="G1901" t="str" cm="1">
        <f t="array" ref="G1901">_xlfn.IFS(Table2[[#This Row],[Spending Score (1-100)]]&lt;=25,"Low",Table2[[#This Row],[Spending Score (1-100)]]&lt;=50,"Medium",Table2[[#This Row],[Spending Score (1-100)]]&lt;=75,"High",Table2[[#This Row],[Spending Score (1-100)]]&lt;=100,"Very High")</f>
        <v>Medium</v>
      </c>
      <c r="H1901" t="s">
        <v>15</v>
      </c>
      <c r="I1901">
        <v>7</v>
      </c>
      <c r="J1901" t="str">
        <f>CONCATENATE(Table2[[#This Row],[Work Experience]],"years")</f>
        <v>7years</v>
      </c>
      <c r="K1901" t="str">
        <f>CONCATENATE(Table2[[#This Row],[Family Size2]],"members")</f>
        <v>7members</v>
      </c>
      <c r="L1901" t="str">
        <f>CONCATENATE(Table2[[#This Row],[Family Size2]],"members")</f>
        <v>7members</v>
      </c>
      <c r="M1901">
        <v>7</v>
      </c>
    </row>
    <row r="1902" spans="1:13">
      <c r="A1902">
        <v>1901</v>
      </c>
      <c r="B1902" t="s">
        <v>11</v>
      </c>
      <c r="C1902">
        <v>40</v>
      </c>
      <c r="D1902" t="str" cm="1">
        <f t="array" ref="D1902">_xlfn.IFS(Table2[[#This Row],[Age]]&lt;=11,"Gen A",Table2[[#This Row],[Age]]&lt;=27,"Gen Z",Table2[[#This Row],[Age]]&lt;=43,"Millenials",Table2[[#This Row],[Age]]&lt;=59,"Gen X",Table2[[#This Row],[Age]]&lt;=78,"Baby Boomers",Table2[[#This Row],[Age]]&lt;=96,"Silent",Table2[[#This Row],[Age]]&gt;=97,"Greatest")</f>
        <v>Millenials</v>
      </c>
      <c r="E1902" s="1">
        <v>54631</v>
      </c>
      <c r="F1902">
        <v>70</v>
      </c>
      <c r="G1902" t="str" cm="1">
        <f t="array" ref="G1902">_xlfn.IFS(Table2[[#This Row],[Spending Score (1-100)]]&lt;=25,"Low",Table2[[#This Row],[Spending Score (1-100)]]&lt;=50,"Medium",Table2[[#This Row],[Spending Score (1-100)]]&lt;=75,"High",Table2[[#This Row],[Spending Score (1-100)]]&lt;=100,"Very High")</f>
        <v>High</v>
      </c>
      <c r="H1902" t="s">
        <v>14</v>
      </c>
      <c r="I1902">
        <v>0</v>
      </c>
      <c r="J1902" t="str">
        <f>CONCATENATE(Table2[[#This Row],[Work Experience]],"years")</f>
        <v>0years</v>
      </c>
      <c r="K1902" t="str">
        <f>CONCATENATE(Table2[[#This Row],[Family Size2]],"members")</f>
        <v>6members</v>
      </c>
      <c r="L1902" t="str">
        <f>CONCATENATE(Table2[[#This Row],[Family Size2]],"members")</f>
        <v>6members</v>
      </c>
      <c r="M1902">
        <v>6</v>
      </c>
    </row>
    <row r="1903" spans="1:13">
      <c r="A1903">
        <v>1902</v>
      </c>
      <c r="B1903" t="s">
        <v>11</v>
      </c>
      <c r="C1903">
        <v>20</v>
      </c>
      <c r="D1903" t="str" cm="1">
        <f t="array" ref="D1903">_xlfn.IFS(Table2[[#This Row],[Age]]&lt;=11,"Gen A",Table2[[#This Row],[Age]]&lt;=27,"Gen Z",Table2[[#This Row],[Age]]&lt;=43,"Millenials",Table2[[#This Row],[Age]]&lt;=59,"Gen X",Table2[[#This Row],[Age]]&lt;=78,"Baby Boomers",Table2[[#This Row],[Age]]&lt;=96,"Silent",Table2[[#This Row],[Age]]&gt;=97,"Greatest")</f>
        <v>Gen Z</v>
      </c>
      <c r="E1903" s="1">
        <v>131810</v>
      </c>
      <c r="F1903">
        <v>16</v>
      </c>
      <c r="G1903" t="str" cm="1">
        <f t="array" ref="G1903">_xlfn.IFS(Table2[[#This Row],[Spending Score (1-100)]]&lt;=25,"Low",Table2[[#This Row],[Spending Score (1-100)]]&lt;=50,"Medium",Table2[[#This Row],[Spending Score (1-100)]]&lt;=75,"High",Table2[[#This Row],[Spending Score (1-100)]]&lt;=100,"Very High")</f>
        <v>Low</v>
      </c>
      <c r="H1903" t="s">
        <v>9</v>
      </c>
      <c r="I1903">
        <v>5</v>
      </c>
      <c r="J1903" t="str">
        <f>CONCATENATE(Table2[[#This Row],[Work Experience]],"years")</f>
        <v>5years</v>
      </c>
      <c r="K1903" t="str">
        <f>CONCATENATE(Table2[[#This Row],[Family Size2]],"members")</f>
        <v>7members</v>
      </c>
      <c r="L1903" t="str">
        <f>CONCATENATE(Table2[[#This Row],[Family Size2]],"members")</f>
        <v>7members</v>
      </c>
      <c r="M1903">
        <v>7</v>
      </c>
    </row>
    <row r="1904" spans="1:13">
      <c r="A1904">
        <v>1903</v>
      </c>
      <c r="B1904" t="s">
        <v>8</v>
      </c>
      <c r="C1904">
        <v>88</v>
      </c>
      <c r="D1904" t="str" cm="1">
        <f t="array" ref="D1904">_xlfn.IFS(Table2[[#This Row],[Age]]&lt;=11,"Gen A",Table2[[#This Row],[Age]]&lt;=27,"Gen Z",Table2[[#This Row],[Age]]&lt;=43,"Millenials",Table2[[#This Row],[Age]]&lt;=59,"Gen X",Table2[[#This Row],[Age]]&lt;=78,"Baby Boomers",Table2[[#This Row],[Age]]&lt;=96,"Silent",Table2[[#This Row],[Age]]&gt;=97,"Greatest")</f>
        <v>Silent</v>
      </c>
      <c r="E1904" s="1">
        <v>138482</v>
      </c>
      <c r="F1904">
        <v>59</v>
      </c>
      <c r="G1904" t="str" cm="1">
        <f t="array" ref="G1904">_xlfn.IFS(Table2[[#This Row],[Spending Score (1-100)]]&lt;=25,"Low",Table2[[#This Row],[Spending Score (1-100)]]&lt;=50,"Medium",Table2[[#This Row],[Spending Score (1-100)]]&lt;=75,"High",Table2[[#This Row],[Spending Score (1-100)]]&lt;=100,"Very High")</f>
        <v>High</v>
      </c>
      <c r="H1904" t="s">
        <v>18</v>
      </c>
      <c r="I1904">
        <v>8</v>
      </c>
      <c r="J1904" t="str">
        <f>CONCATENATE(Table2[[#This Row],[Work Experience]],"years")</f>
        <v>8years</v>
      </c>
      <c r="K1904" t="str">
        <f>CONCATENATE(Table2[[#This Row],[Family Size2]],"members")</f>
        <v>4members</v>
      </c>
      <c r="L1904" t="str">
        <f>CONCATENATE(Table2[[#This Row],[Family Size2]],"members")</f>
        <v>4members</v>
      </c>
      <c r="M1904">
        <v>4</v>
      </c>
    </row>
    <row r="1905" spans="1:13">
      <c r="A1905">
        <v>1904</v>
      </c>
      <c r="B1905" t="s">
        <v>8</v>
      </c>
      <c r="C1905">
        <v>85</v>
      </c>
      <c r="D1905" t="str" cm="1">
        <f t="array" ref="D1905">_xlfn.IFS(Table2[[#This Row],[Age]]&lt;=11,"Gen A",Table2[[#This Row],[Age]]&lt;=27,"Gen Z",Table2[[#This Row],[Age]]&lt;=43,"Millenials",Table2[[#This Row],[Age]]&lt;=59,"Gen X",Table2[[#This Row],[Age]]&lt;=78,"Baby Boomers",Table2[[#This Row],[Age]]&lt;=96,"Silent",Table2[[#This Row],[Age]]&gt;=97,"Greatest")</f>
        <v>Silent</v>
      </c>
      <c r="E1905" s="1">
        <v>74081</v>
      </c>
      <c r="F1905">
        <v>87</v>
      </c>
      <c r="G1905" t="str" cm="1">
        <f t="array" ref="G1905">_xlfn.IFS(Table2[[#This Row],[Spending Score (1-100)]]&lt;=25,"Low",Table2[[#This Row],[Spending Score (1-100)]]&lt;=50,"Medium",Table2[[#This Row],[Spending Score (1-100)]]&lt;=75,"High",Table2[[#This Row],[Spending Score (1-100)]]&lt;=100,"Very High")</f>
        <v>Very High</v>
      </c>
      <c r="H1905" t="s">
        <v>9</v>
      </c>
      <c r="I1905">
        <v>4</v>
      </c>
      <c r="J1905" t="str">
        <f>CONCATENATE(Table2[[#This Row],[Work Experience]],"years")</f>
        <v>4years</v>
      </c>
      <c r="K1905" t="str">
        <f>CONCATENATE(Table2[[#This Row],[Family Size2]],"members")</f>
        <v>3members</v>
      </c>
      <c r="L1905" t="str">
        <f>CONCATENATE(Table2[[#This Row],[Family Size2]],"members")</f>
        <v>3members</v>
      </c>
      <c r="M1905">
        <v>3</v>
      </c>
    </row>
    <row r="1906" spans="1:13">
      <c r="A1906">
        <v>1905</v>
      </c>
      <c r="B1906" t="s">
        <v>8</v>
      </c>
      <c r="C1906">
        <v>94</v>
      </c>
      <c r="D1906" t="str" cm="1">
        <f t="array" ref="D1906">_xlfn.IFS(Table2[[#This Row],[Age]]&lt;=11,"Gen A",Table2[[#This Row],[Age]]&lt;=27,"Gen Z",Table2[[#This Row],[Age]]&lt;=43,"Millenials",Table2[[#This Row],[Age]]&lt;=59,"Gen X",Table2[[#This Row],[Age]]&lt;=78,"Baby Boomers",Table2[[#This Row],[Age]]&lt;=96,"Silent",Table2[[#This Row],[Age]]&gt;=97,"Greatest")</f>
        <v>Silent</v>
      </c>
      <c r="E1906" s="1">
        <v>112426</v>
      </c>
      <c r="F1906">
        <v>54</v>
      </c>
      <c r="G1906" t="str" cm="1">
        <f t="array" ref="G1906">_xlfn.IFS(Table2[[#This Row],[Spending Score (1-100)]]&lt;=25,"Low",Table2[[#This Row],[Spending Score (1-100)]]&lt;=50,"Medium",Table2[[#This Row],[Spending Score (1-100)]]&lt;=75,"High",Table2[[#This Row],[Spending Score (1-100)]]&lt;=100,"Very High")</f>
        <v>High</v>
      </c>
      <c r="H1906" t="s">
        <v>10</v>
      </c>
      <c r="I1906">
        <v>9</v>
      </c>
      <c r="J1906" t="str">
        <f>CONCATENATE(Table2[[#This Row],[Work Experience]],"years")</f>
        <v>9years</v>
      </c>
      <c r="K1906" t="str">
        <f>CONCATENATE(Table2[[#This Row],[Family Size2]],"members")</f>
        <v>6members</v>
      </c>
      <c r="L1906" t="str">
        <f>CONCATENATE(Table2[[#This Row],[Family Size2]],"members")</f>
        <v>6members</v>
      </c>
      <c r="M1906">
        <v>6</v>
      </c>
    </row>
    <row r="1907" spans="1:13">
      <c r="A1907">
        <v>1906</v>
      </c>
      <c r="B1907" t="s">
        <v>11</v>
      </c>
      <c r="C1907">
        <v>52</v>
      </c>
      <c r="D1907" t="str" cm="1">
        <f t="array" ref="D1907">_xlfn.IFS(Table2[[#This Row],[Age]]&lt;=11,"Gen A",Table2[[#This Row],[Age]]&lt;=27,"Gen Z",Table2[[#This Row],[Age]]&lt;=43,"Millenials",Table2[[#This Row],[Age]]&lt;=59,"Gen X",Table2[[#This Row],[Age]]&lt;=78,"Baby Boomers",Table2[[#This Row],[Age]]&lt;=96,"Silent",Table2[[#This Row],[Age]]&gt;=97,"Greatest")</f>
        <v>Gen X</v>
      </c>
      <c r="E1907" s="1">
        <v>164038</v>
      </c>
      <c r="F1907">
        <v>53</v>
      </c>
      <c r="G1907" t="str" cm="1">
        <f t="array" ref="G1907">_xlfn.IFS(Table2[[#This Row],[Spending Score (1-100)]]&lt;=25,"Low",Table2[[#This Row],[Spending Score (1-100)]]&lt;=50,"Medium",Table2[[#This Row],[Spending Score (1-100)]]&lt;=75,"High",Table2[[#This Row],[Spending Score (1-100)]]&lt;=100,"Very High")</f>
        <v>High</v>
      </c>
      <c r="H1907" t="s">
        <v>19</v>
      </c>
      <c r="I1907">
        <v>5</v>
      </c>
      <c r="J1907" t="str">
        <f>CONCATENATE(Table2[[#This Row],[Work Experience]],"years")</f>
        <v>5years</v>
      </c>
      <c r="K1907" t="str">
        <f>CONCATENATE(Table2[[#This Row],[Family Size2]],"members")</f>
        <v>4members</v>
      </c>
      <c r="L1907" t="str">
        <f>CONCATENATE(Table2[[#This Row],[Family Size2]],"members")</f>
        <v>4members</v>
      </c>
      <c r="M1907">
        <v>4</v>
      </c>
    </row>
    <row r="1908" spans="1:13">
      <c r="A1908">
        <v>1907</v>
      </c>
      <c r="B1908" t="s">
        <v>11</v>
      </c>
      <c r="C1908">
        <v>68</v>
      </c>
      <c r="D1908" t="str" cm="1">
        <f t="array" ref="D1908">_xlfn.IFS(Table2[[#This Row],[Age]]&lt;=11,"Gen A",Table2[[#This Row],[Age]]&lt;=27,"Gen Z",Table2[[#This Row],[Age]]&lt;=43,"Millenials",Table2[[#This Row],[Age]]&lt;=59,"Gen X",Table2[[#This Row],[Age]]&lt;=78,"Baby Boomers",Table2[[#This Row],[Age]]&lt;=96,"Silent",Table2[[#This Row],[Age]]&gt;=97,"Greatest")</f>
        <v>Baby Boomers</v>
      </c>
      <c r="E1908" s="1">
        <v>53552</v>
      </c>
      <c r="F1908">
        <v>97</v>
      </c>
      <c r="G1908" t="str" cm="1">
        <f t="array" ref="G1908">_xlfn.IFS(Table2[[#This Row],[Spending Score (1-100)]]&lt;=25,"Low",Table2[[#This Row],[Spending Score (1-100)]]&lt;=50,"Medium",Table2[[#This Row],[Spending Score (1-100)]]&lt;=75,"High",Table2[[#This Row],[Spending Score (1-100)]]&lt;=100,"Very High")</f>
        <v>Very High</v>
      </c>
      <c r="H1908" t="s">
        <v>18</v>
      </c>
      <c r="I1908">
        <v>7</v>
      </c>
      <c r="J1908" t="str">
        <f>CONCATENATE(Table2[[#This Row],[Work Experience]],"years")</f>
        <v>7years</v>
      </c>
      <c r="K1908" t="str">
        <f>CONCATENATE(Table2[[#This Row],[Family Size2]],"members")</f>
        <v>6members</v>
      </c>
      <c r="L1908" t="str">
        <f>CONCATENATE(Table2[[#This Row],[Family Size2]],"members")</f>
        <v>6members</v>
      </c>
      <c r="M1908">
        <v>6</v>
      </c>
    </row>
    <row r="1909" spans="1:13">
      <c r="A1909">
        <v>1908</v>
      </c>
      <c r="B1909" t="s">
        <v>8</v>
      </c>
      <c r="C1909">
        <v>15</v>
      </c>
      <c r="D1909" t="str" cm="1">
        <f t="array" ref="D1909">_xlfn.IFS(Table2[[#This Row],[Age]]&lt;=11,"Gen A",Table2[[#This Row],[Age]]&lt;=27,"Gen Z",Table2[[#This Row],[Age]]&lt;=43,"Millenials",Table2[[#This Row],[Age]]&lt;=59,"Gen X",Table2[[#This Row],[Age]]&lt;=78,"Baby Boomers",Table2[[#This Row],[Age]]&lt;=96,"Silent",Table2[[#This Row],[Age]]&gt;=97,"Greatest")</f>
        <v>Gen Z</v>
      </c>
      <c r="E1909" s="1">
        <v>142147</v>
      </c>
      <c r="F1909">
        <v>78</v>
      </c>
      <c r="G1909" t="str" cm="1">
        <f t="array" ref="G1909">_xlfn.IFS(Table2[[#This Row],[Spending Score (1-100)]]&lt;=25,"Low",Table2[[#This Row],[Spending Score (1-100)]]&lt;=50,"Medium",Table2[[#This Row],[Spending Score (1-100)]]&lt;=75,"High",Table2[[#This Row],[Spending Score (1-100)]]&lt;=100,"Very High")</f>
        <v>Very High</v>
      </c>
      <c r="H1909" t="s">
        <v>14</v>
      </c>
      <c r="I1909">
        <v>8</v>
      </c>
      <c r="J1909" t="str">
        <f>CONCATENATE(Table2[[#This Row],[Work Experience]],"years")</f>
        <v>8years</v>
      </c>
      <c r="K1909" t="str">
        <f>CONCATENATE(Table2[[#This Row],[Family Size2]],"members")</f>
        <v>4members</v>
      </c>
      <c r="L1909" t="str">
        <f>CONCATENATE(Table2[[#This Row],[Family Size2]],"members")</f>
        <v>4members</v>
      </c>
      <c r="M1909">
        <v>4</v>
      </c>
    </row>
    <row r="1910" spans="1:13">
      <c r="A1910">
        <v>1909</v>
      </c>
      <c r="B1910" t="s">
        <v>8</v>
      </c>
      <c r="C1910">
        <v>4</v>
      </c>
      <c r="D1910" t="str" cm="1">
        <f t="array" ref="D1910">_xlfn.IFS(Table2[[#This Row],[Age]]&lt;=11,"Gen A",Table2[[#This Row],[Age]]&lt;=27,"Gen Z",Table2[[#This Row],[Age]]&lt;=43,"Millenials",Table2[[#This Row],[Age]]&lt;=59,"Gen X",Table2[[#This Row],[Age]]&lt;=78,"Baby Boomers",Table2[[#This Row],[Age]]&lt;=96,"Silent",Table2[[#This Row],[Age]]&gt;=97,"Greatest")</f>
        <v>Gen A</v>
      </c>
      <c r="E1910" s="1">
        <v>180324</v>
      </c>
      <c r="F1910">
        <v>41</v>
      </c>
      <c r="G1910" t="str" cm="1">
        <f t="array" ref="G1910">_xlfn.IFS(Table2[[#This Row],[Spending Score (1-100)]]&lt;=25,"Low",Table2[[#This Row],[Spending Score (1-100)]]&lt;=50,"Medium",Table2[[#This Row],[Spending Score (1-100)]]&lt;=75,"High",Table2[[#This Row],[Spending Score (1-100)]]&lt;=100,"Very High")</f>
        <v>Medium</v>
      </c>
      <c r="H1910" t="s">
        <v>14</v>
      </c>
      <c r="I1910">
        <v>9</v>
      </c>
      <c r="J1910" t="str">
        <f>CONCATENATE(Table2[[#This Row],[Work Experience]],"years")</f>
        <v>9years</v>
      </c>
      <c r="K1910" t="str">
        <f>CONCATENATE(Table2[[#This Row],[Family Size2]],"members")</f>
        <v>2members</v>
      </c>
      <c r="L1910" t="str">
        <f>CONCATENATE(Table2[[#This Row],[Family Size2]],"members")</f>
        <v>2members</v>
      </c>
      <c r="M1910">
        <v>2</v>
      </c>
    </row>
    <row r="1911" spans="1:13">
      <c r="A1911">
        <v>1910</v>
      </c>
      <c r="B1911" t="s">
        <v>8</v>
      </c>
      <c r="C1911">
        <v>59</v>
      </c>
      <c r="D1911" t="str" cm="1">
        <f t="array" ref="D1911">_xlfn.IFS(Table2[[#This Row],[Age]]&lt;=11,"Gen A",Table2[[#This Row],[Age]]&lt;=27,"Gen Z",Table2[[#This Row],[Age]]&lt;=43,"Millenials",Table2[[#This Row],[Age]]&lt;=59,"Gen X",Table2[[#This Row],[Age]]&lt;=78,"Baby Boomers",Table2[[#This Row],[Age]]&lt;=96,"Silent",Table2[[#This Row],[Age]]&gt;=97,"Greatest")</f>
        <v>Gen X</v>
      </c>
      <c r="E1911" s="1">
        <v>149067</v>
      </c>
      <c r="F1911">
        <v>78</v>
      </c>
      <c r="G1911" t="str" cm="1">
        <f t="array" ref="G1911">_xlfn.IFS(Table2[[#This Row],[Spending Score (1-100)]]&lt;=25,"Low",Table2[[#This Row],[Spending Score (1-100)]]&lt;=50,"Medium",Table2[[#This Row],[Spending Score (1-100)]]&lt;=75,"High",Table2[[#This Row],[Spending Score (1-100)]]&lt;=100,"Very High")</f>
        <v>Very High</v>
      </c>
      <c r="H1911" t="s">
        <v>16</v>
      </c>
      <c r="I1911">
        <v>9</v>
      </c>
      <c r="J1911" t="str">
        <f>CONCATENATE(Table2[[#This Row],[Work Experience]],"years")</f>
        <v>9years</v>
      </c>
      <c r="K1911" t="str">
        <f>CONCATENATE(Table2[[#This Row],[Family Size2]],"members")</f>
        <v>7members</v>
      </c>
      <c r="L1911" t="str">
        <f>CONCATENATE(Table2[[#This Row],[Family Size2]],"members")</f>
        <v>7members</v>
      </c>
      <c r="M1911">
        <v>7</v>
      </c>
    </row>
    <row r="1912" spans="1:13">
      <c r="A1912">
        <v>1911</v>
      </c>
      <c r="B1912" t="s">
        <v>8</v>
      </c>
      <c r="C1912">
        <v>32</v>
      </c>
      <c r="D1912" t="str" cm="1">
        <f t="array" ref="D1912">_xlfn.IFS(Table2[[#This Row],[Age]]&lt;=11,"Gen A",Table2[[#This Row],[Age]]&lt;=27,"Gen Z",Table2[[#This Row],[Age]]&lt;=43,"Millenials",Table2[[#This Row],[Age]]&lt;=59,"Gen X",Table2[[#This Row],[Age]]&lt;=78,"Baby Boomers",Table2[[#This Row],[Age]]&lt;=96,"Silent",Table2[[#This Row],[Age]]&gt;=97,"Greatest")</f>
        <v>Millenials</v>
      </c>
      <c r="E1912" s="1">
        <v>184408</v>
      </c>
      <c r="F1912">
        <v>38</v>
      </c>
      <c r="G1912" t="str" cm="1">
        <f t="array" ref="G1912">_xlfn.IFS(Table2[[#This Row],[Spending Score (1-100)]]&lt;=25,"Low",Table2[[#This Row],[Spending Score (1-100)]]&lt;=50,"Medium",Table2[[#This Row],[Spending Score (1-100)]]&lt;=75,"High",Table2[[#This Row],[Spending Score (1-100)]]&lt;=100,"Very High")</f>
        <v>Medium</v>
      </c>
      <c r="H1912" t="s">
        <v>13</v>
      </c>
      <c r="I1912">
        <v>6</v>
      </c>
      <c r="J1912" t="str">
        <f>CONCATENATE(Table2[[#This Row],[Work Experience]],"years")</f>
        <v>6years</v>
      </c>
      <c r="K1912" t="str">
        <f>CONCATENATE(Table2[[#This Row],[Family Size2]],"members")</f>
        <v>7members</v>
      </c>
      <c r="L1912" t="str">
        <f>CONCATENATE(Table2[[#This Row],[Family Size2]],"members")</f>
        <v>7members</v>
      </c>
      <c r="M1912">
        <v>7</v>
      </c>
    </row>
    <row r="1913" spans="1:13">
      <c r="A1913">
        <v>1912</v>
      </c>
      <c r="B1913" t="s">
        <v>11</v>
      </c>
      <c r="C1913">
        <v>8</v>
      </c>
      <c r="D1913" t="str" cm="1">
        <f t="array" ref="D1913">_xlfn.IFS(Table2[[#This Row],[Age]]&lt;=11,"Gen A",Table2[[#This Row],[Age]]&lt;=27,"Gen Z",Table2[[#This Row],[Age]]&lt;=43,"Millenials",Table2[[#This Row],[Age]]&lt;=59,"Gen X",Table2[[#This Row],[Age]]&lt;=78,"Baby Boomers",Table2[[#This Row],[Age]]&lt;=96,"Silent",Table2[[#This Row],[Age]]&gt;=97,"Greatest")</f>
        <v>Gen A</v>
      </c>
      <c r="E1913" s="1">
        <v>59116</v>
      </c>
      <c r="F1913">
        <v>45</v>
      </c>
      <c r="G1913" t="str" cm="1">
        <f t="array" ref="G1913">_xlfn.IFS(Table2[[#This Row],[Spending Score (1-100)]]&lt;=25,"Low",Table2[[#This Row],[Spending Score (1-100)]]&lt;=50,"Medium",Table2[[#This Row],[Spending Score (1-100)]]&lt;=75,"High",Table2[[#This Row],[Spending Score (1-100)]]&lt;=100,"Very High")</f>
        <v>Medium</v>
      </c>
      <c r="H1913" t="s">
        <v>14</v>
      </c>
      <c r="I1913">
        <v>10</v>
      </c>
      <c r="J1913" t="str">
        <f>CONCATENATE(Table2[[#This Row],[Work Experience]],"years")</f>
        <v>10years</v>
      </c>
      <c r="K1913" t="str">
        <f>CONCATENATE(Table2[[#This Row],[Family Size2]],"members")</f>
        <v>6members</v>
      </c>
      <c r="L1913" t="str">
        <f>CONCATENATE(Table2[[#This Row],[Family Size2]],"members")</f>
        <v>6members</v>
      </c>
      <c r="M1913">
        <v>6</v>
      </c>
    </row>
    <row r="1914" spans="1:13">
      <c r="A1914">
        <v>1913</v>
      </c>
      <c r="B1914" t="s">
        <v>11</v>
      </c>
      <c r="C1914">
        <v>92</v>
      </c>
      <c r="D1914" t="str" cm="1">
        <f t="array" ref="D1914">_xlfn.IFS(Table2[[#This Row],[Age]]&lt;=11,"Gen A",Table2[[#This Row],[Age]]&lt;=27,"Gen Z",Table2[[#This Row],[Age]]&lt;=43,"Millenials",Table2[[#This Row],[Age]]&lt;=59,"Gen X",Table2[[#This Row],[Age]]&lt;=78,"Baby Boomers",Table2[[#This Row],[Age]]&lt;=96,"Silent",Table2[[#This Row],[Age]]&gt;=97,"Greatest")</f>
        <v>Silent</v>
      </c>
      <c r="E1914" s="1">
        <v>174786</v>
      </c>
      <c r="F1914">
        <v>94</v>
      </c>
      <c r="G1914" t="str" cm="1">
        <f t="array" ref="G1914">_xlfn.IFS(Table2[[#This Row],[Spending Score (1-100)]]&lt;=25,"Low",Table2[[#This Row],[Spending Score (1-100)]]&lt;=50,"Medium",Table2[[#This Row],[Spending Score (1-100)]]&lt;=75,"High",Table2[[#This Row],[Spending Score (1-100)]]&lt;=100,"Very High")</f>
        <v>Very High</v>
      </c>
      <c r="H1914" t="s">
        <v>15</v>
      </c>
      <c r="I1914">
        <v>4</v>
      </c>
      <c r="J1914" t="str">
        <f>CONCATENATE(Table2[[#This Row],[Work Experience]],"years")</f>
        <v>4years</v>
      </c>
      <c r="K1914" t="str">
        <f>CONCATENATE(Table2[[#This Row],[Family Size2]],"members")</f>
        <v>3members</v>
      </c>
      <c r="L1914" t="str">
        <f>CONCATENATE(Table2[[#This Row],[Family Size2]],"members")</f>
        <v>3members</v>
      </c>
      <c r="M1914">
        <v>3</v>
      </c>
    </row>
    <row r="1915" spans="1:13">
      <c r="A1915">
        <v>1914</v>
      </c>
      <c r="B1915" t="s">
        <v>8</v>
      </c>
      <c r="C1915">
        <v>9</v>
      </c>
      <c r="D1915" t="str" cm="1">
        <f t="array" ref="D1915">_xlfn.IFS(Table2[[#This Row],[Age]]&lt;=11,"Gen A",Table2[[#This Row],[Age]]&lt;=27,"Gen Z",Table2[[#This Row],[Age]]&lt;=43,"Millenials",Table2[[#This Row],[Age]]&lt;=59,"Gen X",Table2[[#This Row],[Age]]&lt;=78,"Baby Boomers",Table2[[#This Row],[Age]]&lt;=96,"Silent",Table2[[#This Row],[Age]]&gt;=97,"Greatest")</f>
        <v>Gen A</v>
      </c>
      <c r="E1915" s="1">
        <v>71076</v>
      </c>
      <c r="F1915">
        <v>2</v>
      </c>
      <c r="G1915" t="str" cm="1">
        <f t="array" ref="G1915">_xlfn.IFS(Table2[[#This Row],[Spending Score (1-100)]]&lt;=25,"Low",Table2[[#This Row],[Spending Score (1-100)]]&lt;=50,"Medium",Table2[[#This Row],[Spending Score (1-100)]]&lt;=75,"High",Table2[[#This Row],[Spending Score (1-100)]]&lt;=100,"Very High")</f>
        <v>Low</v>
      </c>
      <c r="H1915" t="s">
        <v>14</v>
      </c>
      <c r="I1915">
        <v>8</v>
      </c>
      <c r="J1915" t="str">
        <f>CONCATENATE(Table2[[#This Row],[Work Experience]],"years")</f>
        <v>8years</v>
      </c>
      <c r="K1915" t="str">
        <f>CONCATENATE(Table2[[#This Row],[Family Size2]],"members")</f>
        <v>1members</v>
      </c>
      <c r="L1915" t="str">
        <f>CONCATENATE(Table2[[#This Row],[Family Size2]],"members")</f>
        <v>1members</v>
      </c>
      <c r="M1915">
        <v>1</v>
      </c>
    </row>
    <row r="1916" spans="1:13">
      <c r="A1916">
        <v>1915</v>
      </c>
      <c r="B1916" t="s">
        <v>11</v>
      </c>
      <c r="C1916">
        <v>41</v>
      </c>
      <c r="D1916" t="str" cm="1">
        <f t="array" ref="D1916">_xlfn.IFS(Table2[[#This Row],[Age]]&lt;=11,"Gen A",Table2[[#This Row],[Age]]&lt;=27,"Gen Z",Table2[[#This Row],[Age]]&lt;=43,"Millenials",Table2[[#This Row],[Age]]&lt;=59,"Gen X",Table2[[#This Row],[Age]]&lt;=78,"Baby Boomers",Table2[[#This Row],[Age]]&lt;=96,"Silent",Table2[[#This Row],[Age]]&gt;=97,"Greatest")</f>
        <v>Millenials</v>
      </c>
      <c r="E1916" s="1">
        <v>56837</v>
      </c>
      <c r="F1916">
        <v>4</v>
      </c>
      <c r="G1916" t="str" cm="1">
        <f t="array" ref="G1916">_xlfn.IFS(Table2[[#This Row],[Spending Score (1-100)]]&lt;=25,"Low",Table2[[#This Row],[Spending Score (1-100)]]&lt;=50,"Medium",Table2[[#This Row],[Spending Score (1-100)]]&lt;=75,"High",Table2[[#This Row],[Spending Score (1-100)]]&lt;=100,"Very High")</f>
        <v>Low</v>
      </c>
      <c r="H1916" t="s">
        <v>9</v>
      </c>
      <c r="I1916">
        <v>8</v>
      </c>
      <c r="J1916" t="str">
        <f>CONCATENATE(Table2[[#This Row],[Work Experience]],"years")</f>
        <v>8years</v>
      </c>
      <c r="K1916" t="str">
        <f>CONCATENATE(Table2[[#This Row],[Family Size2]],"members")</f>
        <v>4members</v>
      </c>
      <c r="L1916" t="str">
        <f>CONCATENATE(Table2[[#This Row],[Family Size2]],"members")</f>
        <v>4members</v>
      </c>
      <c r="M1916">
        <v>4</v>
      </c>
    </row>
    <row r="1917" spans="1:13">
      <c r="A1917">
        <v>1916</v>
      </c>
      <c r="B1917" t="s">
        <v>11</v>
      </c>
      <c r="C1917">
        <v>18</v>
      </c>
      <c r="D1917" t="str" cm="1">
        <f t="array" ref="D1917">_xlfn.IFS(Table2[[#This Row],[Age]]&lt;=11,"Gen A",Table2[[#This Row],[Age]]&lt;=27,"Gen Z",Table2[[#This Row],[Age]]&lt;=43,"Millenials",Table2[[#This Row],[Age]]&lt;=59,"Gen X",Table2[[#This Row],[Age]]&lt;=78,"Baby Boomers",Table2[[#This Row],[Age]]&lt;=96,"Silent",Table2[[#This Row],[Age]]&gt;=97,"Greatest")</f>
        <v>Gen Z</v>
      </c>
      <c r="E1917" s="1">
        <v>134752</v>
      </c>
      <c r="F1917">
        <v>47</v>
      </c>
      <c r="G1917" t="str" cm="1">
        <f t="array" ref="G1917">_xlfn.IFS(Table2[[#This Row],[Spending Score (1-100)]]&lt;=25,"Low",Table2[[#This Row],[Spending Score (1-100)]]&lt;=50,"Medium",Table2[[#This Row],[Spending Score (1-100)]]&lt;=75,"High",Table2[[#This Row],[Spending Score (1-100)]]&lt;=100,"Very High")</f>
        <v>Medium</v>
      </c>
      <c r="H1917" t="s">
        <v>10</v>
      </c>
      <c r="I1917">
        <v>6</v>
      </c>
      <c r="J1917" t="str">
        <f>CONCATENATE(Table2[[#This Row],[Work Experience]],"years")</f>
        <v>6years</v>
      </c>
      <c r="K1917" t="str">
        <f>CONCATENATE(Table2[[#This Row],[Family Size2]],"members")</f>
        <v>5members</v>
      </c>
      <c r="L1917" t="str">
        <f>CONCATENATE(Table2[[#This Row],[Family Size2]],"members")</f>
        <v>5members</v>
      </c>
      <c r="M1917">
        <v>5</v>
      </c>
    </row>
    <row r="1918" spans="1:13">
      <c r="A1918">
        <v>1917</v>
      </c>
      <c r="B1918" t="s">
        <v>11</v>
      </c>
      <c r="C1918">
        <v>78</v>
      </c>
      <c r="D1918" t="str" cm="1">
        <f t="array" ref="D1918">_xlfn.IFS(Table2[[#This Row],[Age]]&lt;=11,"Gen A",Table2[[#This Row],[Age]]&lt;=27,"Gen Z",Table2[[#This Row],[Age]]&lt;=43,"Millenials",Table2[[#This Row],[Age]]&lt;=59,"Gen X",Table2[[#This Row],[Age]]&lt;=78,"Baby Boomers",Table2[[#This Row],[Age]]&lt;=96,"Silent",Table2[[#This Row],[Age]]&gt;=97,"Greatest")</f>
        <v>Baby Boomers</v>
      </c>
      <c r="E1918" s="1">
        <v>112887</v>
      </c>
      <c r="F1918">
        <v>80</v>
      </c>
      <c r="G1918" t="str" cm="1">
        <f t="array" ref="G1918">_xlfn.IFS(Table2[[#This Row],[Spending Score (1-100)]]&lt;=25,"Low",Table2[[#This Row],[Spending Score (1-100)]]&lt;=50,"Medium",Table2[[#This Row],[Spending Score (1-100)]]&lt;=75,"High",Table2[[#This Row],[Spending Score (1-100)]]&lt;=100,"Very High")</f>
        <v>Very High</v>
      </c>
      <c r="H1918" t="s">
        <v>13</v>
      </c>
      <c r="I1918">
        <v>9</v>
      </c>
      <c r="J1918" t="str">
        <f>CONCATENATE(Table2[[#This Row],[Work Experience]],"years")</f>
        <v>9years</v>
      </c>
      <c r="K1918" t="str">
        <f>CONCATENATE(Table2[[#This Row],[Family Size2]],"members")</f>
        <v>6members</v>
      </c>
      <c r="L1918" t="str">
        <f>CONCATENATE(Table2[[#This Row],[Family Size2]],"members")</f>
        <v>6members</v>
      </c>
      <c r="M1918">
        <v>6</v>
      </c>
    </row>
    <row r="1919" spans="1:13">
      <c r="A1919">
        <v>1918</v>
      </c>
      <c r="B1919" t="s">
        <v>11</v>
      </c>
      <c r="C1919">
        <v>0</v>
      </c>
      <c r="D1919" t="str" cm="1">
        <f t="array" ref="D1919">_xlfn.IFS(Table2[[#This Row],[Age]]&lt;=11,"Gen A",Table2[[#This Row],[Age]]&lt;=27,"Gen Z",Table2[[#This Row],[Age]]&lt;=43,"Millenials",Table2[[#This Row],[Age]]&lt;=59,"Gen X",Table2[[#This Row],[Age]]&lt;=78,"Baby Boomers",Table2[[#This Row],[Age]]&lt;=96,"Silent",Table2[[#This Row],[Age]]&gt;=97,"Greatest")</f>
        <v>Gen A</v>
      </c>
      <c r="E1919" s="1">
        <v>73128</v>
      </c>
      <c r="F1919">
        <v>74</v>
      </c>
      <c r="G1919" t="str" cm="1">
        <f t="array" ref="G1919">_xlfn.IFS(Table2[[#This Row],[Spending Score (1-100)]]&lt;=25,"Low",Table2[[#This Row],[Spending Score (1-100)]]&lt;=50,"Medium",Table2[[#This Row],[Spending Score (1-100)]]&lt;=75,"High",Table2[[#This Row],[Spending Score (1-100)]]&lt;=100,"Very High")</f>
        <v>High</v>
      </c>
      <c r="H1919" t="s">
        <v>14</v>
      </c>
      <c r="I1919">
        <v>7</v>
      </c>
      <c r="J1919" t="str">
        <f>CONCATENATE(Table2[[#This Row],[Work Experience]],"years")</f>
        <v>7years</v>
      </c>
      <c r="K1919" t="str">
        <f>CONCATENATE(Table2[[#This Row],[Family Size2]],"members")</f>
        <v>5members</v>
      </c>
      <c r="L1919" t="str">
        <f>CONCATENATE(Table2[[#This Row],[Family Size2]],"members")</f>
        <v>5members</v>
      </c>
      <c r="M1919">
        <v>5</v>
      </c>
    </row>
    <row r="1920" spans="1:13">
      <c r="A1920">
        <v>1919</v>
      </c>
      <c r="B1920" t="s">
        <v>11</v>
      </c>
      <c r="C1920">
        <v>11</v>
      </c>
      <c r="D1920" t="str" cm="1">
        <f t="array" ref="D1920">_xlfn.IFS(Table2[[#This Row],[Age]]&lt;=11,"Gen A",Table2[[#This Row],[Age]]&lt;=27,"Gen Z",Table2[[#This Row],[Age]]&lt;=43,"Millenials",Table2[[#This Row],[Age]]&lt;=59,"Gen X",Table2[[#This Row],[Age]]&lt;=78,"Baby Boomers",Table2[[#This Row],[Age]]&lt;=96,"Silent",Table2[[#This Row],[Age]]&gt;=97,"Greatest")</f>
        <v>Gen A</v>
      </c>
      <c r="E1920" s="1">
        <v>152765</v>
      </c>
      <c r="F1920">
        <v>17</v>
      </c>
      <c r="G1920" t="str" cm="1">
        <f t="array" ref="G1920">_xlfn.IFS(Table2[[#This Row],[Spending Score (1-100)]]&lt;=25,"Low",Table2[[#This Row],[Spending Score (1-100)]]&lt;=50,"Medium",Table2[[#This Row],[Spending Score (1-100)]]&lt;=75,"High",Table2[[#This Row],[Spending Score (1-100)]]&lt;=100,"Very High")</f>
        <v>Low</v>
      </c>
      <c r="H1920" t="s">
        <v>9</v>
      </c>
      <c r="I1920">
        <v>8</v>
      </c>
      <c r="J1920" t="str">
        <f>CONCATENATE(Table2[[#This Row],[Work Experience]],"years")</f>
        <v>8years</v>
      </c>
      <c r="K1920" t="str">
        <f>CONCATENATE(Table2[[#This Row],[Family Size2]],"members")</f>
        <v>1members</v>
      </c>
      <c r="L1920" t="str">
        <f>CONCATENATE(Table2[[#This Row],[Family Size2]],"members")</f>
        <v>1members</v>
      </c>
      <c r="M1920">
        <v>1</v>
      </c>
    </row>
    <row r="1921" spans="1:13">
      <c r="A1921">
        <v>1920</v>
      </c>
      <c r="B1921" t="s">
        <v>11</v>
      </c>
      <c r="C1921">
        <v>36</v>
      </c>
      <c r="D1921" t="str" cm="1">
        <f t="array" ref="D1921">_xlfn.IFS(Table2[[#This Row],[Age]]&lt;=11,"Gen A",Table2[[#This Row],[Age]]&lt;=27,"Gen Z",Table2[[#This Row],[Age]]&lt;=43,"Millenials",Table2[[#This Row],[Age]]&lt;=59,"Gen X",Table2[[#This Row],[Age]]&lt;=78,"Baby Boomers",Table2[[#This Row],[Age]]&lt;=96,"Silent",Table2[[#This Row],[Age]]&gt;=97,"Greatest")</f>
        <v>Millenials</v>
      </c>
      <c r="E1921" s="1">
        <v>140637</v>
      </c>
      <c r="F1921">
        <v>19</v>
      </c>
      <c r="G1921" t="str" cm="1">
        <f t="array" ref="G1921">_xlfn.IFS(Table2[[#This Row],[Spending Score (1-100)]]&lt;=25,"Low",Table2[[#This Row],[Spending Score (1-100)]]&lt;=50,"Medium",Table2[[#This Row],[Spending Score (1-100)]]&lt;=75,"High",Table2[[#This Row],[Spending Score (1-100)]]&lt;=100,"Very High")</f>
        <v>Low</v>
      </c>
      <c r="H1921" t="s">
        <v>15</v>
      </c>
      <c r="I1921">
        <v>8</v>
      </c>
      <c r="J1921" t="str">
        <f>CONCATENATE(Table2[[#This Row],[Work Experience]],"years")</f>
        <v>8years</v>
      </c>
      <c r="K1921" t="str">
        <f>CONCATENATE(Table2[[#This Row],[Family Size2]],"members")</f>
        <v>7members</v>
      </c>
      <c r="L1921" t="str">
        <f>CONCATENATE(Table2[[#This Row],[Family Size2]],"members")</f>
        <v>7members</v>
      </c>
      <c r="M1921">
        <v>7</v>
      </c>
    </row>
    <row r="1922" spans="1:13">
      <c r="A1922">
        <v>1921</v>
      </c>
      <c r="B1922" t="s">
        <v>8</v>
      </c>
      <c r="C1922">
        <v>46</v>
      </c>
      <c r="D1922" t="str" cm="1">
        <f t="array" ref="D1922">_xlfn.IFS(Table2[[#This Row],[Age]]&lt;=11,"Gen A",Table2[[#This Row],[Age]]&lt;=27,"Gen Z",Table2[[#This Row],[Age]]&lt;=43,"Millenials",Table2[[#This Row],[Age]]&lt;=59,"Gen X",Table2[[#This Row],[Age]]&lt;=78,"Baby Boomers",Table2[[#This Row],[Age]]&lt;=96,"Silent",Table2[[#This Row],[Age]]&gt;=97,"Greatest")</f>
        <v>Gen X</v>
      </c>
      <c r="E1922" s="1">
        <v>137973</v>
      </c>
      <c r="F1922">
        <v>50</v>
      </c>
      <c r="G1922" t="str" cm="1">
        <f t="array" ref="G1922">_xlfn.IFS(Table2[[#This Row],[Spending Score (1-100)]]&lt;=25,"Low",Table2[[#This Row],[Spending Score (1-100)]]&lt;=50,"Medium",Table2[[#This Row],[Spending Score (1-100)]]&lt;=75,"High",Table2[[#This Row],[Spending Score (1-100)]]&lt;=100,"Very High")</f>
        <v>Medium</v>
      </c>
      <c r="H1922" t="s">
        <v>9</v>
      </c>
      <c r="I1922">
        <v>7</v>
      </c>
      <c r="J1922" t="str">
        <f>CONCATENATE(Table2[[#This Row],[Work Experience]],"years")</f>
        <v>7years</v>
      </c>
      <c r="K1922" t="str">
        <f>CONCATENATE(Table2[[#This Row],[Family Size2]],"members")</f>
        <v>7members</v>
      </c>
      <c r="L1922" t="str">
        <f>CONCATENATE(Table2[[#This Row],[Family Size2]],"members")</f>
        <v>7members</v>
      </c>
      <c r="M1922">
        <v>7</v>
      </c>
    </row>
    <row r="1923" spans="1:13">
      <c r="A1923">
        <v>1922</v>
      </c>
      <c r="B1923" t="s">
        <v>11</v>
      </c>
      <c r="C1923">
        <v>95</v>
      </c>
      <c r="D1923" t="str" cm="1">
        <f t="array" ref="D1923">_xlfn.IFS(Table2[[#This Row],[Age]]&lt;=11,"Gen A",Table2[[#This Row],[Age]]&lt;=27,"Gen Z",Table2[[#This Row],[Age]]&lt;=43,"Millenials",Table2[[#This Row],[Age]]&lt;=59,"Gen X",Table2[[#This Row],[Age]]&lt;=78,"Baby Boomers",Table2[[#This Row],[Age]]&lt;=96,"Silent",Table2[[#This Row],[Age]]&gt;=97,"Greatest")</f>
        <v>Silent</v>
      </c>
      <c r="E1923" s="1">
        <v>126791</v>
      </c>
      <c r="F1923">
        <v>34</v>
      </c>
      <c r="G1923" t="str" cm="1">
        <f t="array" ref="G1923">_xlfn.IFS(Table2[[#This Row],[Spending Score (1-100)]]&lt;=25,"Low",Table2[[#This Row],[Spending Score (1-100)]]&lt;=50,"Medium",Table2[[#This Row],[Spending Score (1-100)]]&lt;=75,"High",Table2[[#This Row],[Spending Score (1-100)]]&lt;=100,"Very High")</f>
        <v>Medium</v>
      </c>
      <c r="H1923" t="s">
        <v>14</v>
      </c>
      <c r="I1923">
        <v>6</v>
      </c>
      <c r="J1923" t="str">
        <f>CONCATENATE(Table2[[#This Row],[Work Experience]],"years")</f>
        <v>6years</v>
      </c>
      <c r="K1923" t="str">
        <f>CONCATENATE(Table2[[#This Row],[Family Size2]],"members")</f>
        <v>4members</v>
      </c>
      <c r="L1923" t="str">
        <f>CONCATENATE(Table2[[#This Row],[Family Size2]],"members")</f>
        <v>4members</v>
      </c>
      <c r="M1923">
        <v>4</v>
      </c>
    </row>
    <row r="1924" spans="1:13">
      <c r="A1924">
        <v>1923</v>
      </c>
      <c r="B1924" t="s">
        <v>11</v>
      </c>
      <c r="C1924">
        <v>97</v>
      </c>
      <c r="D1924" t="str" cm="1">
        <f t="array" ref="D1924">_xlfn.IFS(Table2[[#This Row],[Age]]&lt;=11,"Gen A",Table2[[#This Row],[Age]]&lt;=27,"Gen Z",Table2[[#This Row],[Age]]&lt;=43,"Millenials",Table2[[#This Row],[Age]]&lt;=59,"Gen X",Table2[[#This Row],[Age]]&lt;=78,"Baby Boomers",Table2[[#This Row],[Age]]&lt;=96,"Silent",Table2[[#This Row],[Age]]&gt;=97,"Greatest")</f>
        <v>Greatest</v>
      </c>
      <c r="E1924" s="1">
        <v>75125</v>
      </c>
      <c r="F1924">
        <v>89</v>
      </c>
      <c r="G1924" t="str" cm="1">
        <f t="array" ref="G1924">_xlfn.IFS(Table2[[#This Row],[Spending Score (1-100)]]&lt;=25,"Low",Table2[[#This Row],[Spending Score (1-100)]]&lt;=50,"Medium",Table2[[#This Row],[Spending Score (1-100)]]&lt;=75,"High",Table2[[#This Row],[Spending Score (1-100)]]&lt;=100,"Very High")</f>
        <v>Very High</v>
      </c>
      <c r="H1924" t="s">
        <v>15</v>
      </c>
      <c r="I1924">
        <v>8</v>
      </c>
      <c r="J1924" t="str">
        <f>CONCATENATE(Table2[[#This Row],[Work Experience]],"years")</f>
        <v>8years</v>
      </c>
      <c r="K1924" t="str">
        <f>CONCATENATE(Table2[[#This Row],[Family Size2]],"members")</f>
        <v>3members</v>
      </c>
      <c r="L1924" t="str">
        <f>CONCATENATE(Table2[[#This Row],[Family Size2]],"members")</f>
        <v>3members</v>
      </c>
      <c r="M1924">
        <v>3</v>
      </c>
    </row>
    <row r="1925" spans="1:13">
      <c r="A1925">
        <v>1924</v>
      </c>
      <c r="B1925" t="s">
        <v>8</v>
      </c>
      <c r="C1925">
        <v>2</v>
      </c>
      <c r="D1925" t="str" cm="1">
        <f t="array" ref="D1925">_xlfn.IFS(Table2[[#This Row],[Age]]&lt;=11,"Gen A",Table2[[#This Row],[Age]]&lt;=27,"Gen Z",Table2[[#This Row],[Age]]&lt;=43,"Millenials",Table2[[#This Row],[Age]]&lt;=59,"Gen X",Table2[[#This Row],[Age]]&lt;=78,"Baby Boomers",Table2[[#This Row],[Age]]&lt;=96,"Silent",Table2[[#This Row],[Age]]&gt;=97,"Greatest")</f>
        <v>Gen A</v>
      </c>
      <c r="E1925" s="1">
        <v>101718</v>
      </c>
      <c r="F1925">
        <v>11</v>
      </c>
      <c r="G1925" t="str" cm="1">
        <f t="array" ref="G1925">_xlfn.IFS(Table2[[#This Row],[Spending Score (1-100)]]&lt;=25,"Low",Table2[[#This Row],[Spending Score (1-100)]]&lt;=50,"Medium",Table2[[#This Row],[Spending Score (1-100)]]&lt;=75,"High",Table2[[#This Row],[Spending Score (1-100)]]&lt;=100,"Very High")</f>
        <v>Low</v>
      </c>
      <c r="H1925" t="s">
        <v>15</v>
      </c>
      <c r="I1925">
        <v>8</v>
      </c>
      <c r="J1925" t="str">
        <f>CONCATENATE(Table2[[#This Row],[Work Experience]],"years")</f>
        <v>8years</v>
      </c>
      <c r="K1925" t="str">
        <f>CONCATENATE(Table2[[#This Row],[Family Size2]],"members")</f>
        <v>3members</v>
      </c>
      <c r="L1925" t="str">
        <f>CONCATENATE(Table2[[#This Row],[Family Size2]],"members")</f>
        <v>3members</v>
      </c>
      <c r="M1925">
        <v>3</v>
      </c>
    </row>
    <row r="1926" spans="1:13">
      <c r="A1926">
        <v>1925</v>
      </c>
      <c r="B1926" t="s">
        <v>11</v>
      </c>
      <c r="C1926">
        <v>94</v>
      </c>
      <c r="D1926" t="str" cm="1">
        <f t="array" ref="D1926">_xlfn.IFS(Table2[[#This Row],[Age]]&lt;=11,"Gen A",Table2[[#This Row],[Age]]&lt;=27,"Gen Z",Table2[[#This Row],[Age]]&lt;=43,"Millenials",Table2[[#This Row],[Age]]&lt;=59,"Gen X",Table2[[#This Row],[Age]]&lt;=78,"Baby Boomers",Table2[[#This Row],[Age]]&lt;=96,"Silent",Table2[[#This Row],[Age]]&gt;=97,"Greatest")</f>
        <v>Silent</v>
      </c>
      <c r="E1926" s="1">
        <v>69654</v>
      </c>
      <c r="F1926">
        <v>30</v>
      </c>
      <c r="G1926" t="str" cm="1">
        <f t="array" ref="G1926">_xlfn.IFS(Table2[[#This Row],[Spending Score (1-100)]]&lt;=25,"Low",Table2[[#This Row],[Spending Score (1-100)]]&lt;=50,"Medium",Table2[[#This Row],[Spending Score (1-100)]]&lt;=75,"High",Table2[[#This Row],[Spending Score (1-100)]]&lt;=100,"Very High")</f>
        <v>Medium</v>
      </c>
      <c r="H1926" t="s">
        <v>17</v>
      </c>
      <c r="I1926">
        <v>4</v>
      </c>
      <c r="J1926" t="str">
        <f>CONCATENATE(Table2[[#This Row],[Work Experience]],"years")</f>
        <v>4years</v>
      </c>
      <c r="K1926" t="str">
        <f>CONCATENATE(Table2[[#This Row],[Family Size2]],"members")</f>
        <v>4members</v>
      </c>
      <c r="L1926" t="str">
        <f>CONCATENATE(Table2[[#This Row],[Family Size2]],"members")</f>
        <v>4members</v>
      </c>
      <c r="M1926">
        <v>4</v>
      </c>
    </row>
    <row r="1927" spans="1:13">
      <c r="A1927">
        <v>1926</v>
      </c>
      <c r="B1927" t="s">
        <v>11</v>
      </c>
      <c r="C1927">
        <v>0</v>
      </c>
      <c r="D1927" t="str" cm="1">
        <f t="array" ref="D1927">_xlfn.IFS(Table2[[#This Row],[Age]]&lt;=11,"Gen A",Table2[[#This Row],[Age]]&lt;=27,"Gen Z",Table2[[#This Row],[Age]]&lt;=43,"Millenials",Table2[[#This Row],[Age]]&lt;=59,"Gen X",Table2[[#This Row],[Age]]&lt;=78,"Baby Boomers",Table2[[#This Row],[Age]]&lt;=96,"Silent",Table2[[#This Row],[Age]]&gt;=97,"Greatest")</f>
        <v>Gen A</v>
      </c>
      <c r="E1927" s="1">
        <v>105935</v>
      </c>
      <c r="F1927">
        <v>46</v>
      </c>
      <c r="G1927" t="str" cm="1">
        <f t="array" ref="G1927">_xlfn.IFS(Table2[[#This Row],[Spending Score (1-100)]]&lt;=25,"Low",Table2[[#This Row],[Spending Score (1-100)]]&lt;=50,"Medium",Table2[[#This Row],[Spending Score (1-100)]]&lt;=75,"High",Table2[[#This Row],[Spending Score (1-100)]]&lt;=100,"Very High")</f>
        <v>Medium</v>
      </c>
      <c r="H1927" t="s">
        <v>16</v>
      </c>
      <c r="I1927">
        <v>4</v>
      </c>
      <c r="J1927" t="str">
        <f>CONCATENATE(Table2[[#This Row],[Work Experience]],"years")</f>
        <v>4years</v>
      </c>
      <c r="K1927" t="str">
        <f>CONCATENATE(Table2[[#This Row],[Family Size2]],"members")</f>
        <v>5members</v>
      </c>
      <c r="L1927" t="str">
        <f>CONCATENATE(Table2[[#This Row],[Family Size2]],"members")</f>
        <v>5members</v>
      </c>
      <c r="M1927">
        <v>5</v>
      </c>
    </row>
    <row r="1928" spans="1:13">
      <c r="A1928">
        <v>1927</v>
      </c>
      <c r="B1928" t="s">
        <v>8</v>
      </c>
      <c r="C1928">
        <v>3</v>
      </c>
      <c r="D1928" t="str" cm="1">
        <f t="array" ref="D1928">_xlfn.IFS(Table2[[#This Row],[Age]]&lt;=11,"Gen A",Table2[[#This Row],[Age]]&lt;=27,"Gen Z",Table2[[#This Row],[Age]]&lt;=43,"Millenials",Table2[[#This Row],[Age]]&lt;=59,"Gen X",Table2[[#This Row],[Age]]&lt;=78,"Baby Boomers",Table2[[#This Row],[Age]]&lt;=96,"Silent",Table2[[#This Row],[Age]]&gt;=97,"Greatest")</f>
        <v>Gen A</v>
      </c>
      <c r="E1928" s="1">
        <v>74607</v>
      </c>
      <c r="F1928">
        <v>69</v>
      </c>
      <c r="G1928" t="str" cm="1">
        <f t="array" ref="G1928">_xlfn.IFS(Table2[[#This Row],[Spending Score (1-100)]]&lt;=25,"Low",Table2[[#This Row],[Spending Score (1-100)]]&lt;=50,"Medium",Table2[[#This Row],[Spending Score (1-100)]]&lt;=75,"High",Table2[[#This Row],[Spending Score (1-100)]]&lt;=100,"Very High")</f>
        <v>High</v>
      </c>
      <c r="H1928" t="s">
        <v>9</v>
      </c>
      <c r="I1928">
        <v>6</v>
      </c>
      <c r="J1928" t="str">
        <f>CONCATENATE(Table2[[#This Row],[Work Experience]],"years")</f>
        <v>6years</v>
      </c>
      <c r="K1928" t="str">
        <f>CONCATENATE(Table2[[#This Row],[Family Size2]],"members")</f>
        <v>1members</v>
      </c>
      <c r="L1928" t="str">
        <f>CONCATENATE(Table2[[#This Row],[Family Size2]],"members")</f>
        <v>1members</v>
      </c>
      <c r="M1928">
        <v>1</v>
      </c>
    </row>
    <row r="1929" spans="1:13">
      <c r="A1929">
        <v>1928</v>
      </c>
      <c r="B1929" t="s">
        <v>8</v>
      </c>
      <c r="C1929">
        <v>77</v>
      </c>
      <c r="D1929" t="str" cm="1">
        <f t="array" ref="D1929">_xlfn.IFS(Table2[[#This Row],[Age]]&lt;=11,"Gen A",Table2[[#This Row],[Age]]&lt;=27,"Gen Z",Table2[[#This Row],[Age]]&lt;=43,"Millenials",Table2[[#This Row],[Age]]&lt;=59,"Gen X",Table2[[#This Row],[Age]]&lt;=78,"Baby Boomers",Table2[[#This Row],[Age]]&lt;=96,"Silent",Table2[[#This Row],[Age]]&gt;=97,"Greatest")</f>
        <v>Baby Boomers</v>
      </c>
      <c r="E1929" s="1">
        <v>151985</v>
      </c>
      <c r="F1929">
        <v>29</v>
      </c>
      <c r="G1929" t="str" cm="1">
        <f t="array" ref="G1929">_xlfn.IFS(Table2[[#This Row],[Spending Score (1-100)]]&lt;=25,"Low",Table2[[#This Row],[Spending Score (1-100)]]&lt;=50,"Medium",Table2[[#This Row],[Spending Score (1-100)]]&lt;=75,"High",Table2[[#This Row],[Spending Score (1-100)]]&lt;=100,"Very High")</f>
        <v>Medium</v>
      </c>
      <c r="H1929" t="s">
        <v>9</v>
      </c>
      <c r="I1929">
        <v>4</v>
      </c>
      <c r="J1929" t="str">
        <f>CONCATENATE(Table2[[#This Row],[Work Experience]],"years")</f>
        <v>4years</v>
      </c>
      <c r="K1929" t="str">
        <f>CONCATENATE(Table2[[#This Row],[Family Size2]],"members")</f>
        <v>7members</v>
      </c>
      <c r="L1929" t="str">
        <f>CONCATENATE(Table2[[#This Row],[Family Size2]],"members")</f>
        <v>7members</v>
      </c>
      <c r="M1929">
        <v>7</v>
      </c>
    </row>
    <row r="1930" spans="1:13">
      <c r="A1930">
        <v>1929</v>
      </c>
      <c r="B1930" t="s">
        <v>8</v>
      </c>
      <c r="C1930">
        <v>70</v>
      </c>
      <c r="D1930" t="str" cm="1">
        <f t="array" ref="D1930">_xlfn.IFS(Table2[[#This Row],[Age]]&lt;=11,"Gen A",Table2[[#This Row],[Age]]&lt;=27,"Gen Z",Table2[[#This Row],[Age]]&lt;=43,"Millenials",Table2[[#This Row],[Age]]&lt;=59,"Gen X",Table2[[#This Row],[Age]]&lt;=78,"Baby Boomers",Table2[[#This Row],[Age]]&lt;=96,"Silent",Table2[[#This Row],[Age]]&gt;=97,"Greatest")</f>
        <v>Baby Boomers</v>
      </c>
      <c r="E1930" s="1">
        <v>76892</v>
      </c>
      <c r="F1930">
        <v>64</v>
      </c>
      <c r="G1930" t="str" cm="1">
        <f t="array" ref="G1930">_xlfn.IFS(Table2[[#This Row],[Spending Score (1-100)]]&lt;=25,"Low",Table2[[#This Row],[Spending Score (1-100)]]&lt;=50,"Medium",Table2[[#This Row],[Spending Score (1-100)]]&lt;=75,"High",Table2[[#This Row],[Spending Score (1-100)]]&lt;=100,"Very High")</f>
        <v>High</v>
      </c>
      <c r="H1930" t="s">
        <v>15</v>
      </c>
      <c r="I1930">
        <v>5</v>
      </c>
      <c r="J1930" t="str">
        <f>CONCATENATE(Table2[[#This Row],[Work Experience]],"years")</f>
        <v>5years</v>
      </c>
      <c r="K1930" t="str">
        <f>CONCATENATE(Table2[[#This Row],[Family Size2]],"members")</f>
        <v>2members</v>
      </c>
      <c r="L1930" t="str">
        <f>CONCATENATE(Table2[[#This Row],[Family Size2]],"members")</f>
        <v>2members</v>
      </c>
      <c r="M1930">
        <v>2</v>
      </c>
    </row>
    <row r="1931" spans="1:13">
      <c r="A1931">
        <v>1930</v>
      </c>
      <c r="B1931" t="s">
        <v>8</v>
      </c>
      <c r="C1931">
        <v>58</v>
      </c>
      <c r="D1931" t="str" cm="1">
        <f t="array" ref="D1931">_xlfn.IFS(Table2[[#This Row],[Age]]&lt;=11,"Gen A",Table2[[#This Row],[Age]]&lt;=27,"Gen Z",Table2[[#This Row],[Age]]&lt;=43,"Millenials",Table2[[#This Row],[Age]]&lt;=59,"Gen X",Table2[[#This Row],[Age]]&lt;=78,"Baby Boomers",Table2[[#This Row],[Age]]&lt;=96,"Silent",Table2[[#This Row],[Age]]&gt;=97,"Greatest")</f>
        <v>Gen X</v>
      </c>
      <c r="E1931" s="1">
        <v>87602</v>
      </c>
      <c r="F1931">
        <v>25</v>
      </c>
      <c r="G1931" t="str" cm="1">
        <f t="array" ref="G1931">_xlfn.IFS(Table2[[#This Row],[Spending Score (1-100)]]&lt;=25,"Low",Table2[[#This Row],[Spending Score (1-100)]]&lt;=50,"Medium",Table2[[#This Row],[Spending Score (1-100)]]&lt;=75,"High",Table2[[#This Row],[Spending Score (1-100)]]&lt;=100,"Very High")</f>
        <v>Low</v>
      </c>
      <c r="H1931" t="s">
        <v>15</v>
      </c>
      <c r="I1931">
        <v>5</v>
      </c>
      <c r="J1931" t="str">
        <f>CONCATENATE(Table2[[#This Row],[Work Experience]],"years")</f>
        <v>5years</v>
      </c>
      <c r="K1931" t="str">
        <f>CONCATENATE(Table2[[#This Row],[Family Size2]],"members")</f>
        <v>3members</v>
      </c>
      <c r="L1931" t="str">
        <f>CONCATENATE(Table2[[#This Row],[Family Size2]],"members")</f>
        <v>3members</v>
      </c>
      <c r="M1931">
        <v>3</v>
      </c>
    </row>
    <row r="1932" spans="1:13">
      <c r="A1932">
        <v>1931</v>
      </c>
      <c r="B1932" t="s">
        <v>8</v>
      </c>
      <c r="C1932">
        <v>72</v>
      </c>
      <c r="D1932" t="str" cm="1">
        <f t="array" ref="D1932">_xlfn.IFS(Table2[[#This Row],[Age]]&lt;=11,"Gen A",Table2[[#This Row],[Age]]&lt;=27,"Gen Z",Table2[[#This Row],[Age]]&lt;=43,"Millenials",Table2[[#This Row],[Age]]&lt;=59,"Gen X",Table2[[#This Row],[Age]]&lt;=78,"Baby Boomers",Table2[[#This Row],[Age]]&lt;=96,"Silent",Table2[[#This Row],[Age]]&gt;=97,"Greatest")</f>
        <v>Baby Boomers</v>
      </c>
      <c r="E1932" s="1">
        <v>182317</v>
      </c>
      <c r="F1932">
        <v>46</v>
      </c>
      <c r="G1932" t="str" cm="1">
        <f t="array" ref="G1932">_xlfn.IFS(Table2[[#This Row],[Spending Score (1-100)]]&lt;=25,"Low",Table2[[#This Row],[Spending Score (1-100)]]&lt;=50,"Medium",Table2[[#This Row],[Spending Score (1-100)]]&lt;=75,"High",Table2[[#This Row],[Spending Score (1-100)]]&lt;=100,"Very High")</f>
        <v>Medium</v>
      </c>
      <c r="H1932" t="s">
        <v>9</v>
      </c>
      <c r="I1932">
        <v>8</v>
      </c>
      <c r="J1932" t="str">
        <f>CONCATENATE(Table2[[#This Row],[Work Experience]],"years")</f>
        <v>8years</v>
      </c>
      <c r="K1932" t="str">
        <f>CONCATENATE(Table2[[#This Row],[Family Size2]],"members")</f>
        <v>6members</v>
      </c>
      <c r="L1932" t="str">
        <f>CONCATENATE(Table2[[#This Row],[Family Size2]],"members")</f>
        <v>6members</v>
      </c>
      <c r="M1932">
        <v>6</v>
      </c>
    </row>
    <row r="1933" spans="1:13">
      <c r="A1933">
        <v>1932</v>
      </c>
      <c r="B1933" t="s">
        <v>8</v>
      </c>
      <c r="C1933">
        <v>90</v>
      </c>
      <c r="D1933" t="str" cm="1">
        <f t="array" ref="D1933">_xlfn.IFS(Table2[[#This Row],[Age]]&lt;=11,"Gen A",Table2[[#This Row],[Age]]&lt;=27,"Gen Z",Table2[[#This Row],[Age]]&lt;=43,"Millenials",Table2[[#This Row],[Age]]&lt;=59,"Gen X",Table2[[#This Row],[Age]]&lt;=78,"Baby Boomers",Table2[[#This Row],[Age]]&lt;=96,"Silent",Table2[[#This Row],[Age]]&gt;=97,"Greatest")</f>
        <v>Silent</v>
      </c>
      <c r="E1933" s="1">
        <v>158280</v>
      </c>
      <c r="F1933">
        <v>92</v>
      </c>
      <c r="G1933" t="str" cm="1">
        <f t="array" ref="G1933">_xlfn.IFS(Table2[[#This Row],[Spending Score (1-100)]]&lt;=25,"Low",Table2[[#This Row],[Spending Score (1-100)]]&lt;=50,"Medium",Table2[[#This Row],[Spending Score (1-100)]]&lt;=75,"High",Table2[[#This Row],[Spending Score (1-100)]]&lt;=100,"Very High")</f>
        <v>Very High</v>
      </c>
      <c r="H1933" t="s">
        <v>15</v>
      </c>
      <c r="I1933">
        <v>6</v>
      </c>
      <c r="J1933" t="str">
        <f>CONCATENATE(Table2[[#This Row],[Work Experience]],"years")</f>
        <v>6years</v>
      </c>
      <c r="K1933" t="str">
        <f>CONCATENATE(Table2[[#This Row],[Family Size2]],"members")</f>
        <v>7members</v>
      </c>
      <c r="L1933" t="str">
        <f>CONCATENATE(Table2[[#This Row],[Family Size2]],"members")</f>
        <v>7members</v>
      </c>
      <c r="M1933">
        <v>7</v>
      </c>
    </row>
    <row r="1934" spans="1:13">
      <c r="A1934">
        <v>1933</v>
      </c>
      <c r="B1934" t="s">
        <v>11</v>
      </c>
      <c r="C1934">
        <v>23</v>
      </c>
      <c r="D1934" t="str" cm="1">
        <f t="array" ref="D1934">_xlfn.IFS(Table2[[#This Row],[Age]]&lt;=11,"Gen A",Table2[[#This Row],[Age]]&lt;=27,"Gen Z",Table2[[#This Row],[Age]]&lt;=43,"Millenials",Table2[[#This Row],[Age]]&lt;=59,"Gen X",Table2[[#This Row],[Age]]&lt;=78,"Baby Boomers",Table2[[#This Row],[Age]]&lt;=96,"Silent",Table2[[#This Row],[Age]]&gt;=97,"Greatest")</f>
        <v>Gen Z</v>
      </c>
      <c r="E1934" s="1">
        <v>59905</v>
      </c>
      <c r="F1934">
        <v>79</v>
      </c>
      <c r="G1934" t="str" cm="1">
        <f t="array" ref="G1934">_xlfn.IFS(Table2[[#This Row],[Spending Score (1-100)]]&lt;=25,"Low",Table2[[#This Row],[Spending Score (1-100)]]&lt;=50,"Medium",Table2[[#This Row],[Spending Score (1-100)]]&lt;=75,"High",Table2[[#This Row],[Spending Score (1-100)]]&lt;=100,"Very High")</f>
        <v>Very High</v>
      </c>
      <c r="H1934" t="s">
        <v>19</v>
      </c>
      <c r="I1934">
        <v>7</v>
      </c>
      <c r="J1934" t="str">
        <f>CONCATENATE(Table2[[#This Row],[Work Experience]],"years")</f>
        <v>7years</v>
      </c>
      <c r="K1934" t="str">
        <f>CONCATENATE(Table2[[#This Row],[Family Size2]],"members")</f>
        <v>5members</v>
      </c>
      <c r="L1934" t="str">
        <f>CONCATENATE(Table2[[#This Row],[Family Size2]],"members")</f>
        <v>5members</v>
      </c>
      <c r="M1934">
        <v>5</v>
      </c>
    </row>
    <row r="1935" spans="1:13">
      <c r="A1935">
        <v>1934</v>
      </c>
      <c r="B1935" t="s">
        <v>11</v>
      </c>
      <c r="C1935">
        <v>87</v>
      </c>
      <c r="D1935" t="str" cm="1">
        <f t="array" ref="D1935">_xlfn.IFS(Table2[[#This Row],[Age]]&lt;=11,"Gen A",Table2[[#This Row],[Age]]&lt;=27,"Gen Z",Table2[[#This Row],[Age]]&lt;=43,"Millenials",Table2[[#This Row],[Age]]&lt;=59,"Gen X",Table2[[#This Row],[Age]]&lt;=78,"Baby Boomers",Table2[[#This Row],[Age]]&lt;=96,"Silent",Table2[[#This Row],[Age]]&gt;=97,"Greatest")</f>
        <v>Silent</v>
      </c>
      <c r="E1935" s="1">
        <v>128153</v>
      </c>
      <c r="F1935">
        <v>42</v>
      </c>
      <c r="G1935" t="str" cm="1">
        <f t="array" ref="G1935">_xlfn.IFS(Table2[[#This Row],[Spending Score (1-100)]]&lt;=25,"Low",Table2[[#This Row],[Spending Score (1-100)]]&lt;=50,"Medium",Table2[[#This Row],[Spending Score (1-100)]]&lt;=75,"High",Table2[[#This Row],[Spending Score (1-100)]]&lt;=100,"Very High")</f>
        <v>Medium</v>
      </c>
      <c r="H1935" t="s">
        <v>14</v>
      </c>
      <c r="I1935">
        <v>7</v>
      </c>
      <c r="J1935" t="str">
        <f>CONCATENATE(Table2[[#This Row],[Work Experience]],"years")</f>
        <v>7years</v>
      </c>
      <c r="K1935" t="str">
        <f>CONCATENATE(Table2[[#This Row],[Family Size2]],"members")</f>
        <v>6members</v>
      </c>
      <c r="L1935" t="str">
        <f>CONCATENATE(Table2[[#This Row],[Family Size2]],"members")</f>
        <v>6members</v>
      </c>
      <c r="M1935">
        <v>6</v>
      </c>
    </row>
    <row r="1936" spans="1:13">
      <c r="A1936">
        <v>1935</v>
      </c>
      <c r="B1936" t="s">
        <v>8</v>
      </c>
      <c r="C1936">
        <v>64</v>
      </c>
      <c r="D1936" t="str" cm="1">
        <f t="array" ref="D1936">_xlfn.IFS(Table2[[#This Row],[Age]]&lt;=11,"Gen A",Table2[[#This Row],[Age]]&lt;=27,"Gen Z",Table2[[#This Row],[Age]]&lt;=43,"Millenials",Table2[[#This Row],[Age]]&lt;=59,"Gen X",Table2[[#This Row],[Age]]&lt;=78,"Baby Boomers",Table2[[#This Row],[Age]]&lt;=96,"Silent",Table2[[#This Row],[Age]]&gt;=97,"Greatest")</f>
        <v>Baby Boomers</v>
      </c>
      <c r="E1936" s="1">
        <v>142612</v>
      </c>
      <c r="F1936">
        <v>58</v>
      </c>
      <c r="G1936" t="str" cm="1">
        <f t="array" ref="G1936">_xlfn.IFS(Table2[[#This Row],[Spending Score (1-100)]]&lt;=25,"Low",Table2[[#This Row],[Spending Score (1-100)]]&lt;=50,"Medium",Table2[[#This Row],[Spending Score (1-100)]]&lt;=75,"High",Table2[[#This Row],[Spending Score (1-100)]]&lt;=100,"Very High")</f>
        <v>High</v>
      </c>
      <c r="H1936" t="s">
        <v>16</v>
      </c>
      <c r="I1936">
        <v>4</v>
      </c>
      <c r="J1936" t="str">
        <f>CONCATENATE(Table2[[#This Row],[Work Experience]],"years")</f>
        <v>4years</v>
      </c>
      <c r="K1936" t="str">
        <f>CONCATENATE(Table2[[#This Row],[Family Size2]],"members")</f>
        <v>6members</v>
      </c>
      <c r="L1936" t="str">
        <f>CONCATENATE(Table2[[#This Row],[Family Size2]],"members")</f>
        <v>6members</v>
      </c>
      <c r="M1936">
        <v>6</v>
      </c>
    </row>
    <row r="1937" spans="1:13">
      <c r="A1937">
        <v>1936</v>
      </c>
      <c r="B1937" t="s">
        <v>11</v>
      </c>
      <c r="C1937">
        <v>15</v>
      </c>
      <c r="D1937" t="str" cm="1">
        <f t="array" ref="D1937">_xlfn.IFS(Table2[[#This Row],[Age]]&lt;=11,"Gen A",Table2[[#This Row],[Age]]&lt;=27,"Gen Z",Table2[[#This Row],[Age]]&lt;=43,"Millenials",Table2[[#This Row],[Age]]&lt;=59,"Gen X",Table2[[#This Row],[Age]]&lt;=78,"Baby Boomers",Table2[[#This Row],[Age]]&lt;=96,"Silent",Table2[[#This Row],[Age]]&gt;=97,"Greatest")</f>
        <v>Gen Z</v>
      </c>
      <c r="E1937" s="1">
        <v>180163</v>
      </c>
      <c r="F1937">
        <v>9</v>
      </c>
      <c r="G1937" t="str" cm="1">
        <f t="array" ref="G1937">_xlfn.IFS(Table2[[#This Row],[Spending Score (1-100)]]&lt;=25,"Low",Table2[[#This Row],[Spending Score (1-100)]]&lt;=50,"Medium",Table2[[#This Row],[Spending Score (1-100)]]&lt;=75,"High",Table2[[#This Row],[Spending Score (1-100)]]&lt;=100,"Very High")</f>
        <v>Low</v>
      </c>
      <c r="H1937" t="s">
        <v>16</v>
      </c>
      <c r="I1937">
        <v>10</v>
      </c>
      <c r="J1937" t="str">
        <f>CONCATENATE(Table2[[#This Row],[Work Experience]],"years")</f>
        <v>10years</v>
      </c>
      <c r="K1937" t="str">
        <f>CONCATENATE(Table2[[#This Row],[Family Size2]],"members")</f>
        <v>7members</v>
      </c>
      <c r="L1937" t="str">
        <f>CONCATENATE(Table2[[#This Row],[Family Size2]],"members")</f>
        <v>7members</v>
      </c>
      <c r="M1937">
        <v>7</v>
      </c>
    </row>
    <row r="1938" spans="1:13">
      <c r="A1938">
        <v>1937</v>
      </c>
      <c r="B1938" t="s">
        <v>11</v>
      </c>
      <c r="C1938">
        <v>14</v>
      </c>
      <c r="D1938" t="str" cm="1">
        <f t="array" ref="D1938">_xlfn.IFS(Table2[[#This Row],[Age]]&lt;=11,"Gen A",Table2[[#This Row],[Age]]&lt;=27,"Gen Z",Table2[[#This Row],[Age]]&lt;=43,"Millenials",Table2[[#This Row],[Age]]&lt;=59,"Gen X",Table2[[#This Row],[Age]]&lt;=78,"Baby Boomers",Table2[[#This Row],[Age]]&lt;=96,"Silent",Table2[[#This Row],[Age]]&gt;=97,"Greatest")</f>
        <v>Gen Z</v>
      </c>
      <c r="E1938" s="1">
        <v>68009</v>
      </c>
      <c r="F1938">
        <v>17</v>
      </c>
      <c r="G1938" t="str" cm="1">
        <f t="array" ref="G1938">_xlfn.IFS(Table2[[#This Row],[Spending Score (1-100)]]&lt;=25,"Low",Table2[[#This Row],[Spending Score (1-100)]]&lt;=50,"Medium",Table2[[#This Row],[Spending Score (1-100)]]&lt;=75,"High",Table2[[#This Row],[Spending Score (1-100)]]&lt;=100,"Very High")</f>
        <v>Low</v>
      </c>
      <c r="H1938" t="s">
        <v>14</v>
      </c>
      <c r="I1938">
        <v>9</v>
      </c>
      <c r="J1938" t="str">
        <f>CONCATENATE(Table2[[#This Row],[Work Experience]],"years")</f>
        <v>9years</v>
      </c>
      <c r="K1938" t="str">
        <f>CONCATENATE(Table2[[#This Row],[Family Size2]],"members")</f>
        <v>3members</v>
      </c>
      <c r="L1938" t="str">
        <f>CONCATENATE(Table2[[#This Row],[Family Size2]],"members")</f>
        <v>3members</v>
      </c>
      <c r="M1938">
        <v>3</v>
      </c>
    </row>
    <row r="1939" spans="1:13">
      <c r="A1939">
        <v>1938</v>
      </c>
      <c r="B1939" t="s">
        <v>8</v>
      </c>
      <c r="C1939">
        <v>54</v>
      </c>
      <c r="D1939" t="str" cm="1">
        <f t="array" ref="D1939">_xlfn.IFS(Table2[[#This Row],[Age]]&lt;=11,"Gen A",Table2[[#This Row],[Age]]&lt;=27,"Gen Z",Table2[[#This Row],[Age]]&lt;=43,"Millenials",Table2[[#This Row],[Age]]&lt;=59,"Gen X",Table2[[#This Row],[Age]]&lt;=78,"Baby Boomers",Table2[[#This Row],[Age]]&lt;=96,"Silent",Table2[[#This Row],[Age]]&gt;=97,"Greatest")</f>
        <v>Gen X</v>
      </c>
      <c r="E1939" s="1">
        <v>166183</v>
      </c>
      <c r="F1939">
        <v>65</v>
      </c>
      <c r="G1939" t="str" cm="1">
        <f t="array" ref="G1939">_xlfn.IFS(Table2[[#This Row],[Spending Score (1-100)]]&lt;=25,"Low",Table2[[#This Row],[Spending Score (1-100)]]&lt;=50,"Medium",Table2[[#This Row],[Spending Score (1-100)]]&lt;=75,"High",Table2[[#This Row],[Spending Score (1-100)]]&lt;=100,"Very High")</f>
        <v>High</v>
      </c>
      <c r="H1939" t="s">
        <v>14</v>
      </c>
      <c r="I1939">
        <v>7</v>
      </c>
      <c r="J1939" t="str">
        <f>CONCATENATE(Table2[[#This Row],[Work Experience]],"years")</f>
        <v>7years</v>
      </c>
      <c r="K1939" t="str">
        <f>CONCATENATE(Table2[[#This Row],[Family Size2]],"members")</f>
        <v>6members</v>
      </c>
      <c r="L1939" t="str">
        <f>CONCATENATE(Table2[[#This Row],[Family Size2]],"members")</f>
        <v>6members</v>
      </c>
      <c r="M1939">
        <v>6</v>
      </c>
    </row>
    <row r="1940" spans="1:13">
      <c r="A1940">
        <v>1939</v>
      </c>
      <c r="B1940" t="s">
        <v>8</v>
      </c>
      <c r="C1940">
        <v>76</v>
      </c>
      <c r="D1940" t="str" cm="1">
        <f t="array" ref="D1940">_xlfn.IFS(Table2[[#This Row],[Age]]&lt;=11,"Gen A",Table2[[#This Row],[Age]]&lt;=27,"Gen Z",Table2[[#This Row],[Age]]&lt;=43,"Millenials",Table2[[#This Row],[Age]]&lt;=59,"Gen X",Table2[[#This Row],[Age]]&lt;=78,"Baby Boomers",Table2[[#This Row],[Age]]&lt;=96,"Silent",Table2[[#This Row],[Age]]&gt;=97,"Greatest")</f>
        <v>Baby Boomers</v>
      </c>
      <c r="E1940" s="1">
        <v>132537</v>
      </c>
      <c r="F1940">
        <v>44</v>
      </c>
      <c r="G1940" t="str" cm="1">
        <f t="array" ref="G1940">_xlfn.IFS(Table2[[#This Row],[Spending Score (1-100)]]&lt;=25,"Low",Table2[[#This Row],[Spending Score (1-100)]]&lt;=50,"Medium",Table2[[#This Row],[Spending Score (1-100)]]&lt;=75,"High",Table2[[#This Row],[Spending Score (1-100)]]&lt;=100,"Very High")</f>
        <v>Medium</v>
      </c>
      <c r="H1940" t="s">
        <v>16</v>
      </c>
      <c r="I1940">
        <v>5</v>
      </c>
      <c r="J1940" t="str">
        <f>CONCATENATE(Table2[[#This Row],[Work Experience]],"years")</f>
        <v>5years</v>
      </c>
      <c r="K1940" t="str">
        <f>CONCATENATE(Table2[[#This Row],[Family Size2]],"members")</f>
        <v>3members</v>
      </c>
      <c r="L1940" t="str">
        <f>CONCATENATE(Table2[[#This Row],[Family Size2]],"members")</f>
        <v>3members</v>
      </c>
      <c r="M1940">
        <v>3</v>
      </c>
    </row>
    <row r="1941" spans="1:13">
      <c r="A1941">
        <v>1940</v>
      </c>
      <c r="B1941" t="s">
        <v>11</v>
      </c>
      <c r="C1941">
        <v>76</v>
      </c>
      <c r="D1941" t="str" cm="1">
        <f t="array" ref="D1941">_xlfn.IFS(Table2[[#This Row],[Age]]&lt;=11,"Gen A",Table2[[#This Row],[Age]]&lt;=27,"Gen Z",Table2[[#This Row],[Age]]&lt;=43,"Millenials",Table2[[#This Row],[Age]]&lt;=59,"Gen X",Table2[[#This Row],[Age]]&lt;=78,"Baby Boomers",Table2[[#This Row],[Age]]&lt;=96,"Silent",Table2[[#This Row],[Age]]&gt;=97,"Greatest")</f>
        <v>Baby Boomers</v>
      </c>
      <c r="E1941" s="1">
        <v>146308</v>
      </c>
      <c r="F1941">
        <v>49</v>
      </c>
      <c r="G1941" t="str" cm="1">
        <f t="array" ref="G1941">_xlfn.IFS(Table2[[#This Row],[Spending Score (1-100)]]&lt;=25,"Low",Table2[[#This Row],[Spending Score (1-100)]]&lt;=50,"Medium",Table2[[#This Row],[Spending Score (1-100)]]&lt;=75,"High",Table2[[#This Row],[Spending Score (1-100)]]&lt;=100,"Very High")</f>
        <v>Medium</v>
      </c>
      <c r="H1941" t="s">
        <v>14</v>
      </c>
      <c r="I1941">
        <v>5</v>
      </c>
      <c r="J1941" t="str">
        <f>CONCATENATE(Table2[[#This Row],[Work Experience]],"years")</f>
        <v>5years</v>
      </c>
      <c r="K1941" t="str">
        <f>CONCATENATE(Table2[[#This Row],[Family Size2]],"members")</f>
        <v>1members</v>
      </c>
      <c r="L1941" t="str">
        <f>CONCATENATE(Table2[[#This Row],[Family Size2]],"members")</f>
        <v>1members</v>
      </c>
      <c r="M1941">
        <v>1</v>
      </c>
    </row>
    <row r="1942" spans="1:13">
      <c r="A1942">
        <v>1941</v>
      </c>
      <c r="B1942" t="s">
        <v>11</v>
      </c>
      <c r="C1942">
        <v>52</v>
      </c>
      <c r="D1942" t="str" cm="1">
        <f t="array" ref="D1942">_xlfn.IFS(Table2[[#This Row],[Age]]&lt;=11,"Gen A",Table2[[#This Row],[Age]]&lt;=27,"Gen Z",Table2[[#This Row],[Age]]&lt;=43,"Millenials",Table2[[#This Row],[Age]]&lt;=59,"Gen X",Table2[[#This Row],[Age]]&lt;=78,"Baby Boomers",Table2[[#This Row],[Age]]&lt;=96,"Silent",Table2[[#This Row],[Age]]&gt;=97,"Greatest")</f>
        <v>Gen X</v>
      </c>
      <c r="E1942" s="1">
        <v>63454</v>
      </c>
      <c r="F1942">
        <v>38</v>
      </c>
      <c r="G1942" t="str" cm="1">
        <f t="array" ref="G1942">_xlfn.IFS(Table2[[#This Row],[Spending Score (1-100)]]&lt;=25,"Low",Table2[[#This Row],[Spending Score (1-100)]]&lt;=50,"Medium",Table2[[#This Row],[Spending Score (1-100)]]&lt;=75,"High",Table2[[#This Row],[Spending Score (1-100)]]&lt;=100,"Very High")</f>
        <v>Medium</v>
      </c>
      <c r="H1942" t="s">
        <v>14</v>
      </c>
      <c r="I1942">
        <v>5</v>
      </c>
      <c r="J1942" t="str">
        <f>CONCATENATE(Table2[[#This Row],[Work Experience]],"years")</f>
        <v>5years</v>
      </c>
      <c r="K1942" t="str">
        <f>CONCATENATE(Table2[[#This Row],[Family Size2]],"members")</f>
        <v>5members</v>
      </c>
      <c r="L1942" t="str">
        <f>CONCATENATE(Table2[[#This Row],[Family Size2]],"members")</f>
        <v>5members</v>
      </c>
      <c r="M1942">
        <v>5</v>
      </c>
    </row>
    <row r="1943" spans="1:13">
      <c r="A1943">
        <v>1942</v>
      </c>
      <c r="B1943" t="s">
        <v>8</v>
      </c>
      <c r="C1943">
        <v>96</v>
      </c>
      <c r="D1943" t="str" cm="1">
        <f t="array" ref="D1943">_xlfn.IFS(Table2[[#This Row],[Age]]&lt;=11,"Gen A",Table2[[#This Row],[Age]]&lt;=27,"Gen Z",Table2[[#This Row],[Age]]&lt;=43,"Millenials",Table2[[#This Row],[Age]]&lt;=59,"Gen X",Table2[[#This Row],[Age]]&lt;=78,"Baby Boomers",Table2[[#This Row],[Age]]&lt;=96,"Silent",Table2[[#This Row],[Age]]&gt;=97,"Greatest")</f>
        <v>Silent</v>
      </c>
      <c r="E1943" s="1">
        <v>110519</v>
      </c>
      <c r="F1943">
        <v>6</v>
      </c>
      <c r="G1943" t="str" cm="1">
        <f t="array" ref="G1943">_xlfn.IFS(Table2[[#This Row],[Spending Score (1-100)]]&lt;=25,"Low",Table2[[#This Row],[Spending Score (1-100)]]&lt;=50,"Medium",Table2[[#This Row],[Spending Score (1-100)]]&lt;=75,"High",Table2[[#This Row],[Spending Score (1-100)]]&lt;=100,"Very High")</f>
        <v>Low</v>
      </c>
      <c r="H1943" t="s">
        <v>14</v>
      </c>
      <c r="I1943">
        <v>9</v>
      </c>
      <c r="J1943" t="str">
        <f>CONCATENATE(Table2[[#This Row],[Work Experience]],"years")</f>
        <v>9years</v>
      </c>
      <c r="K1943" t="str">
        <f>CONCATENATE(Table2[[#This Row],[Family Size2]],"members")</f>
        <v>4members</v>
      </c>
      <c r="L1943" t="str">
        <f>CONCATENATE(Table2[[#This Row],[Family Size2]],"members")</f>
        <v>4members</v>
      </c>
      <c r="M1943">
        <v>4</v>
      </c>
    </row>
    <row r="1944" spans="1:13">
      <c r="A1944">
        <v>1943</v>
      </c>
      <c r="B1944" t="s">
        <v>11</v>
      </c>
      <c r="C1944">
        <v>55</v>
      </c>
      <c r="D1944" t="str" cm="1">
        <f t="array" ref="D1944">_xlfn.IFS(Table2[[#This Row],[Age]]&lt;=11,"Gen A",Table2[[#This Row],[Age]]&lt;=27,"Gen Z",Table2[[#This Row],[Age]]&lt;=43,"Millenials",Table2[[#This Row],[Age]]&lt;=59,"Gen X",Table2[[#This Row],[Age]]&lt;=78,"Baby Boomers",Table2[[#This Row],[Age]]&lt;=96,"Silent",Table2[[#This Row],[Age]]&gt;=97,"Greatest")</f>
        <v>Gen X</v>
      </c>
      <c r="E1944" s="1">
        <v>66728</v>
      </c>
      <c r="F1944">
        <v>50</v>
      </c>
      <c r="G1944" t="str" cm="1">
        <f t="array" ref="G1944">_xlfn.IFS(Table2[[#This Row],[Spending Score (1-100)]]&lt;=25,"Low",Table2[[#This Row],[Spending Score (1-100)]]&lt;=50,"Medium",Table2[[#This Row],[Spending Score (1-100)]]&lt;=75,"High",Table2[[#This Row],[Spending Score (1-100)]]&lt;=100,"Very High")</f>
        <v>Medium</v>
      </c>
      <c r="H1944" t="s">
        <v>9</v>
      </c>
      <c r="I1944">
        <v>10</v>
      </c>
      <c r="J1944" t="str">
        <f>CONCATENATE(Table2[[#This Row],[Work Experience]],"years")</f>
        <v>10years</v>
      </c>
      <c r="K1944" t="str">
        <f>CONCATENATE(Table2[[#This Row],[Family Size2]],"members")</f>
        <v>5members</v>
      </c>
      <c r="L1944" t="str">
        <f>CONCATENATE(Table2[[#This Row],[Family Size2]],"members")</f>
        <v>5members</v>
      </c>
      <c r="M1944">
        <v>5</v>
      </c>
    </row>
    <row r="1945" spans="1:13">
      <c r="A1945">
        <v>1944</v>
      </c>
      <c r="B1945" t="s">
        <v>11</v>
      </c>
      <c r="C1945">
        <v>54</v>
      </c>
      <c r="D1945" t="str" cm="1">
        <f t="array" ref="D1945">_xlfn.IFS(Table2[[#This Row],[Age]]&lt;=11,"Gen A",Table2[[#This Row],[Age]]&lt;=27,"Gen Z",Table2[[#This Row],[Age]]&lt;=43,"Millenials",Table2[[#This Row],[Age]]&lt;=59,"Gen X",Table2[[#This Row],[Age]]&lt;=78,"Baby Boomers",Table2[[#This Row],[Age]]&lt;=96,"Silent",Table2[[#This Row],[Age]]&gt;=97,"Greatest")</f>
        <v>Gen X</v>
      </c>
      <c r="E1945" s="1">
        <v>170638</v>
      </c>
      <c r="F1945">
        <v>64</v>
      </c>
      <c r="G1945" t="str" cm="1">
        <f t="array" ref="G1945">_xlfn.IFS(Table2[[#This Row],[Spending Score (1-100)]]&lt;=25,"Low",Table2[[#This Row],[Spending Score (1-100)]]&lt;=50,"Medium",Table2[[#This Row],[Spending Score (1-100)]]&lt;=75,"High",Table2[[#This Row],[Spending Score (1-100)]]&lt;=100,"Very High")</f>
        <v>High</v>
      </c>
      <c r="H1945" t="s">
        <v>14</v>
      </c>
      <c r="I1945">
        <v>4</v>
      </c>
      <c r="J1945" t="str">
        <f>CONCATENATE(Table2[[#This Row],[Work Experience]],"years")</f>
        <v>4years</v>
      </c>
      <c r="K1945" t="str">
        <f>CONCATENATE(Table2[[#This Row],[Family Size2]],"members")</f>
        <v>5members</v>
      </c>
      <c r="L1945" t="str">
        <f>CONCATENATE(Table2[[#This Row],[Family Size2]],"members")</f>
        <v>5members</v>
      </c>
      <c r="M1945">
        <v>5</v>
      </c>
    </row>
    <row r="1946" spans="1:13">
      <c r="A1946">
        <v>1945</v>
      </c>
      <c r="B1946" t="s">
        <v>8</v>
      </c>
      <c r="C1946">
        <v>19</v>
      </c>
      <c r="D1946" t="str" cm="1">
        <f t="array" ref="D1946">_xlfn.IFS(Table2[[#This Row],[Age]]&lt;=11,"Gen A",Table2[[#This Row],[Age]]&lt;=27,"Gen Z",Table2[[#This Row],[Age]]&lt;=43,"Millenials",Table2[[#This Row],[Age]]&lt;=59,"Gen X",Table2[[#This Row],[Age]]&lt;=78,"Baby Boomers",Table2[[#This Row],[Age]]&lt;=96,"Silent",Table2[[#This Row],[Age]]&gt;=97,"Greatest")</f>
        <v>Gen Z</v>
      </c>
      <c r="E1946" s="1">
        <v>129635</v>
      </c>
      <c r="F1946">
        <v>100</v>
      </c>
      <c r="G1946" t="str" cm="1">
        <f t="array" ref="G1946">_xlfn.IFS(Table2[[#This Row],[Spending Score (1-100)]]&lt;=25,"Low",Table2[[#This Row],[Spending Score (1-100)]]&lt;=50,"Medium",Table2[[#This Row],[Spending Score (1-100)]]&lt;=75,"High",Table2[[#This Row],[Spending Score (1-100)]]&lt;=100,"Very High")</f>
        <v>Very High</v>
      </c>
      <c r="H1946" t="s">
        <v>14</v>
      </c>
      <c r="I1946">
        <v>6</v>
      </c>
      <c r="J1946" t="str">
        <f>CONCATENATE(Table2[[#This Row],[Work Experience]],"years")</f>
        <v>6years</v>
      </c>
      <c r="K1946" t="str">
        <f>CONCATENATE(Table2[[#This Row],[Family Size2]],"members")</f>
        <v>4members</v>
      </c>
      <c r="L1946" t="str">
        <f>CONCATENATE(Table2[[#This Row],[Family Size2]],"members")</f>
        <v>4members</v>
      </c>
      <c r="M1946">
        <v>4</v>
      </c>
    </row>
    <row r="1947" spans="1:13">
      <c r="A1947">
        <v>1946</v>
      </c>
      <c r="B1947" t="s">
        <v>8</v>
      </c>
      <c r="C1947">
        <v>29</v>
      </c>
      <c r="D1947" t="str" cm="1">
        <f t="array" ref="D1947">_xlfn.IFS(Table2[[#This Row],[Age]]&lt;=11,"Gen A",Table2[[#This Row],[Age]]&lt;=27,"Gen Z",Table2[[#This Row],[Age]]&lt;=43,"Millenials",Table2[[#This Row],[Age]]&lt;=59,"Gen X",Table2[[#This Row],[Age]]&lt;=78,"Baby Boomers",Table2[[#This Row],[Age]]&lt;=96,"Silent",Table2[[#This Row],[Age]]&gt;=97,"Greatest")</f>
        <v>Millenials</v>
      </c>
      <c r="E1947" s="1">
        <v>133587</v>
      </c>
      <c r="F1947">
        <v>74</v>
      </c>
      <c r="G1947" t="str" cm="1">
        <f t="array" ref="G1947">_xlfn.IFS(Table2[[#This Row],[Spending Score (1-100)]]&lt;=25,"Low",Table2[[#This Row],[Spending Score (1-100)]]&lt;=50,"Medium",Table2[[#This Row],[Spending Score (1-100)]]&lt;=75,"High",Table2[[#This Row],[Spending Score (1-100)]]&lt;=100,"Very High")</f>
        <v>High</v>
      </c>
      <c r="H1947" t="s">
        <v>18</v>
      </c>
      <c r="I1947">
        <v>5</v>
      </c>
      <c r="J1947" t="str">
        <f>CONCATENATE(Table2[[#This Row],[Work Experience]],"years")</f>
        <v>5years</v>
      </c>
      <c r="K1947" t="str">
        <f>CONCATENATE(Table2[[#This Row],[Family Size2]],"members")</f>
        <v>3members</v>
      </c>
      <c r="L1947" t="str">
        <f>CONCATENATE(Table2[[#This Row],[Family Size2]],"members")</f>
        <v>3members</v>
      </c>
      <c r="M1947">
        <v>3</v>
      </c>
    </row>
    <row r="1948" spans="1:13">
      <c r="A1948">
        <v>1947</v>
      </c>
      <c r="B1948" t="s">
        <v>8</v>
      </c>
      <c r="C1948">
        <v>96</v>
      </c>
      <c r="D1948" t="str" cm="1">
        <f t="array" ref="D1948">_xlfn.IFS(Table2[[#This Row],[Age]]&lt;=11,"Gen A",Table2[[#This Row],[Age]]&lt;=27,"Gen Z",Table2[[#This Row],[Age]]&lt;=43,"Millenials",Table2[[#This Row],[Age]]&lt;=59,"Gen X",Table2[[#This Row],[Age]]&lt;=78,"Baby Boomers",Table2[[#This Row],[Age]]&lt;=96,"Silent",Table2[[#This Row],[Age]]&gt;=97,"Greatest")</f>
        <v>Silent</v>
      </c>
      <c r="E1948" s="1">
        <v>126225</v>
      </c>
      <c r="F1948">
        <v>47</v>
      </c>
      <c r="G1948" t="str" cm="1">
        <f t="array" ref="G1948">_xlfn.IFS(Table2[[#This Row],[Spending Score (1-100)]]&lt;=25,"Low",Table2[[#This Row],[Spending Score (1-100)]]&lt;=50,"Medium",Table2[[#This Row],[Spending Score (1-100)]]&lt;=75,"High",Table2[[#This Row],[Spending Score (1-100)]]&lt;=100,"Very High")</f>
        <v>Medium</v>
      </c>
      <c r="H1948" t="s">
        <v>10</v>
      </c>
      <c r="I1948">
        <v>7</v>
      </c>
      <c r="J1948" t="str">
        <f>CONCATENATE(Table2[[#This Row],[Work Experience]],"years")</f>
        <v>7years</v>
      </c>
      <c r="K1948" t="str">
        <f>CONCATENATE(Table2[[#This Row],[Family Size2]],"members")</f>
        <v>4members</v>
      </c>
      <c r="L1948" t="str">
        <f>CONCATENATE(Table2[[#This Row],[Family Size2]],"members")</f>
        <v>4members</v>
      </c>
      <c r="M1948">
        <v>4</v>
      </c>
    </row>
    <row r="1949" spans="1:13">
      <c r="A1949">
        <v>1948</v>
      </c>
      <c r="B1949" t="s">
        <v>11</v>
      </c>
      <c r="C1949">
        <v>20</v>
      </c>
      <c r="D1949" t="str" cm="1">
        <f t="array" ref="D1949">_xlfn.IFS(Table2[[#This Row],[Age]]&lt;=11,"Gen A",Table2[[#This Row],[Age]]&lt;=27,"Gen Z",Table2[[#This Row],[Age]]&lt;=43,"Millenials",Table2[[#This Row],[Age]]&lt;=59,"Gen X",Table2[[#This Row],[Age]]&lt;=78,"Baby Boomers",Table2[[#This Row],[Age]]&lt;=96,"Silent",Table2[[#This Row],[Age]]&gt;=97,"Greatest")</f>
        <v>Gen Z</v>
      </c>
      <c r="E1949" s="1">
        <v>148776</v>
      </c>
      <c r="F1949">
        <v>21</v>
      </c>
      <c r="G1949" t="str" cm="1">
        <f t="array" ref="G1949">_xlfn.IFS(Table2[[#This Row],[Spending Score (1-100)]]&lt;=25,"Low",Table2[[#This Row],[Spending Score (1-100)]]&lt;=50,"Medium",Table2[[#This Row],[Spending Score (1-100)]]&lt;=75,"High",Table2[[#This Row],[Spending Score (1-100)]]&lt;=100,"Very High")</f>
        <v>Low</v>
      </c>
      <c r="H1949" t="s">
        <v>14</v>
      </c>
      <c r="I1949">
        <v>8</v>
      </c>
      <c r="J1949" t="str">
        <f>CONCATENATE(Table2[[#This Row],[Work Experience]],"years")</f>
        <v>8years</v>
      </c>
      <c r="K1949" t="str">
        <f>CONCATENATE(Table2[[#This Row],[Family Size2]],"members")</f>
        <v>5members</v>
      </c>
      <c r="L1949" t="str">
        <f>CONCATENATE(Table2[[#This Row],[Family Size2]],"members")</f>
        <v>5members</v>
      </c>
      <c r="M1949">
        <v>5</v>
      </c>
    </row>
    <row r="1950" spans="1:13">
      <c r="A1950">
        <v>1949</v>
      </c>
      <c r="B1950" t="s">
        <v>11</v>
      </c>
      <c r="C1950">
        <v>91</v>
      </c>
      <c r="D1950" t="str" cm="1">
        <f t="array" ref="D1950">_xlfn.IFS(Table2[[#This Row],[Age]]&lt;=11,"Gen A",Table2[[#This Row],[Age]]&lt;=27,"Gen Z",Table2[[#This Row],[Age]]&lt;=43,"Millenials",Table2[[#This Row],[Age]]&lt;=59,"Gen X",Table2[[#This Row],[Age]]&lt;=78,"Baby Boomers",Table2[[#This Row],[Age]]&lt;=96,"Silent",Table2[[#This Row],[Age]]&gt;=97,"Greatest")</f>
        <v>Silent</v>
      </c>
      <c r="E1950" s="1">
        <v>142602</v>
      </c>
      <c r="F1950">
        <v>64</v>
      </c>
      <c r="G1950" t="str" cm="1">
        <f t="array" ref="G1950">_xlfn.IFS(Table2[[#This Row],[Spending Score (1-100)]]&lt;=25,"Low",Table2[[#This Row],[Spending Score (1-100)]]&lt;=50,"Medium",Table2[[#This Row],[Spending Score (1-100)]]&lt;=75,"High",Table2[[#This Row],[Spending Score (1-100)]]&lt;=100,"Very High")</f>
        <v>High</v>
      </c>
      <c r="H1950" t="s">
        <v>12</v>
      </c>
      <c r="I1950">
        <v>7</v>
      </c>
      <c r="J1950" t="str">
        <f>CONCATENATE(Table2[[#This Row],[Work Experience]],"years")</f>
        <v>7years</v>
      </c>
      <c r="K1950" t="str">
        <f>CONCATENATE(Table2[[#This Row],[Family Size2]],"members")</f>
        <v>6members</v>
      </c>
      <c r="L1950" t="str">
        <f>CONCATENATE(Table2[[#This Row],[Family Size2]],"members")</f>
        <v>6members</v>
      </c>
      <c r="M1950">
        <v>6</v>
      </c>
    </row>
    <row r="1951" spans="1:13">
      <c r="A1951">
        <v>1950</v>
      </c>
      <c r="B1951" t="s">
        <v>8</v>
      </c>
      <c r="C1951">
        <v>37</v>
      </c>
      <c r="D1951" t="str" cm="1">
        <f t="array" ref="D1951">_xlfn.IFS(Table2[[#This Row],[Age]]&lt;=11,"Gen A",Table2[[#This Row],[Age]]&lt;=27,"Gen Z",Table2[[#This Row],[Age]]&lt;=43,"Millenials",Table2[[#This Row],[Age]]&lt;=59,"Gen X",Table2[[#This Row],[Age]]&lt;=78,"Baby Boomers",Table2[[#This Row],[Age]]&lt;=96,"Silent",Table2[[#This Row],[Age]]&gt;=97,"Greatest")</f>
        <v>Millenials</v>
      </c>
      <c r="E1951" s="1">
        <v>102413</v>
      </c>
      <c r="F1951">
        <v>38</v>
      </c>
      <c r="G1951" t="str" cm="1">
        <f t="array" ref="G1951">_xlfn.IFS(Table2[[#This Row],[Spending Score (1-100)]]&lt;=25,"Low",Table2[[#This Row],[Spending Score (1-100)]]&lt;=50,"Medium",Table2[[#This Row],[Spending Score (1-100)]]&lt;=75,"High",Table2[[#This Row],[Spending Score (1-100)]]&lt;=100,"Very High")</f>
        <v>Medium</v>
      </c>
      <c r="H1951" t="s">
        <v>9</v>
      </c>
      <c r="I1951">
        <v>5</v>
      </c>
      <c r="J1951" t="str">
        <f>CONCATENATE(Table2[[#This Row],[Work Experience]],"years")</f>
        <v>5years</v>
      </c>
      <c r="K1951" t="str">
        <f>CONCATENATE(Table2[[#This Row],[Family Size2]],"members")</f>
        <v>5members</v>
      </c>
      <c r="L1951" t="str">
        <f>CONCATENATE(Table2[[#This Row],[Family Size2]],"members")</f>
        <v>5members</v>
      </c>
      <c r="M1951">
        <v>5</v>
      </c>
    </row>
    <row r="1952" spans="1:13">
      <c r="A1952">
        <v>1951</v>
      </c>
      <c r="B1952" t="s">
        <v>8</v>
      </c>
      <c r="C1952">
        <v>42</v>
      </c>
      <c r="D1952" t="str" cm="1">
        <f t="array" ref="D1952">_xlfn.IFS(Table2[[#This Row],[Age]]&lt;=11,"Gen A",Table2[[#This Row],[Age]]&lt;=27,"Gen Z",Table2[[#This Row],[Age]]&lt;=43,"Millenials",Table2[[#This Row],[Age]]&lt;=59,"Gen X",Table2[[#This Row],[Age]]&lt;=78,"Baby Boomers",Table2[[#This Row],[Age]]&lt;=96,"Silent",Table2[[#This Row],[Age]]&gt;=97,"Greatest")</f>
        <v>Millenials</v>
      </c>
      <c r="E1952" s="1">
        <v>68765</v>
      </c>
      <c r="F1952">
        <v>69</v>
      </c>
      <c r="G1952" t="str" cm="1">
        <f t="array" ref="G1952">_xlfn.IFS(Table2[[#This Row],[Spending Score (1-100)]]&lt;=25,"Low",Table2[[#This Row],[Spending Score (1-100)]]&lt;=50,"Medium",Table2[[#This Row],[Spending Score (1-100)]]&lt;=75,"High",Table2[[#This Row],[Spending Score (1-100)]]&lt;=100,"Very High")</f>
        <v>High</v>
      </c>
      <c r="H1952" t="s">
        <v>13</v>
      </c>
      <c r="I1952">
        <v>4</v>
      </c>
      <c r="J1952" t="str">
        <f>CONCATENATE(Table2[[#This Row],[Work Experience]],"years")</f>
        <v>4years</v>
      </c>
      <c r="K1952" t="str">
        <f>CONCATENATE(Table2[[#This Row],[Family Size2]],"members")</f>
        <v>1members</v>
      </c>
      <c r="L1952" t="str">
        <f>CONCATENATE(Table2[[#This Row],[Family Size2]],"members")</f>
        <v>1members</v>
      </c>
      <c r="M1952">
        <v>1</v>
      </c>
    </row>
    <row r="1953" spans="1:13">
      <c r="A1953">
        <v>1952</v>
      </c>
      <c r="B1953" t="s">
        <v>8</v>
      </c>
      <c r="C1953">
        <v>1</v>
      </c>
      <c r="D1953" t="str" cm="1">
        <f t="array" ref="D1953">_xlfn.IFS(Table2[[#This Row],[Age]]&lt;=11,"Gen A",Table2[[#This Row],[Age]]&lt;=27,"Gen Z",Table2[[#This Row],[Age]]&lt;=43,"Millenials",Table2[[#This Row],[Age]]&lt;=59,"Gen X",Table2[[#This Row],[Age]]&lt;=78,"Baby Boomers",Table2[[#This Row],[Age]]&lt;=96,"Silent",Table2[[#This Row],[Age]]&gt;=97,"Greatest")</f>
        <v>Gen A</v>
      </c>
      <c r="E1953" s="1">
        <v>57522</v>
      </c>
      <c r="F1953">
        <v>75</v>
      </c>
      <c r="G1953" t="str" cm="1">
        <f t="array" ref="G1953">_xlfn.IFS(Table2[[#This Row],[Spending Score (1-100)]]&lt;=25,"Low",Table2[[#This Row],[Spending Score (1-100)]]&lt;=50,"Medium",Table2[[#This Row],[Spending Score (1-100)]]&lt;=75,"High",Table2[[#This Row],[Spending Score (1-100)]]&lt;=100,"Very High")</f>
        <v>High</v>
      </c>
      <c r="H1953" t="s">
        <v>14</v>
      </c>
      <c r="I1953">
        <v>10</v>
      </c>
      <c r="J1953" t="str">
        <f>CONCATENATE(Table2[[#This Row],[Work Experience]],"years")</f>
        <v>10years</v>
      </c>
      <c r="K1953" t="str">
        <f>CONCATENATE(Table2[[#This Row],[Family Size2]],"members")</f>
        <v>5members</v>
      </c>
      <c r="L1953" t="str">
        <f>CONCATENATE(Table2[[#This Row],[Family Size2]],"members")</f>
        <v>5members</v>
      </c>
      <c r="M1953">
        <v>5</v>
      </c>
    </row>
    <row r="1954" spans="1:13">
      <c r="A1954">
        <v>1953</v>
      </c>
      <c r="B1954" t="s">
        <v>11</v>
      </c>
      <c r="C1954">
        <v>58</v>
      </c>
      <c r="D1954" t="str" cm="1">
        <f t="array" ref="D1954">_xlfn.IFS(Table2[[#This Row],[Age]]&lt;=11,"Gen A",Table2[[#This Row],[Age]]&lt;=27,"Gen Z",Table2[[#This Row],[Age]]&lt;=43,"Millenials",Table2[[#This Row],[Age]]&lt;=59,"Gen X",Table2[[#This Row],[Age]]&lt;=78,"Baby Boomers",Table2[[#This Row],[Age]]&lt;=96,"Silent",Table2[[#This Row],[Age]]&gt;=97,"Greatest")</f>
        <v>Gen X</v>
      </c>
      <c r="E1954" s="1">
        <v>149237</v>
      </c>
      <c r="F1954">
        <v>80</v>
      </c>
      <c r="G1954" t="str" cm="1">
        <f t="array" ref="G1954">_xlfn.IFS(Table2[[#This Row],[Spending Score (1-100)]]&lt;=25,"Low",Table2[[#This Row],[Spending Score (1-100)]]&lt;=50,"Medium",Table2[[#This Row],[Spending Score (1-100)]]&lt;=75,"High",Table2[[#This Row],[Spending Score (1-100)]]&lt;=100,"Very High")</f>
        <v>Very High</v>
      </c>
      <c r="H1954" t="s">
        <v>13</v>
      </c>
      <c r="I1954">
        <v>8</v>
      </c>
      <c r="J1954" t="str">
        <f>CONCATENATE(Table2[[#This Row],[Work Experience]],"years")</f>
        <v>8years</v>
      </c>
      <c r="K1954" t="str">
        <f>CONCATENATE(Table2[[#This Row],[Family Size2]],"members")</f>
        <v>6members</v>
      </c>
      <c r="L1954" t="str">
        <f>CONCATENATE(Table2[[#This Row],[Family Size2]],"members")</f>
        <v>6members</v>
      </c>
      <c r="M1954">
        <v>6</v>
      </c>
    </row>
    <row r="1955" spans="1:13">
      <c r="A1955">
        <v>1954</v>
      </c>
      <c r="B1955" t="s">
        <v>11</v>
      </c>
      <c r="C1955">
        <v>42</v>
      </c>
      <c r="D1955" t="str" cm="1">
        <f t="array" ref="D1955">_xlfn.IFS(Table2[[#This Row],[Age]]&lt;=11,"Gen A",Table2[[#This Row],[Age]]&lt;=27,"Gen Z",Table2[[#This Row],[Age]]&lt;=43,"Millenials",Table2[[#This Row],[Age]]&lt;=59,"Gen X",Table2[[#This Row],[Age]]&lt;=78,"Baby Boomers",Table2[[#This Row],[Age]]&lt;=96,"Silent",Table2[[#This Row],[Age]]&gt;=97,"Greatest")</f>
        <v>Millenials</v>
      </c>
      <c r="E1955" s="1">
        <v>184844</v>
      </c>
      <c r="F1955">
        <v>24</v>
      </c>
      <c r="G1955" t="str" cm="1">
        <f t="array" ref="G1955">_xlfn.IFS(Table2[[#This Row],[Spending Score (1-100)]]&lt;=25,"Low",Table2[[#This Row],[Spending Score (1-100)]]&lt;=50,"Medium",Table2[[#This Row],[Spending Score (1-100)]]&lt;=75,"High",Table2[[#This Row],[Spending Score (1-100)]]&lt;=100,"Very High")</f>
        <v>Low</v>
      </c>
      <c r="H1955" t="s">
        <v>13</v>
      </c>
      <c r="I1955">
        <v>6</v>
      </c>
      <c r="J1955" t="str">
        <f>CONCATENATE(Table2[[#This Row],[Work Experience]],"years")</f>
        <v>6years</v>
      </c>
      <c r="K1955" t="str">
        <f>CONCATENATE(Table2[[#This Row],[Family Size2]],"members")</f>
        <v>1members</v>
      </c>
      <c r="L1955" t="str">
        <f>CONCATENATE(Table2[[#This Row],[Family Size2]],"members")</f>
        <v>1members</v>
      </c>
      <c r="M1955">
        <v>1</v>
      </c>
    </row>
    <row r="1956" spans="1:13">
      <c r="A1956">
        <v>1955</v>
      </c>
      <c r="B1956" t="s">
        <v>11</v>
      </c>
      <c r="C1956">
        <v>48</v>
      </c>
      <c r="D1956" t="str" cm="1">
        <f t="array" ref="D1956">_xlfn.IFS(Table2[[#This Row],[Age]]&lt;=11,"Gen A",Table2[[#This Row],[Age]]&lt;=27,"Gen Z",Table2[[#This Row],[Age]]&lt;=43,"Millenials",Table2[[#This Row],[Age]]&lt;=59,"Gen X",Table2[[#This Row],[Age]]&lt;=78,"Baby Boomers",Table2[[#This Row],[Age]]&lt;=96,"Silent",Table2[[#This Row],[Age]]&gt;=97,"Greatest")</f>
        <v>Gen X</v>
      </c>
      <c r="E1956" s="1">
        <v>131656</v>
      </c>
      <c r="F1956">
        <v>45</v>
      </c>
      <c r="G1956" t="str" cm="1">
        <f t="array" ref="G1956">_xlfn.IFS(Table2[[#This Row],[Spending Score (1-100)]]&lt;=25,"Low",Table2[[#This Row],[Spending Score (1-100)]]&lt;=50,"Medium",Table2[[#This Row],[Spending Score (1-100)]]&lt;=75,"High",Table2[[#This Row],[Spending Score (1-100)]]&lt;=100,"Very High")</f>
        <v>Medium</v>
      </c>
      <c r="H1956" t="s">
        <v>12</v>
      </c>
      <c r="I1956">
        <v>9</v>
      </c>
      <c r="J1956" t="str">
        <f>CONCATENATE(Table2[[#This Row],[Work Experience]],"years")</f>
        <v>9years</v>
      </c>
      <c r="K1956" t="str">
        <f>CONCATENATE(Table2[[#This Row],[Family Size2]],"members")</f>
        <v>6members</v>
      </c>
      <c r="L1956" t="str">
        <f>CONCATENATE(Table2[[#This Row],[Family Size2]],"members")</f>
        <v>6members</v>
      </c>
      <c r="M1956">
        <v>6</v>
      </c>
    </row>
    <row r="1957" spans="1:13">
      <c r="A1957">
        <v>1956</v>
      </c>
      <c r="B1957" t="s">
        <v>11</v>
      </c>
      <c r="C1957">
        <v>11</v>
      </c>
      <c r="D1957" t="str" cm="1">
        <f t="array" ref="D1957">_xlfn.IFS(Table2[[#This Row],[Age]]&lt;=11,"Gen A",Table2[[#This Row],[Age]]&lt;=27,"Gen Z",Table2[[#This Row],[Age]]&lt;=43,"Millenials",Table2[[#This Row],[Age]]&lt;=59,"Gen X",Table2[[#This Row],[Age]]&lt;=78,"Baby Boomers",Table2[[#This Row],[Age]]&lt;=96,"Silent",Table2[[#This Row],[Age]]&gt;=97,"Greatest")</f>
        <v>Gen A</v>
      </c>
      <c r="E1957" s="1">
        <v>181026</v>
      </c>
      <c r="F1957">
        <v>39</v>
      </c>
      <c r="G1957" t="str" cm="1">
        <f t="array" ref="G1957">_xlfn.IFS(Table2[[#This Row],[Spending Score (1-100)]]&lt;=25,"Low",Table2[[#This Row],[Spending Score (1-100)]]&lt;=50,"Medium",Table2[[#This Row],[Spending Score (1-100)]]&lt;=75,"High",Table2[[#This Row],[Spending Score (1-100)]]&lt;=100,"Very High")</f>
        <v>Medium</v>
      </c>
      <c r="H1957" t="s">
        <v>18</v>
      </c>
      <c r="I1957">
        <v>6</v>
      </c>
      <c r="J1957" t="str">
        <f>CONCATENATE(Table2[[#This Row],[Work Experience]],"years")</f>
        <v>6years</v>
      </c>
      <c r="K1957" t="str">
        <f>CONCATENATE(Table2[[#This Row],[Family Size2]],"members")</f>
        <v>2members</v>
      </c>
      <c r="L1957" t="str">
        <f>CONCATENATE(Table2[[#This Row],[Family Size2]],"members")</f>
        <v>2members</v>
      </c>
      <c r="M1957">
        <v>2</v>
      </c>
    </row>
    <row r="1958" spans="1:13">
      <c r="A1958">
        <v>1957</v>
      </c>
      <c r="B1958" t="s">
        <v>8</v>
      </c>
      <c r="C1958">
        <v>59</v>
      </c>
      <c r="D1958" t="str" cm="1">
        <f t="array" ref="D1958">_xlfn.IFS(Table2[[#This Row],[Age]]&lt;=11,"Gen A",Table2[[#This Row],[Age]]&lt;=27,"Gen Z",Table2[[#This Row],[Age]]&lt;=43,"Millenials",Table2[[#This Row],[Age]]&lt;=59,"Gen X",Table2[[#This Row],[Age]]&lt;=78,"Baby Boomers",Table2[[#This Row],[Age]]&lt;=96,"Silent",Table2[[#This Row],[Age]]&gt;=97,"Greatest")</f>
        <v>Gen X</v>
      </c>
      <c r="E1958" s="1">
        <v>101698</v>
      </c>
      <c r="F1958">
        <v>87</v>
      </c>
      <c r="G1958" t="str" cm="1">
        <f t="array" ref="G1958">_xlfn.IFS(Table2[[#This Row],[Spending Score (1-100)]]&lt;=25,"Low",Table2[[#This Row],[Spending Score (1-100)]]&lt;=50,"Medium",Table2[[#This Row],[Spending Score (1-100)]]&lt;=75,"High",Table2[[#This Row],[Spending Score (1-100)]]&lt;=100,"Very High")</f>
        <v>Very High</v>
      </c>
      <c r="H1958" t="s">
        <v>14</v>
      </c>
      <c r="I1958">
        <v>9</v>
      </c>
      <c r="J1958" t="str">
        <f>CONCATENATE(Table2[[#This Row],[Work Experience]],"years")</f>
        <v>9years</v>
      </c>
      <c r="K1958" t="str">
        <f>CONCATENATE(Table2[[#This Row],[Family Size2]],"members")</f>
        <v>3members</v>
      </c>
      <c r="L1958" t="str">
        <f>CONCATENATE(Table2[[#This Row],[Family Size2]],"members")</f>
        <v>3members</v>
      </c>
      <c r="M1958">
        <v>3</v>
      </c>
    </row>
    <row r="1959" spans="1:13">
      <c r="A1959">
        <v>1958</v>
      </c>
      <c r="B1959" t="s">
        <v>11</v>
      </c>
      <c r="C1959">
        <v>45</v>
      </c>
      <c r="D1959" t="str" cm="1">
        <f t="array" ref="D1959">_xlfn.IFS(Table2[[#This Row],[Age]]&lt;=11,"Gen A",Table2[[#This Row],[Age]]&lt;=27,"Gen Z",Table2[[#This Row],[Age]]&lt;=43,"Millenials",Table2[[#This Row],[Age]]&lt;=59,"Gen X",Table2[[#This Row],[Age]]&lt;=78,"Baby Boomers",Table2[[#This Row],[Age]]&lt;=96,"Silent",Table2[[#This Row],[Age]]&gt;=97,"Greatest")</f>
        <v>Gen X</v>
      </c>
      <c r="E1959" s="1">
        <v>152560</v>
      </c>
      <c r="F1959">
        <v>32</v>
      </c>
      <c r="G1959" t="str" cm="1">
        <f t="array" ref="G1959">_xlfn.IFS(Table2[[#This Row],[Spending Score (1-100)]]&lt;=25,"Low",Table2[[#This Row],[Spending Score (1-100)]]&lt;=50,"Medium",Table2[[#This Row],[Spending Score (1-100)]]&lt;=75,"High",Table2[[#This Row],[Spending Score (1-100)]]&lt;=100,"Very High")</f>
        <v>Medium</v>
      </c>
      <c r="H1959" t="s">
        <v>13</v>
      </c>
      <c r="I1959">
        <v>9</v>
      </c>
      <c r="J1959" t="str">
        <f>CONCATENATE(Table2[[#This Row],[Work Experience]],"years")</f>
        <v>9years</v>
      </c>
      <c r="K1959" t="str">
        <f>CONCATENATE(Table2[[#This Row],[Family Size2]],"members")</f>
        <v>2members</v>
      </c>
      <c r="L1959" t="str">
        <f>CONCATENATE(Table2[[#This Row],[Family Size2]],"members")</f>
        <v>2members</v>
      </c>
      <c r="M1959">
        <v>2</v>
      </c>
    </row>
    <row r="1960" spans="1:13">
      <c r="A1960">
        <v>1959</v>
      </c>
      <c r="B1960" t="s">
        <v>8</v>
      </c>
      <c r="C1960">
        <v>73</v>
      </c>
      <c r="D1960" t="str" cm="1">
        <f t="array" ref="D1960">_xlfn.IFS(Table2[[#This Row],[Age]]&lt;=11,"Gen A",Table2[[#This Row],[Age]]&lt;=27,"Gen Z",Table2[[#This Row],[Age]]&lt;=43,"Millenials",Table2[[#This Row],[Age]]&lt;=59,"Gen X",Table2[[#This Row],[Age]]&lt;=78,"Baby Boomers",Table2[[#This Row],[Age]]&lt;=96,"Silent",Table2[[#This Row],[Age]]&gt;=97,"Greatest")</f>
        <v>Baby Boomers</v>
      </c>
      <c r="E1960" s="1">
        <v>142502</v>
      </c>
      <c r="F1960">
        <v>97</v>
      </c>
      <c r="G1960" t="str" cm="1">
        <f t="array" ref="G1960">_xlfn.IFS(Table2[[#This Row],[Spending Score (1-100)]]&lt;=25,"Low",Table2[[#This Row],[Spending Score (1-100)]]&lt;=50,"Medium",Table2[[#This Row],[Spending Score (1-100)]]&lt;=75,"High",Table2[[#This Row],[Spending Score (1-100)]]&lt;=100,"Very High")</f>
        <v>Very High</v>
      </c>
      <c r="H1960" t="s">
        <v>16</v>
      </c>
      <c r="I1960">
        <v>5</v>
      </c>
      <c r="J1960" t="str">
        <f>CONCATENATE(Table2[[#This Row],[Work Experience]],"years")</f>
        <v>5years</v>
      </c>
      <c r="K1960" t="str">
        <f>CONCATENATE(Table2[[#This Row],[Family Size2]],"members")</f>
        <v>1members</v>
      </c>
      <c r="L1960" t="str">
        <f>CONCATENATE(Table2[[#This Row],[Family Size2]],"members")</f>
        <v>1members</v>
      </c>
      <c r="M1960">
        <v>1</v>
      </c>
    </row>
    <row r="1961" spans="1:13">
      <c r="A1961">
        <v>1960</v>
      </c>
      <c r="B1961" t="s">
        <v>11</v>
      </c>
      <c r="C1961">
        <v>85</v>
      </c>
      <c r="D1961" t="str" cm="1">
        <f t="array" ref="D1961">_xlfn.IFS(Table2[[#This Row],[Age]]&lt;=11,"Gen A",Table2[[#This Row],[Age]]&lt;=27,"Gen Z",Table2[[#This Row],[Age]]&lt;=43,"Millenials",Table2[[#This Row],[Age]]&lt;=59,"Gen X",Table2[[#This Row],[Age]]&lt;=78,"Baby Boomers",Table2[[#This Row],[Age]]&lt;=96,"Silent",Table2[[#This Row],[Age]]&gt;=97,"Greatest")</f>
        <v>Silent</v>
      </c>
      <c r="E1961" s="1">
        <v>155432</v>
      </c>
      <c r="F1961">
        <v>21</v>
      </c>
      <c r="G1961" t="str" cm="1">
        <f t="array" ref="G1961">_xlfn.IFS(Table2[[#This Row],[Spending Score (1-100)]]&lt;=25,"Low",Table2[[#This Row],[Spending Score (1-100)]]&lt;=50,"Medium",Table2[[#This Row],[Spending Score (1-100)]]&lt;=75,"High",Table2[[#This Row],[Spending Score (1-100)]]&lt;=100,"Very High")</f>
        <v>Low</v>
      </c>
      <c r="H1961" t="s">
        <v>10</v>
      </c>
      <c r="I1961">
        <v>4</v>
      </c>
      <c r="J1961" t="str">
        <f>CONCATENATE(Table2[[#This Row],[Work Experience]],"years")</f>
        <v>4years</v>
      </c>
      <c r="K1961" t="str">
        <f>CONCATENATE(Table2[[#This Row],[Family Size2]],"members")</f>
        <v>6members</v>
      </c>
      <c r="L1961" t="str">
        <f>CONCATENATE(Table2[[#This Row],[Family Size2]],"members")</f>
        <v>6members</v>
      </c>
      <c r="M1961">
        <v>6</v>
      </c>
    </row>
    <row r="1962" spans="1:13">
      <c r="A1962">
        <v>1961</v>
      </c>
      <c r="B1962" t="s">
        <v>11</v>
      </c>
      <c r="C1962">
        <v>70</v>
      </c>
      <c r="D1962" t="str" cm="1">
        <f t="array" ref="D1962">_xlfn.IFS(Table2[[#This Row],[Age]]&lt;=11,"Gen A",Table2[[#This Row],[Age]]&lt;=27,"Gen Z",Table2[[#This Row],[Age]]&lt;=43,"Millenials",Table2[[#This Row],[Age]]&lt;=59,"Gen X",Table2[[#This Row],[Age]]&lt;=78,"Baby Boomers",Table2[[#This Row],[Age]]&lt;=96,"Silent",Table2[[#This Row],[Age]]&gt;=97,"Greatest")</f>
        <v>Baby Boomers</v>
      </c>
      <c r="E1962" s="1">
        <v>108544</v>
      </c>
      <c r="F1962">
        <v>49</v>
      </c>
      <c r="G1962" t="str" cm="1">
        <f t="array" ref="G1962">_xlfn.IFS(Table2[[#This Row],[Spending Score (1-100)]]&lt;=25,"Low",Table2[[#This Row],[Spending Score (1-100)]]&lt;=50,"Medium",Table2[[#This Row],[Spending Score (1-100)]]&lt;=75,"High",Table2[[#This Row],[Spending Score (1-100)]]&lt;=100,"Very High")</f>
        <v>Medium</v>
      </c>
      <c r="H1962" t="s">
        <v>13</v>
      </c>
      <c r="I1962">
        <v>4</v>
      </c>
      <c r="J1962" t="str">
        <f>CONCATENATE(Table2[[#This Row],[Work Experience]],"years")</f>
        <v>4years</v>
      </c>
      <c r="K1962" t="str">
        <f>CONCATENATE(Table2[[#This Row],[Family Size2]],"members")</f>
        <v>5members</v>
      </c>
      <c r="L1962" t="str">
        <f>CONCATENATE(Table2[[#This Row],[Family Size2]],"members")</f>
        <v>5members</v>
      </c>
      <c r="M1962">
        <v>5</v>
      </c>
    </row>
    <row r="1963" spans="1:13">
      <c r="A1963">
        <v>1962</v>
      </c>
      <c r="B1963" t="s">
        <v>11</v>
      </c>
      <c r="C1963">
        <v>52</v>
      </c>
      <c r="D1963" t="str" cm="1">
        <f t="array" ref="D1963">_xlfn.IFS(Table2[[#This Row],[Age]]&lt;=11,"Gen A",Table2[[#This Row],[Age]]&lt;=27,"Gen Z",Table2[[#This Row],[Age]]&lt;=43,"Millenials",Table2[[#This Row],[Age]]&lt;=59,"Gen X",Table2[[#This Row],[Age]]&lt;=78,"Baby Boomers",Table2[[#This Row],[Age]]&lt;=96,"Silent",Table2[[#This Row],[Age]]&gt;=97,"Greatest")</f>
        <v>Gen X</v>
      </c>
      <c r="E1963" s="1">
        <v>106530</v>
      </c>
      <c r="F1963">
        <v>46</v>
      </c>
      <c r="G1963" t="str" cm="1">
        <f t="array" ref="G1963">_xlfn.IFS(Table2[[#This Row],[Spending Score (1-100)]]&lt;=25,"Low",Table2[[#This Row],[Spending Score (1-100)]]&lt;=50,"Medium",Table2[[#This Row],[Spending Score (1-100)]]&lt;=75,"High",Table2[[#This Row],[Spending Score (1-100)]]&lt;=100,"Very High")</f>
        <v>Medium</v>
      </c>
      <c r="H1963" t="s">
        <v>10</v>
      </c>
      <c r="I1963">
        <v>7</v>
      </c>
      <c r="J1963" t="str">
        <f>CONCATENATE(Table2[[#This Row],[Work Experience]],"years")</f>
        <v>7years</v>
      </c>
      <c r="K1963" t="str">
        <f>CONCATENATE(Table2[[#This Row],[Family Size2]],"members")</f>
        <v>2members</v>
      </c>
      <c r="L1963" t="str">
        <f>CONCATENATE(Table2[[#This Row],[Family Size2]],"members")</f>
        <v>2members</v>
      </c>
      <c r="M1963">
        <v>2</v>
      </c>
    </row>
    <row r="1964" spans="1:13">
      <c r="A1964">
        <v>1963</v>
      </c>
      <c r="B1964" t="s">
        <v>8</v>
      </c>
      <c r="C1964">
        <v>70</v>
      </c>
      <c r="D1964" t="str" cm="1">
        <f t="array" ref="D1964">_xlfn.IFS(Table2[[#This Row],[Age]]&lt;=11,"Gen A",Table2[[#This Row],[Age]]&lt;=27,"Gen Z",Table2[[#This Row],[Age]]&lt;=43,"Millenials",Table2[[#This Row],[Age]]&lt;=59,"Gen X",Table2[[#This Row],[Age]]&lt;=78,"Baby Boomers",Table2[[#This Row],[Age]]&lt;=96,"Silent",Table2[[#This Row],[Age]]&gt;=97,"Greatest")</f>
        <v>Baby Boomers</v>
      </c>
      <c r="E1964" s="1">
        <v>124359</v>
      </c>
      <c r="F1964">
        <v>51</v>
      </c>
      <c r="G1964" t="str" cm="1">
        <f t="array" ref="G1964">_xlfn.IFS(Table2[[#This Row],[Spending Score (1-100)]]&lt;=25,"Low",Table2[[#This Row],[Spending Score (1-100)]]&lt;=50,"Medium",Table2[[#This Row],[Spending Score (1-100)]]&lt;=75,"High",Table2[[#This Row],[Spending Score (1-100)]]&lt;=100,"Very High")</f>
        <v>High</v>
      </c>
      <c r="H1964" t="s">
        <v>17</v>
      </c>
      <c r="I1964">
        <v>7</v>
      </c>
      <c r="J1964" t="str">
        <f>CONCATENATE(Table2[[#This Row],[Work Experience]],"years")</f>
        <v>7years</v>
      </c>
      <c r="K1964" t="str">
        <f>CONCATENATE(Table2[[#This Row],[Family Size2]],"members")</f>
        <v>7members</v>
      </c>
      <c r="L1964" t="str">
        <f>CONCATENATE(Table2[[#This Row],[Family Size2]],"members")</f>
        <v>7members</v>
      </c>
      <c r="M1964">
        <v>7</v>
      </c>
    </row>
    <row r="1965" spans="1:13">
      <c r="A1965">
        <v>1964</v>
      </c>
      <c r="B1965" t="s">
        <v>11</v>
      </c>
      <c r="C1965">
        <v>88</v>
      </c>
      <c r="D1965" t="str" cm="1">
        <f t="array" ref="D1965">_xlfn.IFS(Table2[[#This Row],[Age]]&lt;=11,"Gen A",Table2[[#This Row],[Age]]&lt;=27,"Gen Z",Table2[[#This Row],[Age]]&lt;=43,"Millenials",Table2[[#This Row],[Age]]&lt;=59,"Gen X",Table2[[#This Row],[Age]]&lt;=78,"Baby Boomers",Table2[[#This Row],[Age]]&lt;=96,"Silent",Table2[[#This Row],[Age]]&gt;=97,"Greatest")</f>
        <v>Silent</v>
      </c>
      <c r="E1965" s="1">
        <v>146970</v>
      </c>
      <c r="F1965">
        <v>90</v>
      </c>
      <c r="G1965" t="str" cm="1">
        <f t="array" ref="G1965">_xlfn.IFS(Table2[[#This Row],[Spending Score (1-100)]]&lt;=25,"Low",Table2[[#This Row],[Spending Score (1-100)]]&lt;=50,"Medium",Table2[[#This Row],[Spending Score (1-100)]]&lt;=75,"High",Table2[[#This Row],[Spending Score (1-100)]]&lt;=100,"Very High")</f>
        <v>Very High</v>
      </c>
      <c r="H1965" t="s">
        <v>14</v>
      </c>
      <c r="I1965">
        <v>7</v>
      </c>
      <c r="J1965" t="str">
        <f>CONCATENATE(Table2[[#This Row],[Work Experience]],"years")</f>
        <v>7years</v>
      </c>
      <c r="K1965" t="str">
        <f>CONCATENATE(Table2[[#This Row],[Family Size2]],"members")</f>
        <v>6members</v>
      </c>
      <c r="L1965" t="str">
        <f>CONCATENATE(Table2[[#This Row],[Family Size2]],"members")</f>
        <v>6members</v>
      </c>
      <c r="M1965">
        <v>6</v>
      </c>
    </row>
    <row r="1966" spans="1:13">
      <c r="A1966">
        <v>1965</v>
      </c>
      <c r="B1966" t="s">
        <v>8</v>
      </c>
      <c r="C1966">
        <v>61</v>
      </c>
      <c r="D1966" t="str" cm="1">
        <f t="array" ref="D1966">_xlfn.IFS(Table2[[#This Row],[Age]]&lt;=11,"Gen A",Table2[[#This Row],[Age]]&lt;=27,"Gen Z",Table2[[#This Row],[Age]]&lt;=43,"Millenials",Table2[[#This Row],[Age]]&lt;=59,"Gen X",Table2[[#This Row],[Age]]&lt;=78,"Baby Boomers",Table2[[#This Row],[Age]]&lt;=96,"Silent",Table2[[#This Row],[Age]]&gt;=97,"Greatest")</f>
        <v>Baby Boomers</v>
      </c>
      <c r="E1966" s="1">
        <v>182176</v>
      </c>
      <c r="F1966">
        <v>96</v>
      </c>
      <c r="G1966" t="str" cm="1">
        <f t="array" ref="G1966">_xlfn.IFS(Table2[[#This Row],[Spending Score (1-100)]]&lt;=25,"Low",Table2[[#This Row],[Spending Score (1-100)]]&lt;=50,"Medium",Table2[[#This Row],[Spending Score (1-100)]]&lt;=75,"High",Table2[[#This Row],[Spending Score (1-100)]]&lt;=100,"Very High")</f>
        <v>Very High</v>
      </c>
      <c r="H1966" t="s">
        <v>14</v>
      </c>
      <c r="I1966">
        <v>9</v>
      </c>
      <c r="J1966" t="str">
        <f>CONCATENATE(Table2[[#This Row],[Work Experience]],"years")</f>
        <v>9years</v>
      </c>
      <c r="K1966" t="str">
        <f>CONCATENATE(Table2[[#This Row],[Family Size2]],"members")</f>
        <v>5members</v>
      </c>
      <c r="L1966" t="str">
        <f>CONCATENATE(Table2[[#This Row],[Family Size2]],"members")</f>
        <v>5members</v>
      </c>
      <c r="M1966">
        <v>5</v>
      </c>
    </row>
    <row r="1967" spans="1:13">
      <c r="A1967">
        <v>1966</v>
      </c>
      <c r="B1967" t="s">
        <v>11</v>
      </c>
      <c r="C1967">
        <v>46</v>
      </c>
      <c r="D1967" t="str" cm="1">
        <f t="array" ref="D1967">_xlfn.IFS(Table2[[#This Row],[Age]]&lt;=11,"Gen A",Table2[[#This Row],[Age]]&lt;=27,"Gen Z",Table2[[#This Row],[Age]]&lt;=43,"Millenials",Table2[[#This Row],[Age]]&lt;=59,"Gen X",Table2[[#This Row],[Age]]&lt;=78,"Baby Boomers",Table2[[#This Row],[Age]]&lt;=96,"Silent",Table2[[#This Row],[Age]]&gt;=97,"Greatest")</f>
        <v>Gen X</v>
      </c>
      <c r="E1967" s="1">
        <v>114435</v>
      </c>
      <c r="F1967">
        <v>34</v>
      </c>
      <c r="G1967" t="str" cm="1">
        <f t="array" ref="G1967">_xlfn.IFS(Table2[[#This Row],[Spending Score (1-100)]]&lt;=25,"Low",Table2[[#This Row],[Spending Score (1-100)]]&lt;=50,"Medium",Table2[[#This Row],[Spending Score (1-100)]]&lt;=75,"High",Table2[[#This Row],[Spending Score (1-100)]]&lt;=100,"Very High")</f>
        <v>Medium</v>
      </c>
      <c r="H1967" t="s">
        <v>14</v>
      </c>
      <c r="I1967">
        <v>8</v>
      </c>
      <c r="J1967" t="str">
        <f>CONCATENATE(Table2[[#This Row],[Work Experience]],"years")</f>
        <v>8years</v>
      </c>
      <c r="K1967" t="str">
        <f>CONCATENATE(Table2[[#This Row],[Family Size2]],"members")</f>
        <v>3members</v>
      </c>
      <c r="L1967" t="str">
        <f>CONCATENATE(Table2[[#This Row],[Family Size2]],"members")</f>
        <v>3members</v>
      </c>
      <c r="M1967">
        <v>3</v>
      </c>
    </row>
    <row r="1968" spans="1:13">
      <c r="A1968">
        <v>1967</v>
      </c>
      <c r="B1968" t="s">
        <v>8</v>
      </c>
      <c r="C1968">
        <v>65</v>
      </c>
      <c r="D1968" t="str" cm="1">
        <f t="array" ref="D1968">_xlfn.IFS(Table2[[#This Row],[Age]]&lt;=11,"Gen A",Table2[[#This Row],[Age]]&lt;=27,"Gen Z",Table2[[#This Row],[Age]]&lt;=43,"Millenials",Table2[[#This Row],[Age]]&lt;=59,"Gen X",Table2[[#This Row],[Age]]&lt;=78,"Baby Boomers",Table2[[#This Row],[Age]]&lt;=96,"Silent",Table2[[#This Row],[Age]]&gt;=97,"Greatest")</f>
        <v>Baby Boomers</v>
      </c>
      <c r="E1968" s="1">
        <v>134213</v>
      </c>
      <c r="F1968">
        <v>32</v>
      </c>
      <c r="G1968" t="str" cm="1">
        <f t="array" ref="G1968">_xlfn.IFS(Table2[[#This Row],[Spending Score (1-100)]]&lt;=25,"Low",Table2[[#This Row],[Spending Score (1-100)]]&lt;=50,"Medium",Table2[[#This Row],[Spending Score (1-100)]]&lt;=75,"High",Table2[[#This Row],[Spending Score (1-100)]]&lt;=100,"Very High")</f>
        <v>Medium</v>
      </c>
      <c r="H1968" t="s">
        <v>17</v>
      </c>
      <c r="I1968">
        <v>8</v>
      </c>
      <c r="J1968" t="str">
        <f>CONCATENATE(Table2[[#This Row],[Work Experience]],"years")</f>
        <v>8years</v>
      </c>
      <c r="K1968" t="str">
        <f>CONCATENATE(Table2[[#This Row],[Family Size2]],"members")</f>
        <v>4members</v>
      </c>
      <c r="L1968" t="str">
        <f>CONCATENATE(Table2[[#This Row],[Family Size2]],"members")</f>
        <v>4members</v>
      </c>
      <c r="M1968">
        <v>4</v>
      </c>
    </row>
    <row r="1969" spans="1:13">
      <c r="A1969">
        <v>1968</v>
      </c>
      <c r="B1969" t="s">
        <v>11</v>
      </c>
      <c r="C1969">
        <v>84</v>
      </c>
      <c r="D1969" t="str" cm="1">
        <f t="array" ref="D1969">_xlfn.IFS(Table2[[#This Row],[Age]]&lt;=11,"Gen A",Table2[[#This Row],[Age]]&lt;=27,"Gen Z",Table2[[#This Row],[Age]]&lt;=43,"Millenials",Table2[[#This Row],[Age]]&lt;=59,"Gen X",Table2[[#This Row],[Age]]&lt;=78,"Baby Boomers",Table2[[#This Row],[Age]]&lt;=96,"Silent",Table2[[#This Row],[Age]]&gt;=97,"Greatest")</f>
        <v>Silent</v>
      </c>
      <c r="E1969" s="1">
        <v>115580</v>
      </c>
      <c r="F1969">
        <v>73</v>
      </c>
      <c r="G1969" t="str" cm="1">
        <f t="array" ref="G1969">_xlfn.IFS(Table2[[#This Row],[Spending Score (1-100)]]&lt;=25,"Low",Table2[[#This Row],[Spending Score (1-100)]]&lt;=50,"Medium",Table2[[#This Row],[Spending Score (1-100)]]&lt;=75,"High",Table2[[#This Row],[Spending Score (1-100)]]&lt;=100,"Very High")</f>
        <v>High</v>
      </c>
      <c r="H1969" t="s">
        <v>13</v>
      </c>
      <c r="I1969">
        <v>8</v>
      </c>
      <c r="J1969" t="str">
        <f>CONCATENATE(Table2[[#This Row],[Work Experience]],"years")</f>
        <v>8years</v>
      </c>
      <c r="K1969" t="str">
        <f>CONCATENATE(Table2[[#This Row],[Family Size2]],"members")</f>
        <v>5members</v>
      </c>
      <c r="L1969" t="str">
        <f>CONCATENATE(Table2[[#This Row],[Family Size2]],"members")</f>
        <v>5members</v>
      </c>
      <c r="M1969">
        <v>5</v>
      </c>
    </row>
    <row r="1970" spans="1:13">
      <c r="A1970">
        <v>1969</v>
      </c>
      <c r="B1970" t="s">
        <v>11</v>
      </c>
      <c r="C1970">
        <v>76</v>
      </c>
      <c r="D1970" t="str" cm="1">
        <f t="array" ref="D1970">_xlfn.IFS(Table2[[#This Row],[Age]]&lt;=11,"Gen A",Table2[[#This Row],[Age]]&lt;=27,"Gen Z",Table2[[#This Row],[Age]]&lt;=43,"Millenials",Table2[[#This Row],[Age]]&lt;=59,"Gen X",Table2[[#This Row],[Age]]&lt;=78,"Baby Boomers",Table2[[#This Row],[Age]]&lt;=96,"Silent",Table2[[#This Row],[Age]]&gt;=97,"Greatest")</f>
        <v>Baby Boomers</v>
      </c>
      <c r="E1970" s="1">
        <v>124034</v>
      </c>
      <c r="F1970">
        <v>88</v>
      </c>
      <c r="G1970" t="str" cm="1">
        <f t="array" ref="G1970">_xlfn.IFS(Table2[[#This Row],[Spending Score (1-100)]]&lt;=25,"Low",Table2[[#This Row],[Spending Score (1-100)]]&lt;=50,"Medium",Table2[[#This Row],[Spending Score (1-100)]]&lt;=75,"High",Table2[[#This Row],[Spending Score (1-100)]]&lt;=100,"Very High")</f>
        <v>Very High</v>
      </c>
      <c r="H1970" t="s">
        <v>15</v>
      </c>
      <c r="I1970">
        <v>10</v>
      </c>
      <c r="J1970" t="str">
        <f>CONCATENATE(Table2[[#This Row],[Work Experience]],"years")</f>
        <v>10years</v>
      </c>
      <c r="K1970" t="str">
        <f>CONCATENATE(Table2[[#This Row],[Family Size2]],"members")</f>
        <v>2members</v>
      </c>
      <c r="L1970" t="str">
        <f>CONCATENATE(Table2[[#This Row],[Family Size2]],"members")</f>
        <v>2members</v>
      </c>
      <c r="M1970">
        <v>2</v>
      </c>
    </row>
    <row r="1971" spans="1:13">
      <c r="A1971">
        <v>1970</v>
      </c>
      <c r="B1971" t="s">
        <v>8</v>
      </c>
      <c r="C1971">
        <v>31</v>
      </c>
      <c r="D1971" t="str" cm="1">
        <f t="array" ref="D1971">_xlfn.IFS(Table2[[#This Row],[Age]]&lt;=11,"Gen A",Table2[[#This Row],[Age]]&lt;=27,"Gen Z",Table2[[#This Row],[Age]]&lt;=43,"Millenials",Table2[[#This Row],[Age]]&lt;=59,"Gen X",Table2[[#This Row],[Age]]&lt;=78,"Baby Boomers",Table2[[#This Row],[Age]]&lt;=96,"Silent",Table2[[#This Row],[Age]]&gt;=97,"Greatest")</f>
        <v>Millenials</v>
      </c>
      <c r="E1971" s="1">
        <v>67894</v>
      </c>
      <c r="F1971">
        <v>42</v>
      </c>
      <c r="G1971" t="str" cm="1">
        <f t="array" ref="G1971">_xlfn.IFS(Table2[[#This Row],[Spending Score (1-100)]]&lt;=25,"Low",Table2[[#This Row],[Spending Score (1-100)]]&lt;=50,"Medium",Table2[[#This Row],[Spending Score (1-100)]]&lt;=75,"High",Table2[[#This Row],[Spending Score (1-100)]]&lt;=100,"Very High")</f>
        <v>Medium</v>
      </c>
      <c r="H1971" t="s">
        <v>16</v>
      </c>
      <c r="I1971">
        <v>9</v>
      </c>
      <c r="J1971" t="str">
        <f>CONCATENATE(Table2[[#This Row],[Work Experience]],"years")</f>
        <v>9years</v>
      </c>
      <c r="K1971" t="str">
        <f>CONCATENATE(Table2[[#This Row],[Family Size2]],"members")</f>
        <v>1members</v>
      </c>
      <c r="L1971" t="str">
        <f>CONCATENATE(Table2[[#This Row],[Family Size2]],"members")</f>
        <v>1members</v>
      </c>
      <c r="M1971">
        <v>1</v>
      </c>
    </row>
    <row r="1972" spans="1:13">
      <c r="A1972">
        <v>1971</v>
      </c>
      <c r="B1972" t="s">
        <v>8</v>
      </c>
      <c r="C1972">
        <v>55</v>
      </c>
      <c r="D1972" t="str" cm="1">
        <f t="array" ref="D1972">_xlfn.IFS(Table2[[#This Row],[Age]]&lt;=11,"Gen A",Table2[[#This Row],[Age]]&lt;=27,"Gen Z",Table2[[#This Row],[Age]]&lt;=43,"Millenials",Table2[[#This Row],[Age]]&lt;=59,"Gen X",Table2[[#This Row],[Age]]&lt;=78,"Baby Boomers",Table2[[#This Row],[Age]]&lt;=96,"Silent",Table2[[#This Row],[Age]]&gt;=97,"Greatest")</f>
        <v>Gen X</v>
      </c>
      <c r="E1972" s="1">
        <v>107099</v>
      </c>
      <c r="F1972">
        <v>89</v>
      </c>
      <c r="G1972" t="str" cm="1">
        <f t="array" ref="G1972">_xlfn.IFS(Table2[[#This Row],[Spending Score (1-100)]]&lt;=25,"Low",Table2[[#This Row],[Spending Score (1-100)]]&lt;=50,"Medium",Table2[[#This Row],[Spending Score (1-100)]]&lt;=75,"High",Table2[[#This Row],[Spending Score (1-100)]]&lt;=100,"Very High")</f>
        <v>Very High</v>
      </c>
      <c r="H1972" t="s">
        <v>15</v>
      </c>
      <c r="I1972">
        <v>4</v>
      </c>
      <c r="J1972" t="str">
        <f>CONCATENATE(Table2[[#This Row],[Work Experience]],"years")</f>
        <v>4years</v>
      </c>
      <c r="K1972" t="str">
        <f>CONCATENATE(Table2[[#This Row],[Family Size2]],"members")</f>
        <v>6members</v>
      </c>
      <c r="L1972" t="str">
        <f>CONCATENATE(Table2[[#This Row],[Family Size2]],"members")</f>
        <v>6members</v>
      </c>
      <c r="M1972">
        <v>6</v>
      </c>
    </row>
    <row r="1973" spans="1:13">
      <c r="A1973">
        <v>1972</v>
      </c>
      <c r="B1973" t="s">
        <v>8</v>
      </c>
      <c r="C1973">
        <v>45</v>
      </c>
      <c r="D1973" t="str" cm="1">
        <f t="array" ref="D1973">_xlfn.IFS(Table2[[#This Row],[Age]]&lt;=11,"Gen A",Table2[[#This Row],[Age]]&lt;=27,"Gen Z",Table2[[#This Row],[Age]]&lt;=43,"Millenials",Table2[[#This Row],[Age]]&lt;=59,"Gen X",Table2[[#This Row],[Age]]&lt;=78,"Baby Boomers",Table2[[#This Row],[Age]]&lt;=96,"Silent",Table2[[#This Row],[Age]]&gt;=97,"Greatest")</f>
        <v>Gen X</v>
      </c>
      <c r="E1973" s="1">
        <v>140263</v>
      </c>
      <c r="F1973">
        <v>88</v>
      </c>
      <c r="G1973" t="str" cm="1">
        <f t="array" ref="G1973">_xlfn.IFS(Table2[[#This Row],[Spending Score (1-100)]]&lt;=25,"Low",Table2[[#This Row],[Spending Score (1-100)]]&lt;=50,"Medium",Table2[[#This Row],[Spending Score (1-100)]]&lt;=75,"High",Table2[[#This Row],[Spending Score (1-100)]]&lt;=100,"Very High")</f>
        <v>Very High</v>
      </c>
      <c r="H1973" t="s">
        <v>13</v>
      </c>
      <c r="I1973">
        <v>10</v>
      </c>
      <c r="J1973" t="str">
        <f>CONCATENATE(Table2[[#This Row],[Work Experience]],"years")</f>
        <v>10years</v>
      </c>
      <c r="K1973" t="str">
        <f>CONCATENATE(Table2[[#This Row],[Family Size2]],"members")</f>
        <v>5members</v>
      </c>
      <c r="L1973" t="str">
        <f>CONCATENATE(Table2[[#This Row],[Family Size2]],"members")</f>
        <v>5members</v>
      </c>
      <c r="M1973">
        <v>5</v>
      </c>
    </row>
    <row r="1974" spans="1:13">
      <c r="A1974">
        <v>1973</v>
      </c>
      <c r="B1974" t="s">
        <v>8</v>
      </c>
      <c r="C1974">
        <v>98</v>
      </c>
      <c r="D1974" t="str" cm="1">
        <f t="array" ref="D1974">_xlfn.IFS(Table2[[#This Row],[Age]]&lt;=11,"Gen A",Table2[[#This Row],[Age]]&lt;=27,"Gen Z",Table2[[#This Row],[Age]]&lt;=43,"Millenials",Table2[[#This Row],[Age]]&lt;=59,"Gen X",Table2[[#This Row],[Age]]&lt;=78,"Baby Boomers",Table2[[#This Row],[Age]]&lt;=96,"Silent",Table2[[#This Row],[Age]]&gt;=97,"Greatest")</f>
        <v>Greatest</v>
      </c>
      <c r="E1974" s="1">
        <v>104249</v>
      </c>
      <c r="F1974">
        <v>12</v>
      </c>
      <c r="G1974" t="str" cm="1">
        <f t="array" ref="G1974">_xlfn.IFS(Table2[[#This Row],[Spending Score (1-100)]]&lt;=25,"Low",Table2[[#This Row],[Spending Score (1-100)]]&lt;=50,"Medium",Table2[[#This Row],[Spending Score (1-100)]]&lt;=75,"High",Table2[[#This Row],[Spending Score (1-100)]]&lt;=100,"Very High")</f>
        <v>Low</v>
      </c>
      <c r="H1974" t="s">
        <v>10</v>
      </c>
      <c r="I1974">
        <v>5</v>
      </c>
      <c r="J1974" t="str">
        <f>CONCATENATE(Table2[[#This Row],[Work Experience]],"years")</f>
        <v>5years</v>
      </c>
      <c r="K1974" t="str">
        <f>CONCATENATE(Table2[[#This Row],[Family Size2]],"members")</f>
        <v>2members</v>
      </c>
      <c r="L1974" t="str">
        <f>CONCATENATE(Table2[[#This Row],[Family Size2]],"members")</f>
        <v>2members</v>
      </c>
      <c r="M1974">
        <v>2</v>
      </c>
    </row>
    <row r="1975" spans="1:13">
      <c r="A1975">
        <v>1974</v>
      </c>
      <c r="B1975" t="s">
        <v>8</v>
      </c>
      <c r="C1975">
        <v>40</v>
      </c>
      <c r="D1975" t="str" cm="1">
        <f t="array" ref="D1975">_xlfn.IFS(Table2[[#This Row],[Age]]&lt;=11,"Gen A",Table2[[#This Row],[Age]]&lt;=27,"Gen Z",Table2[[#This Row],[Age]]&lt;=43,"Millenials",Table2[[#This Row],[Age]]&lt;=59,"Gen X",Table2[[#This Row],[Age]]&lt;=78,"Baby Boomers",Table2[[#This Row],[Age]]&lt;=96,"Silent",Table2[[#This Row],[Age]]&gt;=97,"Greatest")</f>
        <v>Millenials</v>
      </c>
      <c r="E1975" s="1">
        <v>168821</v>
      </c>
      <c r="F1975">
        <v>36</v>
      </c>
      <c r="G1975" t="str" cm="1">
        <f t="array" ref="G1975">_xlfn.IFS(Table2[[#This Row],[Spending Score (1-100)]]&lt;=25,"Low",Table2[[#This Row],[Spending Score (1-100)]]&lt;=50,"Medium",Table2[[#This Row],[Spending Score (1-100)]]&lt;=75,"High",Table2[[#This Row],[Spending Score (1-100)]]&lt;=100,"Very High")</f>
        <v>Medium</v>
      </c>
      <c r="H1975" t="s">
        <v>15</v>
      </c>
      <c r="I1975">
        <v>4</v>
      </c>
      <c r="J1975" t="str">
        <f>CONCATENATE(Table2[[#This Row],[Work Experience]],"years")</f>
        <v>4years</v>
      </c>
      <c r="K1975" t="str">
        <f>CONCATENATE(Table2[[#This Row],[Family Size2]],"members")</f>
        <v>5members</v>
      </c>
      <c r="L1975" t="str">
        <f>CONCATENATE(Table2[[#This Row],[Family Size2]],"members")</f>
        <v>5members</v>
      </c>
      <c r="M1975">
        <v>5</v>
      </c>
    </row>
    <row r="1976" spans="1:13">
      <c r="A1976">
        <v>1975</v>
      </c>
      <c r="B1976" t="s">
        <v>11</v>
      </c>
      <c r="C1976">
        <v>14</v>
      </c>
      <c r="D1976" t="str" cm="1">
        <f t="array" ref="D1976">_xlfn.IFS(Table2[[#This Row],[Age]]&lt;=11,"Gen A",Table2[[#This Row],[Age]]&lt;=27,"Gen Z",Table2[[#This Row],[Age]]&lt;=43,"Millenials",Table2[[#This Row],[Age]]&lt;=59,"Gen X",Table2[[#This Row],[Age]]&lt;=78,"Baby Boomers",Table2[[#This Row],[Age]]&lt;=96,"Silent",Table2[[#This Row],[Age]]&gt;=97,"Greatest")</f>
        <v>Gen Z</v>
      </c>
      <c r="E1976" s="1">
        <v>153145</v>
      </c>
      <c r="F1976">
        <v>59</v>
      </c>
      <c r="G1976" t="str" cm="1">
        <f t="array" ref="G1976">_xlfn.IFS(Table2[[#This Row],[Spending Score (1-100)]]&lt;=25,"Low",Table2[[#This Row],[Spending Score (1-100)]]&lt;=50,"Medium",Table2[[#This Row],[Spending Score (1-100)]]&lt;=75,"High",Table2[[#This Row],[Spending Score (1-100)]]&lt;=100,"Very High")</f>
        <v>High</v>
      </c>
      <c r="H1976" t="s">
        <v>9</v>
      </c>
      <c r="I1976">
        <v>8</v>
      </c>
      <c r="J1976" t="str">
        <f>CONCATENATE(Table2[[#This Row],[Work Experience]],"years")</f>
        <v>8years</v>
      </c>
      <c r="K1976" t="str">
        <f>CONCATENATE(Table2[[#This Row],[Family Size2]],"members")</f>
        <v>6members</v>
      </c>
      <c r="L1976" t="str">
        <f>CONCATENATE(Table2[[#This Row],[Family Size2]],"members")</f>
        <v>6members</v>
      </c>
      <c r="M1976">
        <v>6</v>
      </c>
    </row>
    <row r="1977" spans="1:13">
      <c r="A1977">
        <v>1976</v>
      </c>
      <c r="B1977" t="s">
        <v>11</v>
      </c>
      <c r="C1977">
        <v>41</v>
      </c>
      <c r="D1977" t="str" cm="1">
        <f t="array" ref="D1977">_xlfn.IFS(Table2[[#This Row],[Age]]&lt;=11,"Gen A",Table2[[#This Row],[Age]]&lt;=27,"Gen Z",Table2[[#This Row],[Age]]&lt;=43,"Millenials",Table2[[#This Row],[Age]]&lt;=59,"Gen X",Table2[[#This Row],[Age]]&lt;=78,"Baby Boomers",Table2[[#This Row],[Age]]&lt;=96,"Silent",Table2[[#This Row],[Age]]&gt;=97,"Greatest")</f>
        <v>Millenials</v>
      </c>
      <c r="E1977" s="1">
        <v>128960</v>
      </c>
      <c r="F1977">
        <v>43</v>
      </c>
      <c r="G1977" t="str" cm="1">
        <f t="array" ref="G1977">_xlfn.IFS(Table2[[#This Row],[Spending Score (1-100)]]&lt;=25,"Low",Table2[[#This Row],[Spending Score (1-100)]]&lt;=50,"Medium",Table2[[#This Row],[Spending Score (1-100)]]&lt;=75,"High",Table2[[#This Row],[Spending Score (1-100)]]&lt;=100,"Very High")</f>
        <v>Medium</v>
      </c>
      <c r="H1977" t="s">
        <v>15</v>
      </c>
      <c r="I1977">
        <v>9</v>
      </c>
      <c r="J1977" t="str">
        <f>CONCATENATE(Table2[[#This Row],[Work Experience]],"years")</f>
        <v>9years</v>
      </c>
      <c r="K1977" t="str">
        <f>CONCATENATE(Table2[[#This Row],[Family Size2]],"members")</f>
        <v>4members</v>
      </c>
      <c r="L1977" t="str">
        <f>CONCATENATE(Table2[[#This Row],[Family Size2]],"members")</f>
        <v>4members</v>
      </c>
      <c r="M1977">
        <v>4</v>
      </c>
    </row>
    <row r="1978" spans="1:13">
      <c r="A1978">
        <v>1977</v>
      </c>
      <c r="B1978" t="s">
        <v>8</v>
      </c>
      <c r="C1978">
        <v>60</v>
      </c>
      <c r="D1978" t="str" cm="1">
        <f t="array" ref="D1978">_xlfn.IFS(Table2[[#This Row],[Age]]&lt;=11,"Gen A",Table2[[#This Row],[Age]]&lt;=27,"Gen Z",Table2[[#This Row],[Age]]&lt;=43,"Millenials",Table2[[#This Row],[Age]]&lt;=59,"Gen X",Table2[[#This Row],[Age]]&lt;=78,"Baby Boomers",Table2[[#This Row],[Age]]&lt;=96,"Silent",Table2[[#This Row],[Age]]&gt;=97,"Greatest")</f>
        <v>Baby Boomers</v>
      </c>
      <c r="E1978" s="1">
        <v>127438</v>
      </c>
      <c r="F1978">
        <v>82</v>
      </c>
      <c r="G1978" t="str" cm="1">
        <f t="array" ref="G1978">_xlfn.IFS(Table2[[#This Row],[Spending Score (1-100)]]&lt;=25,"Low",Table2[[#This Row],[Spending Score (1-100)]]&lt;=50,"Medium",Table2[[#This Row],[Spending Score (1-100)]]&lt;=75,"High",Table2[[#This Row],[Spending Score (1-100)]]&lt;=100,"Very High")</f>
        <v>Very High</v>
      </c>
      <c r="H1978" t="s">
        <v>10</v>
      </c>
      <c r="I1978">
        <v>7</v>
      </c>
      <c r="J1978" t="str">
        <f>CONCATENATE(Table2[[#This Row],[Work Experience]],"years")</f>
        <v>7years</v>
      </c>
      <c r="K1978" t="str">
        <f>CONCATENATE(Table2[[#This Row],[Family Size2]],"members")</f>
        <v>2members</v>
      </c>
      <c r="L1978" t="str">
        <f>CONCATENATE(Table2[[#This Row],[Family Size2]],"members")</f>
        <v>2members</v>
      </c>
      <c r="M1978">
        <v>2</v>
      </c>
    </row>
    <row r="1979" spans="1:13">
      <c r="A1979">
        <v>1978</v>
      </c>
      <c r="B1979" t="s">
        <v>8</v>
      </c>
      <c r="C1979">
        <v>60</v>
      </c>
      <c r="D1979" t="str" cm="1">
        <f t="array" ref="D1979">_xlfn.IFS(Table2[[#This Row],[Age]]&lt;=11,"Gen A",Table2[[#This Row],[Age]]&lt;=27,"Gen Z",Table2[[#This Row],[Age]]&lt;=43,"Millenials",Table2[[#This Row],[Age]]&lt;=59,"Gen X",Table2[[#This Row],[Age]]&lt;=78,"Baby Boomers",Table2[[#This Row],[Age]]&lt;=96,"Silent",Table2[[#This Row],[Age]]&gt;=97,"Greatest")</f>
        <v>Baby Boomers</v>
      </c>
      <c r="E1979" s="1">
        <v>125968</v>
      </c>
      <c r="F1979">
        <v>100</v>
      </c>
      <c r="G1979" t="str" cm="1">
        <f t="array" ref="G1979">_xlfn.IFS(Table2[[#This Row],[Spending Score (1-100)]]&lt;=25,"Low",Table2[[#This Row],[Spending Score (1-100)]]&lt;=50,"Medium",Table2[[#This Row],[Spending Score (1-100)]]&lt;=75,"High",Table2[[#This Row],[Spending Score (1-100)]]&lt;=100,"Very High")</f>
        <v>Very High</v>
      </c>
      <c r="H1979" t="s">
        <v>12</v>
      </c>
      <c r="I1979">
        <v>8</v>
      </c>
      <c r="J1979" t="str">
        <f>CONCATENATE(Table2[[#This Row],[Work Experience]],"years")</f>
        <v>8years</v>
      </c>
      <c r="K1979" t="str">
        <f>CONCATENATE(Table2[[#This Row],[Family Size2]],"members")</f>
        <v>2members</v>
      </c>
      <c r="L1979" t="str">
        <f>CONCATENATE(Table2[[#This Row],[Family Size2]],"members")</f>
        <v>2members</v>
      </c>
      <c r="M1979">
        <v>2</v>
      </c>
    </row>
    <row r="1980" spans="1:13">
      <c r="A1980">
        <v>1979</v>
      </c>
      <c r="B1980" t="s">
        <v>8</v>
      </c>
      <c r="C1980">
        <v>84</v>
      </c>
      <c r="D1980" t="str" cm="1">
        <f t="array" ref="D1980">_xlfn.IFS(Table2[[#This Row],[Age]]&lt;=11,"Gen A",Table2[[#This Row],[Age]]&lt;=27,"Gen Z",Table2[[#This Row],[Age]]&lt;=43,"Millenials",Table2[[#This Row],[Age]]&lt;=59,"Gen X",Table2[[#This Row],[Age]]&lt;=78,"Baby Boomers",Table2[[#This Row],[Age]]&lt;=96,"Silent",Table2[[#This Row],[Age]]&gt;=97,"Greatest")</f>
        <v>Silent</v>
      </c>
      <c r="E1980" s="1">
        <v>104589</v>
      </c>
      <c r="F1980">
        <v>85</v>
      </c>
      <c r="G1980" t="str" cm="1">
        <f t="array" ref="G1980">_xlfn.IFS(Table2[[#This Row],[Spending Score (1-100)]]&lt;=25,"Low",Table2[[#This Row],[Spending Score (1-100)]]&lt;=50,"Medium",Table2[[#This Row],[Spending Score (1-100)]]&lt;=75,"High",Table2[[#This Row],[Spending Score (1-100)]]&lt;=100,"Very High")</f>
        <v>Very High</v>
      </c>
      <c r="H1980" t="s">
        <v>14</v>
      </c>
      <c r="I1980">
        <v>10</v>
      </c>
      <c r="J1980" t="str">
        <f>CONCATENATE(Table2[[#This Row],[Work Experience]],"years")</f>
        <v>10years</v>
      </c>
      <c r="K1980" t="str">
        <f>CONCATENATE(Table2[[#This Row],[Family Size2]],"members")</f>
        <v>2members</v>
      </c>
      <c r="L1980" t="str">
        <f>CONCATENATE(Table2[[#This Row],[Family Size2]],"members")</f>
        <v>2members</v>
      </c>
      <c r="M1980">
        <v>2</v>
      </c>
    </row>
    <row r="1981" spans="1:13">
      <c r="A1981">
        <v>1980</v>
      </c>
      <c r="B1981" t="s">
        <v>8</v>
      </c>
      <c r="C1981">
        <v>0</v>
      </c>
      <c r="D1981" t="str" cm="1">
        <f t="array" ref="D1981">_xlfn.IFS(Table2[[#This Row],[Age]]&lt;=11,"Gen A",Table2[[#This Row],[Age]]&lt;=27,"Gen Z",Table2[[#This Row],[Age]]&lt;=43,"Millenials",Table2[[#This Row],[Age]]&lt;=59,"Gen X",Table2[[#This Row],[Age]]&lt;=78,"Baby Boomers",Table2[[#This Row],[Age]]&lt;=96,"Silent",Table2[[#This Row],[Age]]&gt;=97,"Greatest")</f>
        <v>Gen A</v>
      </c>
      <c r="E1981" s="1">
        <v>165321</v>
      </c>
      <c r="F1981">
        <v>93</v>
      </c>
      <c r="G1981" t="str" cm="1">
        <f t="array" ref="G1981">_xlfn.IFS(Table2[[#This Row],[Spending Score (1-100)]]&lt;=25,"Low",Table2[[#This Row],[Spending Score (1-100)]]&lt;=50,"Medium",Table2[[#This Row],[Spending Score (1-100)]]&lt;=75,"High",Table2[[#This Row],[Spending Score (1-100)]]&lt;=100,"Very High")</f>
        <v>Very High</v>
      </c>
      <c r="H1981" t="s">
        <v>16</v>
      </c>
      <c r="I1981">
        <v>8</v>
      </c>
      <c r="J1981" t="str">
        <f>CONCATENATE(Table2[[#This Row],[Work Experience]],"years")</f>
        <v>8years</v>
      </c>
      <c r="K1981" t="str">
        <f>CONCATENATE(Table2[[#This Row],[Family Size2]],"members")</f>
        <v>1members</v>
      </c>
      <c r="L1981" t="str">
        <f>CONCATENATE(Table2[[#This Row],[Family Size2]],"members")</f>
        <v>1members</v>
      </c>
      <c r="M1981">
        <v>1</v>
      </c>
    </row>
    <row r="1982" spans="1:13">
      <c r="A1982">
        <v>1981</v>
      </c>
      <c r="B1982" t="s">
        <v>11</v>
      </c>
      <c r="C1982">
        <v>10</v>
      </c>
      <c r="D1982" t="str" cm="1">
        <f t="array" ref="D1982">_xlfn.IFS(Table2[[#This Row],[Age]]&lt;=11,"Gen A",Table2[[#This Row],[Age]]&lt;=27,"Gen Z",Table2[[#This Row],[Age]]&lt;=43,"Millenials",Table2[[#This Row],[Age]]&lt;=59,"Gen X",Table2[[#This Row],[Age]]&lt;=78,"Baby Boomers",Table2[[#This Row],[Age]]&lt;=96,"Silent",Table2[[#This Row],[Age]]&gt;=97,"Greatest")</f>
        <v>Gen A</v>
      </c>
      <c r="E1982" s="1">
        <v>86925</v>
      </c>
      <c r="F1982">
        <v>76</v>
      </c>
      <c r="G1982" t="str" cm="1">
        <f t="array" ref="G1982">_xlfn.IFS(Table2[[#This Row],[Spending Score (1-100)]]&lt;=25,"Low",Table2[[#This Row],[Spending Score (1-100)]]&lt;=50,"Medium",Table2[[#This Row],[Spending Score (1-100)]]&lt;=75,"High",Table2[[#This Row],[Spending Score (1-100)]]&lt;=100,"Very High")</f>
        <v>Very High</v>
      </c>
      <c r="H1982" t="s">
        <v>14</v>
      </c>
      <c r="I1982">
        <v>7</v>
      </c>
      <c r="J1982" t="str">
        <f>CONCATENATE(Table2[[#This Row],[Work Experience]],"years")</f>
        <v>7years</v>
      </c>
      <c r="K1982" t="str">
        <f>CONCATENATE(Table2[[#This Row],[Family Size2]],"members")</f>
        <v>2members</v>
      </c>
      <c r="L1982" t="str">
        <f>CONCATENATE(Table2[[#This Row],[Family Size2]],"members")</f>
        <v>2members</v>
      </c>
      <c r="M1982">
        <v>2</v>
      </c>
    </row>
    <row r="1983" spans="1:13">
      <c r="A1983">
        <v>1982</v>
      </c>
      <c r="B1983" t="s">
        <v>11</v>
      </c>
      <c r="C1983">
        <v>62</v>
      </c>
      <c r="D1983" t="str" cm="1">
        <f t="array" ref="D1983">_xlfn.IFS(Table2[[#This Row],[Age]]&lt;=11,"Gen A",Table2[[#This Row],[Age]]&lt;=27,"Gen Z",Table2[[#This Row],[Age]]&lt;=43,"Millenials",Table2[[#This Row],[Age]]&lt;=59,"Gen X",Table2[[#This Row],[Age]]&lt;=78,"Baby Boomers",Table2[[#This Row],[Age]]&lt;=96,"Silent",Table2[[#This Row],[Age]]&gt;=97,"Greatest")</f>
        <v>Baby Boomers</v>
      </c>
      <c r="E1983" s="1">
        <v>149797</v>
      </c>
      <c r="F1983">
        <v>19</v>
      </c>
      <c r="G1983" t="str" cm="1">
        <f t="array" ref="G1983">_xlfn.IFS(Table2[[#This Row],[Spending Score (1-100)]]&lt;=25,"Low",Table2[[#This Row],[Spending Score (1-100)]]&lt;=50,"Medium",Table2[[#This Row],[Spending Score (1-100)]]&lt;=75,"High",Table2[[#This Row],[Spending Score (1-100)]]&lt;=100,"Very High")</f>
        <v>Low</v>
      </c>
      <c r="H1983" t="s">
        <v>14</v>
      </c>
      <c r="I1983">
        <v>5</v>
      </c>
      <c r="J1983" t="str">
        <f>CONCATENATE(Table2[[#This Row],[Work Experience]],"years")</f>
        <v>5years</v>
      </c>
      <c r="K1983" t="str">
        <f>CONCATENATE(Table2[[#This Row],[Family Size2]],"members")</f>
        <v>6members</v>
      </c>
      <c r="L1983" t="str">
        <f>CONCATENATE(Table2[[#This Row],[Family Size2]],"members")</f>
        <v>6members</v>
      </c>
      <c r="M1983">
        <v>6</v>
      </c>
    </row>
    <row r="1984" spans="1:13">
      <c r="A1984">
        <v>1983</v>
      </c>
      <c r="B1984" t="s">
        <v>8</v>
      </c>
      <c r="C1984">
        <v>33</v>
      </c>
      <c r="D1984" t="str" cm="1">
        <f t="array" ref="D1984">_xlfn.IFS(Table2[[#This Row],[Age]]&lt;=11,"Gen A",Table2[[#This Row],[Age]]&lt;=27,"Gen Z",Table2[[#This Row],[Age]]&lt;=43,"Millenials",Table2[[#This Row],[Age]]&lt;=59,"Gen X",Table2[[#This Row],[Age]]&lt;=78,"Baby Boomers",Table2[[#This Row],[Age]]&lt;=96,"Silent",Table2[[#This Row],[Age]]&gt;=97,"Greatest")</f>
        <v>Millenials</v>
      </c>
      <c r="E1984" s="1">
        <v>137094</v>
      </c>
      <c r="F1984">
        <v>68</v>
      </c>
      <c r="G1984" t="str" cm="1">
        <f t="array" ref="G1984">_xlfn.IFS(Table2[[#This Row],[Spending Score (1-100)]]&lt;=25,"Low",Table2[[#This Row],[Spending Score (1-100)]]&lt;=50,"Medium",Table2[[#This Row],[Spending Score (1-100)]]&lt;=75,"High",Table2[[#This Row],[Spending Score (1-100)]]&lt;=100,"Very High")</f>
        <v>High</v>
      </c>
      <c r="H1984" t="s">
        <v>12</v>
      </c>
      <c r="I1984">
        <v>4</v>
      </c>
      <c r="J1984" t="str">
        <f>CONCATENATE(Table2[[#This Row],[Work Experience]],"years")</f>
        <v>4years</v>
      </c>
      <c r="K1984" t="str">
        <f>CONCATENATE(Table2[[#This Row],[Family Size2]],"members")</f>
        <v>1members</v>
      </c>
      <c r="L1984" t="str">
        <f>CONCATENATE(Table2[[#This Row],[Family Size2]],"members")</f>
        <v>1members</v>
      </c>
      <c r="M1984">
        <v>1</v>
      </c>
    </row>
    <row r="1985" spans="1:13">
      <c r="A1985">
        <v>1984</v>
      </c>
      <c r="B1985" t="s">
        <v>11</v>
      </c>
      <c r="C1985">
        <v>52</v>
      </c>
      <c r="D1985" t="str" cm="1">
        <f t="array" ref="D1985">_xlfn.IFS(Table2[[#This Row],[Age]]&lt;=11,"Gen A",Table2[[#This Row],[Age]]&lt;=27,"Gen Z",Table2[[#This Row],[Age]]&lt;=43,"Millenials",Table2[[#This Row],[Age]]&lt;=59,"Gen X",Table2[[#This Row],[Age]]&lt;=78,"Baby Boomers",Table2[[#This Row],[Age]]&lt;=96,"Silent",Table2[[#This Row],[Age]]&gt;=97,"Greatest")</f>
        <v>Gen X</v>
      </c>
      <c r="E1985" s="1">
        <v>55395</v>
      </c>
      <c r="F1985">
        <v>41</v>
      </c>
      <c r="G1985" t="str" cm="1">
        <f t="array" ref="G1985">_xlfn.IFS(Table2[[#This Row],[Spending Score (1-100)]]&lt;=25,"Low",Table2[[#This Row],[Spending Score (1-100)]]&lt;=50,"Medium",Table2[[#This Row],[Spending Score (1-100)]]&lt;=75,"High",Table2[[#This Row],[Spending Score (1-100)]]&lt;=100,"Very High")</f>
        <v>Medium</v>
      </c>
      <c r="H1985" t="s">
        <v>18</v>
      </c>
      <c r="I1985">
        <v>10</v>
      </c>
      <c r="J1985" t="str">
        <f>CONCATENATE(Table2[[#This Row],[Work Experience]],"years")</f>
        <v>10years</v>
      </c>
      <c r="K1985" t="str">
        <f>CONCATENATE(Table2[[#This Row],[Family Size2]],"members")</f>
        <v>1members</v>
      </c>
      <c r="L1985" t="str">
        <f>CONCATENATE(Table2[[#This Row],[Family Size2]],"members")</f>
        <v>1members</v>
      </c>
      <c r="M1985">
        <v>1</v>
      </c>
    </row>
    <row r="1986" spans="1:13">
      <c r="A1986">
        <v>1985</v>
      </c>
      <c r="B1986" t="s">
        <v>11</v>
      </c>
      <c r="C1986">
        <v>2</v>
      </c>
      <c r="D1986" t="str" cm="1">
        <f t="array" ref="D1986">_xlfn.IFS(Table2[[#This Row],[Age]]&lt;=11,"Gen A",Table2[[#This Row],[Age]]&lt;=27,"Gen Z",Table2[[#This Row],[Age]]&lt;=43,"Millenials",Table2[[#This Row],[Age]]&lt;=59,"Gen X",Table2[[#This Row],[Age]]&lt;=78,"Baby Boomers",Table2[[#This Row],[Age]]&lt;=96,"Silent",Table2[[#This Row],[Age]]&gt;=97,"Greatest")</f>
        <v>Gen A</v>
      </c>
      <c r="E1986" s="1">
        <v>153622</v>
      </c>
      <c r="F1986">
        <v>51</v>
      </c>
      <c r="G1986" t="str" cm="1">
        <f t="array" ref="G1986">_xlfn.IFS(Table2[[#This Row],[Spending Score (1-100)]]&lt;=25,"Low",Table2[[#This Row],[Spending Score (1-100)]]&lt;=50,"Medium",Table2[[#This Row],[Spending Score (1-100)]]&lt;=75,"High",Table2[[#This Row],[Spending Score (1-100)]]&lt;=100,"Very High")</f>
        <v>High</v>
      </c>
      <c r="H1986" t="s">
        <v>12</v>
      </c>
      <c r="I1986">
        <v>6</v>
      </c>
      <c r="J1986" t="str">
        <f>CONCATENATE(Table2[[#This Row],[Work Experience]],"years")</f>
        <v>6years</v>
      </c>
      <c r="K1986" t="str">
        <f>CONCATENATE(Table2[[#This Row],[Family Size2]],"members")</f>
        <v>6members</v>
      </c>
      <c r="L1986" t="str">
        <f>CONCATENATE(Table2[[#This Row],[Family Size2]],"members")</f>
        <v>6members</v>
      </c>
      <c r="M1986">
        <v>6</v>
      </c>
    </row>
    <row r="1987" spans="1:13">
      <c r="A1987">
        <v>1986</v>
      </c>
      <c r="B1987" t="s">
        <v>8</v>
      </c>
      <c r="C1987">
        <v>27</v>
      </c>
      <c r="D1987" t="str" cm="1">
        <f t="array" ref="D1987">_xlfn.IFS(Table2[[#This Row],[Age]]&lt;=11,"Gen A",Table2[[#This Row],[Age]]&lt;=27,"Gen Z",Table2[[#This Row],[Age]]&lt;=43,"Millenials",Table2[[#This Row],[Age]]&lt;=59,"Gen X",Table2[[#This Row],[Age]]&lt;=78,"Baby Boomers",Table2[[#This Row],[Age]]&lt;=96,"Silent",Table2[[#This Row],[Age]]&gt;=97,"Greatest")</f>
        <v>Gen Z</v>
      </c>
      <c r="E1987" s="1">
        <v>74050</v>
      </c>
      <c r="F1987">
        <v>44</v>
      </c>
      <c r="G1987" t="str" cm="1">
        <f t="array" ref="G1987">_xlfn.IFS(Table2[[#This Row],[Spending Score (1-100)]]&lt;=25,"Low",Table2[[#This Row],[Spending Score (1-100)]]&lt;=50,"Medium",Table2[[#This Row],[Spending Score (1-100)]]&lt;=75,"High",Table2[[#This Row],[Spending Score (1-100)]]&lt;=100,"Very High")</f>
        <v>Medium</v>
      </c>
      <c r="H1987" t="s">
        <v>13</v>
      </c>
      <c r="I1987">
        <v>8</v>
      </c>
      <c r="J1987" t="str">
        <f>CONCATENATE(Table2[[#This Row],[Work Experience]],"years")</f>
        <v>8years</v>
      </c>
      <c r="K1987" t="str">
        <f>CONCATENATE(Table2[[#This Row],[Family Size2]],"members")</f>
        <v>1members</v>
      </c>
      <c r="L1987" t="str">
        <f>CONCATENATE(Table2[[#This Row],[Family Size2]],"members")</f>
        <v>1members</v>
      </c>
      <c r="M1987">
        <v>1</v>
      </c>
    </row>
    <row r="1988" spans="1:13">
      <c r="A1988">
        <v>1987</v>
      </c>
      <c r="B1988" t="s">
        <v>11</v>
      </c>
      <c r="C1988">
        <v>4</v>
      </c>
      <c r="D1988" t="str" cm="1">
        <f t="array" ref="D1988">_xlfn.IFS(Table2[[#This Row],[Age]]&lt;=11,"Gen A",Table2[[#This Row],[Age]]&lt;=27,"Gen Z",Table2[[#This Row],[Age]]&lt;=43,"Millenials",Table2[[#This Row],[Age]]&lt;=59,"Gen X",Table2[[#This Row],[Age]]&lt;=78,"Baby Boomers",Table2[[#This Row],[Age]]&lt;=96,"Silent",Table2[[#This Row],[Age]]&gt;=97,"Greatest")</f>
        <v>Gen A</v>
      </c>
      <c r="E1988" s="1">
        <v>68094</v>
      </c>
      <c r="F1988">
        <v>61</v>
      </c>
      <c r="G1988" t="str" cm="1">
        <f t="array" ref="G1988">_xlfn.IFS(Table2[[#This Row],[Spending Score (1-100)]]&lt;=25,"Low",Table2[[#This Row],[Spending Score (1-100)]]&lt;=50,"Medium",Table2[[#This Row],[Spending Score (1-100)]]&lt;=75,"High",Table2[[#This Row],[Spending Score (1-100)]]&lt;=100,"Very High")</f>
        <v>High</v>
      </c>
      <c r="H1988" t="s">
        <v>16</v>
      </c>
      <c r="I1988">
        <v>4</v>
      </c>
      <c r="J1988" t="str">
        <f>CONCATENATE(Table2[[#This Row],[Work Experience]],"years")</f>
        <v>4years</v>
      </c>
      <c r="K1988" t="str">
        <f>CONCATENATE(Table2[[#This Row],[Family Size2]],"members")</f>
        <v>7members</v>
      </c>
      <c r="L1988" t="str">
        <f>CONCATENATE(Table2[[#This Row],[Family Size2]],"members")</f>
        <v>7members</v>
      </c>
      <c r="M1988">
        <v>7</v>
      </c>
    </row>
    <row r="1989" spans="1:13">
      <c r="A1989">
        <v>1988</v>
      </c>
      <c r="B1989" t="s">
        <v>8</v>
      </c>
      <c r="C1989">
        <v>63</v>
      </c>
      <c r="D1989" t="str" cm="1">
        <f t="array" ref="D1989">_xlfn.IFS(Table2[[#This Row],[Age]]&lt;=11,"Gen A",Table2[[#This Row],[Age]]&lt;=27,"Gen Z",Table2[[#This Row],[Age]]&lt;=43,"Millenials",Table2[[#This Row],[Age]]&lt;=59,"Gen X",Table2[[#This Row],[Age]]&lt;=78,"Baby Boomers",Table2[[#This Row],[Age]]&lt;=96,"Silent",Table2[[#This Row],[Age]]&gt;=97,"Greatest")</f>
        <v>Baby Boomers</v>
      </c>
      <c r="E1989" s="1">
        <v>59244</v>
      </c>
      <c r="F1989">
        <v>80</v>
      </c>
      <c r="G1989" t="str" cm="1">
        <f t="array" ref="G1989">_xlfn.IFS(Table2[[#This Row],[Spending Score (1-100)]]&lt;=25,"Low",Table2[[#This Row],[Spending Score (1-100)]]&lt;=50,"Medium",Table2[[#This Row],[Spending Score (1-100)]]&lt;=75,"High",Table2[[#This Row],[Spending Score (1-100)]]&lt;=100,"Very High")</f>
        <v>Very High</v>
      </c>
      <c r="H1989" t="s">
        <v>14</v>
      </c>
      <c r="I1989">
        <v>7</v>
      </c>
      <c r="J1989" t="str">
        <f>CONCATENATE(Table2[[#This Row],[Work Experience]],"years")</f>
        <v>7years</v>
      </c>
      <c r="K1989" t="str">
        <f>CONCATENATE(Table2[[#This Row],[Family Size2]],"members")</f>
        <v>1members</v>
      </c>
      <c r="L1989" t="str">
        <f>CONCATENATE(Table2[[#This Row],[Family Size2]],"members")</f>
        <v>1members</v>
      </c>
      <c r="M1989">
        <v>1</v>
      </c>
    </row>
    <row r="1990" spans="1:13">
      <c r="A1990">
        <v>1989</v>
      </c>
      <c r="B1990" t="s">
        <v>11</v>
      </c>
      <c r="C1990">
        <v>54</v>
      </c>
      <c r="D1990" t="str" cm="1">
        <f t="array" ref="D1990">_xlfn.IFS(Table2[[#This Row],[Age]]&lt;=11,"Gen A",Table2[[#This Row],[Age]]&lt;=27,"Gen Z",Table2[[#This Row],[Age]]&lt;=43,"Millenials",Table2[[#This Row],[Age]]&lt;=59,"Gen X",Table2[[#This Row],[Age]]&lt;=78,"Baby Boomers",Table2[[#This Row],[Age]]&lt;=96,"Silent",Table2[[#This Row],[Age]]&gt;=97,"Greatest")</f>
        <v>Gen X</v>
      </c>
      <c r="E1990" s="1">
        <v>118944</v>
      </c>
      <c r="F1990">
        <v>77</v>
      </c>
      <c r="G1990" t="str" cm="1">
        <f t="array" ref="G1990">_xlfn.IFS(Table2[[#This Row],[Spending Score (1-100)]]&lt;=25,"Low",Table2[[#This Row],[Spending Score (1-100)]]&lt;=50,"Medium",Table2[[#This Row],[Spending Score (1-100)]]&lt;=75,"High",Table2[[#This Row],[Spending Score (1-100)]]&lt;=100,"Very High")</f>
        <v>Very High</v>
      </c>
      <c r="H1990" t="s">
        <v>14</v>
      </c>
      <c r="I1990">
        <v>4</v>
      </c>
      <c r="J1990" t="str">
        <f>CONCATENATE(Table2[[#This Row],[Work Experience]],"years")</f>
        <v>4years</v>
      </c>
      <c r="K1990" t="str">
        <f>CONCATENATE(Table2[[#This Row],[Family Size2]],"members")</f>
        <v>4members</v>
      </c>
      <c r="L1990" t="str">
        <f>CONCATENATE(Table2[[#This Row],[Family Size2]],"members")</f>
        <v>4members</v>
      </c>
      <c r="M1990">
        <v>4</v>
      </c>
    </row>
    <row r="1991" spans="1:13">
      <c r="A1991">
        <v>1990</v>
      </c>
      <c r="B1991" t="s">
        <v>11</v>
      </c>
      <c r="C1991">
        <v>47</v>
      </c>
      <c r="D1991" t="str" cm="1">
        <f t="array" ref="D1991">_xlfn.IFS(Table2[[#This Row],[Age]]&lt;=11,"Gen A",Table2[[#This Row],[Age]]&lt;=27,"Gen Z",Table2[[#This Row],[Age]]&lt;=43,"Millenials",Table2[[#This Row],[Age]]&lt;=59,"Gen X",Table2[[#This Row],[Age]]&lt;=78,"Baby Boomers",Table2[[#This Row],[Age]]&lt;=96,"Silent",Table2[[#This Row],[Age]]&gt;=97,"Greatest")</f>
        <v>Gen X</v>
      </c>
      <c r="E1991" s="1">
        <v>75293</v>
      </c>
      <c r="F1991">
        <v>55</v>
      </c>
      <c r="G1991" t="str" cm="1">
        <f t="array" ref="G1991">_xlfn.IFS(Table2[[#This Row],[Spending Score (1-100)]]&lt;=25,"Low",Table2[[#This Row],[Spending Score (1-100)]]&lt;=50,"Medium",Table2[[#This Row],[Spending Score (1-100)]]&lt;=75,"High",Table2[[#This Row],[Spending Score (1-100)]]&lt;=100,"Very High")</f>
        <v>High</v>
      </c>
      <c r="H1991" t="s">
        <v>16</v>
      </c>
      <c r="I1991">
        <v>6</v>
      </c>
      <c r="J1991" t="str">
        <f>CONCATENATE(Table2[[#This Row],[Work Experience]],"years")</f>
        <v>6years</v>
      </c>
      <c r="K1991" t="str">
        <f>CONCATENATE(Table2[[#This Row],[Family Size2]],"members")</f>
        <v>7members</v>
      </c>
      <c r="L1991" t="str">
        <f>CONCATENATE(Table2[[#This Row],[Family Size2]],"members")</f>
        <v>7members</v>
      </c>
      <c r="M1991">
        <v>7</v>
      </c>
    </row>
    <row r="1992" spans="1:13">
      <c r="A1992">
        <v>1991</v>
      </c>
      <c r="B1992" t="s">
        <v>11</v>
      </c>
      <c r="C1992">
        <v>30</v>
      </c>
      <c r="D1992" t="str" cm="1">
        <f t="array" ref="D1992">_xlfn.IFS(Table2[[#This Row],[Age]]&lt;=11,"Gen A",Table2[[#This Row],[Age]]&lt;=27,"Gen Z",Table2[[#This Row],[Age]]&lt;=43,"Millenials",Table2[[#This Row],[Age]]&lt;=59,"Gen X",Table2[[#This Row],[Age]]&lt;=78,"Baby Boomers",Table2[[#This Row],[Age]]&lt;=96,"Silent",Table2[[#This Row],[Age]]&gt;=97,"Greatest")</f>
        <v>Millenials</v>
      </c>
      <c r="E1992" s="1">
        <v>166983</v>
      </c>
      <c r="F1992">
        <v>69</v>
      </c>
      <c r="G1992" t="str" cm="1">
        <f t="array" ref="G1992">_xlfn.IFS(Table2[[#This Row],[Spending Score (1-100)]]&lt;=25,"Low",Table2[[#This Row],[Spending Score (1-100)]]&lt;=50,"Medium",Table2[[#This Row],[Spending Score (1-100)]]&lt;=75,"High",Table2[[#This Row],[Spending Score (1-100)]]&lt;=100,"Very High")</f>
        <v>High</v>
      </c>
      <c r="H1992" t="s">
        <v>14</v>
      </c>
      <c r="I1992">
        <v>7</v>
      </c>
      <c r="J1992" t="str">
        <f>CONCATENATE(Table2[[#This Row],[Work Experience]],"years")</f>
        <v>7years</v>
      </c>
      <c r="K1992" t="str">
        <f>CONCATENATE(Table2[[#This Row],[Family Size2]],"members")</f>
        <v>3members</v>
      </c>
      <c r="L1992" t="str">
        <f>CONCATENATE(Table2[[#This Row],[Family Size2]],"members")</f>
        <v>3members</v>
      </c>
      <c r="M1992">
        <v>3</v>
      </c>
    </row>
    <row r="1993" spans="1:13">
      <c r="A1993">
        <v>1992</v>
      </c>
      <c r="B1993" t="s">
        <v>11</v>
      </c>
      <c r="C1993">
        <v>97</v>
      </c>
      <c r="D1993" t="str" cm="1">
        <f t="array" ref="D1993">_xlfn.IFS(Table2[[#This Row],[Age]]&lt;=11,"Gen A",Table2[[#This Row],[Age]]&lt;=27,"Gen Z",Table2[[#This Row],[Age]]&lt;=43,"Millenials",Table2[[#This Row],[Age]]&lt;=59,"Gen X",Table2[[#This Row],[Age]]&lt;=78,"Baby Boomers",Table2[[#This Row],[Age]]&lt;=96,"Silent",Table2[[#This Row],[Age]]&gt;=97,"Greatest")</f>
        <v>Greatest</v>
      </c>
      <c r="E1993" s="1">
        <v>129444</v>
      </c>
      <c r="F1993">
        <v>96</v>
      </c>
      <c r="G1993" t="str" cm="1">
        <f t="array" ref="G1993">_xlfn.IFS(Table2[[#This Row],[Spending Score (1-100)]]&lt;=25,"Low",Table2[[#This Row],[Spending Score (1-100)]]&lt;=50,"Medium",Table2[[#This Row],[Spending Score (1-100)]]&lt;=75,"High",Table2[[#This Row],[Spending Score (1-100)]]&lt;=100,"Very High")</f>
        <v>Very High</v>
      </c>
      <c r="H1993" t="s">
        <v>13</v>
      </c>
      <c r="I1993">
        <v>5</v>
      </c>
      <c r="J1993" t="str">
        <f>CONCATENATE(Table2[[#This Row],[Work Experience]],"years")</f>
        <v>5years</v>
      </c>
      <c r="K1993" t="str">
        <f>CONCATENATE(Table2[[#This Row],[Family Size2]],"members")</f>
        <v>6members</v>
      </c>
      <c r="L1993" t="str">
        <f>CONCATENATE(Table2[[#This Row],[Family Size2]],"members")</f>
        <v>6members</v>
      </c>
      <c r="M1993">
        <v>6</v>
      </c>
    </row>
    <row r="1994" spans="1:13">
      <c r="A1994">
        <v>1993</v>
      </c>
      <c r="B1994" t="s">
        <v>8</v>
      </c>
      <c r="C1994">
        <v>94</v>
      </c>
      <c r="D1994" t="str" cm="1">
        <f t="array" ref="D1994">_xlfn.IFS(Table2[[#This Row],[Age]]&lt;=11,"Gen A",Table2[[#This Row],[Age]]&lt;=27,"Gen Z",Table2[[#This Row],[Age]]&lt;=43,"Millenials",Table2[[#This Row],[Age]]&lt;=59,"Gen X",Table2[[#This Row],[Age]]&lt;=78,"Baby Boomers",Table2[[#This Row],[Age]]&lt;=96,"Silent",Table2[[#This Row],[Age]]&gt;=97,"Greatest")</f>
        <v>Silent</v>
      </c>
      <c r="E1994" s="1">
        <v>181183</v>
      </c>
      <c r="F1994">
        <v>24</v>
      </c>
      <c r="G1994" t="str" cm="1">
        <f t="array" ref="G1994">_xlfn.IFS(Table2[[#This Row],[Spending Score (1-100)]]&lt;=25,"Low",Table2[[#This Row],[Spending Score (1-100)]]&lt;=50,"Medium",Table2[[#This Row],[Spending Score (1-100)]]&lt;=75,"High",Table2[[#This Row],[Spending Score (1-100)]]&lt;=100,"Very High")</f>
        <v>Low</v>
      </c>
      <c r="H1994" t="s">
        <v>18</v>
      </c>
      <c r="I1994">
        <v>9</v>
      </c>
      <c r="J1994" t="str">
        <f>CONCATENATE(Table2[[#This Row],[Work Experience]],"years")</f>
        <v>9years</v>
      </c>
      <c r="K1994" t="str">
        <f>CONCATENATE(Table2[[#This Row],[Family Size2]],"members")</f>
        <v>3members</v>
      </c>
      <c r="L1994" t="str">
        <f>CONCATENATE(Table2[[#This Row],[Family Size2]],"members")</f>
        <v>3members</v>
      </c>
      <c r="M1994">
        <v>3</v>
      </c>
    </row>
    <row r="1995" spans="1:13">
      <c r="A1995">
        <v>1994</v>
      </c>
      <c r="B1995" t="s">
        <v>11</v>
      </c>
      <c r="C1995">
        <v>64</v>
      </c>
      <c r="D1995" t="str" cm="1">
        <f t="array" ref="D1995">_xlfn.IFS(Table2[[#This Row],[Age]]&lt;=11,"Gen A",Table2[[#This Row],[Age]]&lt;=27,"Gen Z",Table2[[#This Row],[Age]]&lt;=43,"Millenials",Table2[[#This Row],[Age]]&lt;=59,"Gen X",Table2[[#This Row],[Age]]&lt;=78,"Baby Boomers",Table2[[#This Row],[Age]]&lt;=96,"Silent",Table2[[#This Row],[Age]]&gt;=97,"Greatest")</f>
        <v>Baby Boomers</v>
      </c>
      <c r="E1995" s="1">
        <v>175254</v>
      </c>
      <c r="F1995">
        <v>100</v>
      </c>
      <c r="G1995" t="str" cm="1">
        <f t="array" ref="G1995">_xlfn.IFS(Table2[[#This Row],[Spending Score (1-100)]]&lt;=25,"Low",Table2[[#This Row],[Spending Score (1-100)]]&lt;=50,"Medium",Table2[[#This Row],[Spending Score (1-100)]]&lt;=75,"High",Table2[[#This Row],[Spending Score (1-100)]]&lt;=100,"Very High")</f>
        <v>Very High</v>
      </c>
      <c r="H1995" t="s">
        <v>14</v>
      </c>
      <c r="I1995">
        <v>9</v>
      </c>
      <c r="J1995" t="str">
        <f>CONCATENATE(Table2[[#This Row],[Work Experience]],"years")</f>
        <v>9years</v>
      </c>
      <c r="K1995" t="str">
        <f>CONCATENATE(Table2[[#This Row],[Family Size2]],"members")</f>
        <v>5members</v>
      </c>
      <c r="L1995" t="str">
        <f>CONCATENATE(Table2[[#This Row],[Family Size2]],"members")</f>
        <v>5members</v>
      </c>
      <c r="M1995">
        <v>5</v>
      </c>
    </row>
    <row r="1996" spans="1:13">
      <c r="A1996">
        <v>1995</v>
      </c>
      <c r="B1996" t="s">
        <v>11</v>
      </c>
      <c r="C1996">
        <v>19</v>
      </c>
      <c r="D1996" t="str" cm="1">
        <f t="array" ref="D1996">_xlfn.IFS(Table2[[#This Row],[Age]]&lt;=11,"Gen A",Table2[[#This Row],[Age]]&lt;=27,"Gen Z",Table2[[#This Row],[Age]]&lt;=43,"Millenials",Table2[[#This Row],[Age]]&lt;=59,"Gen X",Table2[[#This Row],[Age]]&lt;=78,"Baby Boomers",Table2[[#This Row],[Age]]&lt;=96,"Silent",Table2[[#This Row],[Age]]&gt;=97,"Greatest")</f>
        <v>Gen Z</v>
      </c>
      <c r="E1996" s="1">
        <v>54121</v>
      </c>
      <c r="F1996">
        <v>89</v>
      </c>
      <c r="G1996" t="str" cm="1">
        <f t="array" ref="G1996">_xlfn.IFS(Table2[[#This Row],[Spending Score (1-100)]]&lt;=25,"Low",Table2[[#This Row],[Spending Score (1-100)]]&lt;=50,"Medium",Table2[[#This Row],[Spending Score (1-100)]]&lt;=75,"High",Table2[[#This Row],[Spending Score (1-100)]]&lt;=100,"Very High")</f>
        <v>Very High</v>
      </c>
      <c r="H1996" t="s">
        <v>10</v>
      </c>
      <c r="I1996">
        <v>6</v>
      </c>
      <c r="J1996" t="str">
        <f>CONCATENATE(Table2[[#This Row],[Work Experience]],"years")</f>
        <v>6years</v>
      </c>
      <c r="K1996" t="str">
        <f>CONCATENATE(Table2[[#This Row],[Family Size2]],"members")</f>
        <v>3members</v>
      </c>
      <c r="L1996" t="str">
        <f>CONCATENATE(Table2[[#This Row],[Family Size2]],"members")</f>
        <v>3members</v>
      </c>
      <c r="M1996">
        <v>3</v>
      </c>
    </row>
    <row r="1997" spans="1:13">
      <c r="A1997">
        <v>1996</v>
      </c>
      <c r="B1997" t="s">
        <v>11</v>
      </c>
      <c r="C1997">
        <v>71</v>
      </c>
      <c r="D1997" t="str" cm="1">
        <f t="array" ref="D1997">_xlfn.IFS(Table2[[#This Row],[Age]]&lt;=11,"Gen A",Table2[[#This Row],[Age]]&lt;=27,"Gen Z",Table2[[#This Row],[Age]]&lt;=43,"Millenials",Table2[[#This Row],[Age]]&lt;=59,"Gen X",Table2[[#This Row],[Age]]&lt;=78,"Baby Boomers",Table2[[#This Row],[Age]]&lt;=96,"Silent",Table2[[#This Row],[Age]]&gt;=97,"Greatest")</f>
        <v>Baby Boomers</v>
      </c>
      <c r="E1997" s="1">
        <v>184387</v>
      </c>
      <c r="F1997">
        <v>40</v>
      </c>
      <c r="G1997" t="str" cm="1">
        <f t="array" ref="G1997">_xlfn.IFS(Table2[[#This Row],[Spending Score (1-100)]]&lt;=25,"Low",Table2[[#This Row],[Spending Score (1-100)]]&lt;=50,"Medium",Table2[[#This Row],[Spending Score (1-100)]]&lt;=75,"High",Table2[[#This Row],[Spending Score (1-100)]]&lt;=100,"Very High")</f>
        <v>Medium</v>
      </c>
      <c r="H1997" t="s">
        <v>14</v>
      </c>
      <c r="I1997">
        <v>8</v>
      </c>
      <c r="J1997" t="str">
        <f>CONCATENATE(Table2[[#This Row],[Work Experience]],"years")</f>
        <v>8years</v>
      </c>
      <c r="K1997" t="str">
        <f>CONCATENATE(Table2[[#This Row],[Family Size2]],"members")</f>
        <v>7members</v>
      </c>
      <c r="L1997" t="str">
        <f>CONCATENATE(Table2[[#This Row],[Family Size2]],"members")</f>
        <v>7members</v>
      </c>
      <c r="M1997">
        <v>7</v>
      </c>
    </row>
    <row r="1998" spans="1:13">
      <c r="A1998">
        <v>1997</v>
      </c>
      <c r="B1998" t="s">
        <v>11</v>
      </c>
      <c r="C1998">
        <v>91</v>
      </c>
      <c r="D1998" t="str" cm="1">
        <f t="array" ref="D1998">_xlfn.IFS(Table2[[#This Row],[Age]]&lt;=11,"Gen A",Table2[[#This Row],[Age]]&lt;=27,"Gen Z",Table2[[#This Row],[Age]]&lt;=43,"Millenials",Table2[[#This Row],[Age]]&lt;=59,"Gen X",Table2[[#This Row],[Age]]&lt;=78,"Baby Boomers",Table2[[#This Row],[Age]]&lt;=96,"Silent",Table2[[#This Row],[Age]]&gt;=97,"Greatest")</f>
        <v>Silent</v>
      </c>
      <c r="E1998" s="1">
        <v>73158</v>
      </c>
      <c r="F1998">
        <v>32</v>
      </c>
      <c r="G1998" t="str" cm="1">
        <f t="array" ref="G1998">_xlfn.IFS(Table2[[#This Row],[Spending Score (1-100)]]&lt;=25,"Low",Table2[[#This Row],[Spending Score (1-100)]]&lt;=50,"Medium",Table2[[#This Row],[Spending Score (1-100)]]&lt;=75,"High",Table2[[#This Row],[Spending Score (1-100)]]&lt;=100,"Very High")</f>
        <v>Medium</v>
      </c>
      <c r="H1998" t="s">
        <v>16</v>
      </c>
      <c r="I1998">
        <v>7</v>
      </c>
      <c r="J1998" t="str">
        <f>CONCATENATE(Table2[[#This Row],[Work Experience]],"years")</f>
        <v>7years</v>
      </c>
      <c r="K1998" t="str">
        <f>CONCATENATE(Table2[[#This Row],[Family Size2]],"members")</f>
        <v>7members</v>
      </c>
      <c r="L1998" t="str">
        <f>CONCATENATE(Table2[[#This Row],[Family Size2]],"members")</f>
        <v>7members</v>
      </c>
      <c r="M1998">
        <v>7</v>
      </c>
    </row>
    <row r="1999" spans="1:13">
      <c r="A1999">
        <v>1998</v>
      </c>
      <c r="B1999" t="s">
        <v>8</v>
      </c>
      <c r="C1999">
        <v>87</v>
      </c>
      <c r="D1999" t="str" cm="1">
        <f t="array" ref="D1999">_xlfn.IFS(Table2[[#This Row],[Age]]&lt;=11,"Gen A",Table2[[#This Row],[Age]]&lt;=27,"Gen Z",Table2[[#This Row],[Age]]&lt;=43,"Millenials",Table2[[#This Row],[Age]]&lt;=59,"Gen X",Table2[[#This Row],[Age]]&lt;=78,"Baby Boomers",Table2[[#This Row],[Age]]&lt;=96,"Silent",Table2[[#This Row],[Age]]&gt;=97,"Greatest")</f>
        <v>Silent</v>
      </c>
      <c r="E1999" s="1">
        <v>90961</v>
      </c>
      <c r="F1999">
        <v>14</v>
      </c>
      <c r="G1999" t="str" cm="1">
        <f t="array" ref="G1999">_xlfn.IFS(Table2[[#This Row],[Spending Score (1-100)]]&lt;=25,"Low",Table2[[#This Row],[Spending Score (1-100)]]&lt;=50,"Medium",Table2[[#This Row],[Spending Score (1-100)]]&lt;=75,"High",Table2[[#This Row],[Spending Score (1-100)]]&lt;=100,"Very High")</f>
        <v>Low</v>
      </c>
      <c r="H1999" t="s">
        <v>9</v>
      </c>
      <c r="I1999">
        <v>9</v>
      </c>
      <c r="J1999" t="str">
        <f>CONCATENATE(Table2[[#This Row],[Work Experience]],"years")</f>
        <v>9years</v>
      </c>
      <c r="K1999" t="str">
        <f>CONCATENATE(Table2[[#This Row],[Family Size2]],"members")</f>
        <v>2members</v>
      </c>
      <c r="L1999" t="str">
        <f>CONCATENATE(Table2[[#This Row],[Family Size2]],"members")</f>
        <v>2members</v>
      </c>
      <c r="M1999">
        <v>2</v>
      </c>
    </row>
    <row r="2000" spans="1:13">
      <c r="A2000">
        <v>1999</v>
      </c>
      <c r="B2000" t="s">
        <v>8</v>
      </c>
      <c r="C2000">
        <v>77</v>
      </c>
      <c r="D2000" t="str" cm="1">
        <f t="array" ref="D2000">_xlfn.IFS(Table2[[#This Row],[Age]]&lt;=11,"Gen A",Table2[[#This Row],[Age]]&lt;=27,"Gen Z",Table2[[#This Row],[Age]]&lt;=43,"Millenials",Table2[[#This Row],[Age]]&lt;=59,"Gen X",Table2[[#This Row],[Age]]&lt;=78,"Baby Boomers",Table2[[#This Row],[Age]]&lt;=96,"Silent",Table2[[#This Row],[Age]]&gt;=97,"Greatest")</f>
        <v>Baby Boomers</v>
      </c>
      <c r="E2000" s="1">
        <v>182109</v>
      </c>
      <c r="F2000">
        <v>4</v>
      </c>
      <c r="G2000" t="str" cm="1">
        <f t="array" ref="G2000">_xlfn.IFS(Table2[[#This Row],[Spending Score (1-100)]]&lt;=25,"Low",Table2[[#This Row],[Spending Score (1-100)]]&lt;=50,"Medium",Table2[[#This Row],[Spending Score (1-100)]]&lt;=75,"High",Table2[[#This Row],[Spending Score (1-100)]]&lt;=100,"Very High")</f>
        <v>Low</v>
      </c>
      <c r="H2000" t="s">
        <v>15</v>
      </c>
      <c r="I2000">
        <v>7</v>
      </c>
      <c r="J2000" t="str">
        <f>CONCATENATE(Table2[[#This Row],[Work Experience]],"years")</f>
        <v>7years</v>
      </c>
      <c r="K2000" t="str">
        <f>CONCATENATE(Table2[[#This Row],[Family Size2]],"members")</f>
        <v>2members</v>
      </c>
      <c r="L2000" t="str">
        <f>CONCATENATE(Table2[[#This Row],[Family Size2]],"members")</f>
        <v>2members</v>
      </c>
      <c r="M2000">
        <v>2</v>
      </c>
    </row>
    <row r="2001" spans="1:13">
      <c r="A2001">
        <v>2000</v>
      </c>
      <c r="B2001" t="s">
        <v>8</v>
      </c>
      <c r="C2001">
        <v>90</v>
      </c>
      <c r="D2001" t="str" cm="1">
        <f t="array" ref="D2001">_xlfn.IFS(Table2[[#This Row],[Age]]&lt;=11,"Gen A",Table2[[#This Row],[Age]]&lt;=27,"Gen Z",Table2[[#This Row],[Age]]&lt;=43,"Millenials",Table2[[#This Row],[Age]]&lt;=59,"Gen X",Table2[[#This Row],[Age]]&lt;=78,"Baby Boomers",Table2[[#This Row],[Age]]&lt;=96,"Silent",Table2[[#This Row],[Age]]&gt;=97,"Greatest")</f>
        <v>Silent</v>
      </c>
      <c r="E2001" s="1">
        <v>110610</v>
      </c>
      <c r="F2001">
        <v>52</v>
      </c>
      <c r="G2001" t="str" cm="1">
        <f t="array" ref="G2001">_xlfn.IFS(Table2[[#This Row],[Spending Score (1-100)]]&lt;=25,"Low",Table2[[#This Row],[Spending Score (1-100)]]&lt;=50,"Medium",Table2[[#This Row],[Spending Score (1-100)]]&lt;=75,"High",Table2[[#This Row],[Spending Score (1-100)]]&lt;=100,"Very High")</f>
        <v>High</v>
      </c>
      <c r="H2001" t="s">
        <v>13</v>
      </c>
      <c r="I2001">
        <v>5</v>
      </c>
      <c r="J2001" t="str">
        <f>CONCATENATE(Table2[[#This Row],[Work Experience]],"years")</f>
        <v>5years</v>
      </c>
      <c r="K2001" t="str">
        <f>CONCATENATE(Table2[[#This Row],[Family Size2]],"members")</f>
        <v>2members</v>
      </c>
      <c r="L2001" t="str">
        <f>CONCATENATE(Table2[[#This Row],[Family Size2]],"members")</f>
        <v>2members</v>
      </c>
      <c r="M2001">
        <v>2</v>
      </c>
    </row>
  </sheetData>
  <mergeCells count="1">
    <mergeCell ref="O2:P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C1CEF-B23F-4AD8-AFA5-E0C6FA1A8F36}">
  <sheetPr>
    <tabColor theme="4" tint="-0.249977111117893"/>
  </sheetPr>
  <dimension ref="A1"/>
  <sheetViews>
    <sheetView showGridLines="0" zoomScaleNormal="100" workbookViewId="0">
      <selection activeCell="R20" sqref="R20"/>
    </sheetView>
  </sheetViews>
  <sheetFormatPr defaultRowHeight="14.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B9015-0F11-4918-9529-0B13FB6E81E7}">
  <sheetPr>
    <tabColor theme="4" tint="0.39997558519241921"/>
  </sheetPr>
  <dimension ref="A1"/>
  <sheetViews>
    <sheetView showGridLines="0" topLeftCell="A22" zoomScaleNormal="100" workbookViewId="0">
      <selection activeCell="U24" sqref="U24"/>
    </sheetView>
  </sheetViews>
  <sheetFormatPr defaultRowHeight="14.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E48C9-E35A-4C33-9FC9-E1FAB8581AEE}">
  <sheetPr>
    <tabColor theme="6" tint="-0.499984740745262"/>
  </sheetPr>
  <dimension ref="A1"/>
  <sheetViews>
    <sheetView showGridLines="0" tabSelected="1" zoomScale="71" zoomScaleNormal="71" workbookViewId="0">
      <selection activeCell="N39" sqref="N39"/>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015AD-0BB9-4B3B-93BC-2D2A0BA1E7A6}">
  <sheetPr>
    <tabColor theme="4" tint="-0.249977111117893"/>
  </sheetPr>
  <dimension ref="A1"/>
  <sheetViews>
    <sheetView showGridLines="0" zoomScaleNormal="100" workbookViewId="0">
      <selection activeCell="R20" sqref="R20"/>
    </sheetView>
  </sheetViews>
  <sheetFormatPr defaultRowHeight="14.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A1603-4103-4D28-9FE5-99D89A1F42BB}">
  <dimension ref="A3:B6"/>
  <sheetViews>
    <sheetView workbookViewId="0">
      <selection activeCell="K9" sqref="K9"/>
    </sheetView>
  </sheetViews>
  <sheetFormatPr defaultRowHeight="14.25"/>
  <cols>
    <col min="1" max="1" width="13.375" bestFit="1" customWidth="1"/>
    <col min="2" max="3" width="24.25" bestFit="1" customWidth="1"/>
  </cols>
  <sheetData>
    <row r="3" spans="1:2">
      <c r="A3" s="2" t="s">
        <v>23</v>
      </c>
      <c r="B3" t="s">
        <v>26</v>
      </c>
    </row>
    <row r="4" spans="1:2">
      <c r="A4" s="3" t="s">
        <v>11</v>
      </c>
      <c r="B4" s="4">
        <v>0.59204618972153367</v>
      </c>
    </row>
    <row r="5" spans="1:2">
      <c r="A5" s="3" t="s">
        <v>8</v>
      </c>
      <c r="B5" s="4">
        <v>0.40795381027846633</v>
      </c>
    </row>
    <row r="6" spans="1:2">
      <c r="A6" s="3" t="s">
        <v>24</v>
      </c>
      <c r="B6" s="4">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E4271-7E08-4C11-8765-FE0EA10342A0}">
  <dimension ref="A3:B11"/>
  <sheetViews>
    <sheetView workbookViewId="0">
      <selection activeCell="C37" sqref="C37"/>
    </sheetView>
  </sheetViews>
  <sheetFormatPr defaultRowHeight="14.25"/>
  <cols>
    <col min="1" max="1" width="13.75" bestFit="1" customWidth="1"/>
    <col min="2" max="2" width="24.25" bestFit="1" customWidth="1"/>
    <col min="3" max="3" width="20.625" bestFit="1" customWidth="1"/>
  </cols>
  <sheetData>
    <row r="3" spans="1:2">
      <c r="A3" s="2" t="s">
        <v>23</v>
      </c>
      <c r="B3" t="s">
        <v>26</v>
      </c>
    </row>
    <row r="4" spans="1:2">
      <c r="A4" s="3" t="s">
        <v>33</v>
      </c>
      <c r="B4" s="1">
        <v>41760252</v>
      </c>
    </row>
    <row r="5" spans="1:2">
      <c r="A5" s="3" t="s">
        <v>27</v>
      </c>
      <c r="B5" s="1">
        <v>40514275</v>
      </c>
    </row>
    <row r="6" spans="1:2">
      <c r="A6" s="3" t="s">
        <v>32</v>
      </c>
      <c r="B6" s="1">
        <v>37394830</v>
      </c>
    </row>
    <row r="7" spans="1:2">
      <c r="A7" s="3" t="s">
        <v>30</v>
      </c>
      <c r="B7" s="1">
        <v>36952078</v>
      </c>
    </row>
    <row r="8" spans="1:2">
      <c r="A8" s="3" t="s">
        <v>29</v>
      </c>
      <c r="B8" s="1">
        <v>33504512</v>
      </c>
    </row>
    <row r="9" spans="1:2">
      <c r="A9" s="3" t="s">
        <v>28</v>
      </c>
      <c r="B9" s="1">
        <v>25361080</v>
      </c>
    </row>
    <row r="10" spans="1:2">
      <c r="A10" s="3" t="s">
        <v>31</v>
      </c>
      <c r="B10" s="1">
        <v>5976616</v>
      </c>
    </row>
    <row r="11" spans="1:2">
      <c r="A11" s="3" t="s">
        <v>24</v>
      </c>
      <c r="B11" s="1">
        <v>221463643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03488-6FAF-448A-93B2-9EC98826CB44}">
  <dimension ref="A3:B14"/>
  <sheetViews>
    <sheetView workbookViewId="0">
      <selection activeCell="K16" sqref="K16"/>
    </sheetView>
  </sheetViews>
  <sheetFormatPr defaultRowHeight="14.25"/>
  <cols>
    <col min="1" max="1" width="14" bestFit="1" customWidth="1"/>
    <col min="2" max="2" width="24.25" bestFit="1" customWidth="1"/>
    <col min="3" max="3" width="20.625" bestFit="1" customWidth="1"/>
  </cols>
  <sheetData>
    <row r="3" spans="1:2">
      <c r="A3" s="2" t="s">
        <v>23</v>
      </c>
      <c r="B3" t="s">
        <v>26</v>
      </c>
    </row>
    <row r="4" spans="1:2">
      <c r="A4" s="3" t="s">
        <v>14</v>
      </c>
      <c r="B4" s="1">
        <v>66571267</v>
      </c>
    </row>
    <row r="5" spans="1:2">
      <c r="A5" s="3" t="s">
        <v>9</v>
      </c>
      <c r="B5" s="1">
        <v>38162600</v>
      </c>
    </row>
    <row r="6" spans="1:2">
      <c r="A6" s="3" t="s">
        <v>13</v>
      </c>
      <c r="B6" s="1">
        <v>25892178</v>
      </c>
    </row>
    <row r="7" spans="1:2">
      <c r="A7" s="3" t="s">
        <v>10</v>
      </c>
      <c r="B7" s="1">
        <v>19897862</v>
      </c>
    </row>
    <row r="8" spans="1:2">
      <c r="A8" s="3" t="s">
        <v>16</v>
      </c>
      <c r="B8" s="1">
        <v>17963288</v>
      </c>
    </row>
    <row r="9" spans="1:2">
      <c r="A9" s="3" t="s">
        <v>15</v>
      </c>
      <c r="B9" s="1">
        <v>17406830</v>
      </c>
    </row>
    <row r="10" spans="1:2">
      <c r="A10" s="3" t="s">
        <v>12</v>
      </c>
      <c r="B10" s="1">
        <v>15761409</v>
      </c>
    </row>
    <row r="11" spans="1:2">
      <c r="A11" s="3" t="s">
        <v>18</v>
      </c>
      <c r="B11" s="1">
        <v>9179508</v>
      </c>
    </row>
    <row r="12" spans="1:2">
      <c r="A12" s="3" t="s">
        <v>17</v>
      </c>
      <c r="B12" s="1">
        <v>6525517</v>
      </c>
    </row>
    <row r="13" spans="1:2">
      <c r="A13" s="3" t="s">
        <v>19</v>
      </c>
      <c r="B13" s="1">
        <v>4103184</v>
      </c>
    </row>
    <row r="14" spans="1:2">
      <c r="A14" s="3" t="s">
        <v>24</v>
      </c>
      <c r="B14" s="1">
        <v>221463643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3FFB4-B466-452E-BD45-5760A4C08344}">
  <dimension ref="A3:C13"/>
  <sheetViews>
    <sheetView workbookViewId="0">
      <selection activeCell="B5" sqref="B5"/>
    </sheetView>
  </sheetViews>
  <sheetFormatPr defaultRowHeight="14.25"/>
  <cols>
    <col min="1" max="1" width="13.375" bestFit="1" customWidth="1"/>
    <col min="2" max="2" width="20.625" bestFit="1" customWidth="1"/>
    <col min="3" max="3" width="32.125" bestFit="1" customWidth="1"/>
    <col min="4" max="4" width="8.25" bestFit="1" customWidth="1"/>
    <col min="5" max="5" width="9.625" bestFit="1" customWidth="1"/>
    <col min="6" max="6" width="11.25" bestFit="1" customWidth="1"/>
  </cols>
  <sheetData>
    <row r="3" spans="1:3">
      <c r="A3" s="2" t="s">
        <v>23</v>
      </c>
      <c r="B3" t="s">
        <v>25</v>
      </c>
      <c r="C3" t="s">
        <v>57</v>
      </c>
    </row>
    <row r="4" spans="1:3">
      <c r="A4" s="3" t="s">
        <v>49</v>
      </c>
      <c r="B4">
        <v>361</v>
      </c>
      <c r="C4" s="5">
        <v>50.362880886426595</v>
      </c>
    </row>
    <row r="5" spans="1:3">
      <c r="A5" s="3" t="s">
        <v>50</v>
      </c>
      <c r="B5">
        <v>311</v>
      </c>
      <c r="C5" s="5">
        <v>51.951768488745984</v>
      </c>
    </row>
    <row r="6" spans="1:3">
      <c r="A6" s="3" t="s">
        <v>48</v>
      </c>
      <c r="B6">
        <v>299</v>
      </c>
      <c r="C6" s="5">
        <v>49.645484949832777</v>
      </c>
    </row>
    <row r="7" spans="1:3">
      <c r="A7" s="3" t="s">
        <v>51</v>
      </c>
      <c r="B7">
        <v>289</v>
      </c>
      <c r="C7" s="5">
        <v>52.709342560553637</v>
      </c>
    </row>
    <row r="8" spans="1:3">
      <c r="A8" s="3" t="s">
        <v>52</v>
      </c>
      <c r="B8">
        <v>258</v>
      </c>
      <c r="C8" s="5">
        <v>52.178294573643413</v>
      </c>
    </row>
    <row r="9" spans="1:3">
      <c r="A9" s="3" t="s">
        <v>53</v>
      </c>
      <c r="B9">
        <v>243</v>
      </c>
      <c r="C9" s="5">
        <v>49.942386831275719</v>
      </c>
    </row>
    <row r="10" spans="1:3">
      <c r="A10" s="3" t="s">
        <v>54</v>
      </c>
      <c r="B10">
        <v>234</v>
      </c>
      <c r="C10" s="5">
        <v>49.991452991452988</v>
      </c>
    </row>
    <row r="11" spans="1:3">
      <c r="A11" s="3" t="s">
        <v>55</v>
      </c>
      <c r="B11">
        <v>4</v>
      </c>
      <c r="C11" s="5">
        <v>49.25</v>
      </c>
    </row>
    <row r="12" spans="1:3">
      <c r="A12" s="3" t="s">
        <v>56</v>
      </c>
      <c r="B12">
        <v>1</v>
      </c>
      <c r="C12" s="5">
        <v>17</v>
      </c>
    </row>
    <row r="13" spans="1:3">
      <c r="A13" s="3" t="s">
        <v>24</v>
      </c>
      <c r="B13">
        <v>2000</v>
      </c>
      <c r="C13" s="5">
        <v>50.962499999999999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094E7-69D8-48E2-AE20-7CDB9BEBC6A2}">
  <dimension ref="A3:B9"/>
  <sheetViews>
    <sheetView workbookViewId="0">
      <selection activeCell="B3" sqref="B3"/>
    </sheetView>
  </sheetViews>
  <sheetFormatPr defaultRowHeight="14.25"/>
  <cols>
    <col min="1" max="1" width="13.375" bestFit="1" customWidth="1"/>
    <col min="2" max="2" width="27.625" bestFit="1" customWidth="1"/>
    <col min="3" max="3" width="20.625" bestFit="1" customWidth="1"/>
    <col min="4" max="4" width="8.25" bestFit="1" customWidth="1"/>
    <col min="5" max="5" width="9.625" bestFit="1" customWidth="1"/>
    <col min="6" max="6" width="11.25" bestFit="1" customWidth="1"/>
  </cols>
  <sheetData>
    <row r="3" spans="1:2">
      <c r="A3" s="2" t="s">
        <v>23</v>
      </c>
      <c r="B3" t="s">
        <v>34</v>
      </c>
    </row>
    <row r="4" spans="1:2">
      <c r="A4" s="3" t="s">
        <v>47</v>
      </c>
      <c r="B4" s="1">
        <v>117741.19166666667</v>
      </c>
    </row>
    <row r="5" spans="1:2">
      <c r="A5" s="3" t="s">
        <v>45</v>
      </c>
      <c r="B5" s="1">
        <v>115476.18072289157</v>
      </c>
    </row>
    <row r="6" spans="1:2">
      <c r="A6" s="3" t="s">
        <v>46</v>
      </c>
      <c r="B6" s="1">
        <v>114422.675</v>
      </c>
    </row>
    <row r="7" spans="1:2">
      <c r="A7" s="3" t="s">
        <v>43</v>
      </c>
      <c r="B7" s="1">
        <v>107656.92765957447</v>
      </c>
    </row>
    <row r="8" spans="1:2">
      <c r="A8" s="3" t="s">
        <v>44</v>
      </c>
      <c r="B8" s="1">
        <v>106117.5475638051</v>
      </c>
    </row>
    <row r="9" spans="1:2">
      <c r="A9" s="3" t="s">
        <v>24</v>
      </c>
      <c r="B9" s="1">
        <v>109830.01930215293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705EB-8993-4BA2-ACE8-28F05081421B}">
  <dimension ref="A3:B14"/>
  <sheetViews>
    <sheetView workbookViewId="0">
      <selection activeCell="B5" sqref="B5"/>
    </sheetView>
  </sheetViews>
  <sheetFormatPr defaultRowHeight="14.25"/>
  <cols>
    <col min="1" max="1" width="13.375" bestFit="1" customWidth="1"/>
    <col min="2" max="2" width="27.625" bestFit="1" customWidth="1"/>
    <col min="3" max="3" width="20.625" bestFit="1" customWidth="1"/>
    <col min="4" max="10" width="2" bestFit="1" customWidth="1"/>
    <col min="11" max="11" width="11.25" bestFit="1" customWidth="1"/>
  </cols>
  <sheetData>
    <row r="3" spans="1:2">
      <c r="A3" s="2" t="s">
        <v>23</v>
      </c>
      <c r="B3" t="s">
        <v>34</v>
      </c>
    </row>
    <row r="4" spans="1:2">
      <c r="A4" s="3" t="s">
        <v>35</v>
      </c>
      <c r="B4" s="1">
        <v>110116.41269841269</v>
      </c>
    </row>
    <row r="5" spans="1:2">
      <c r="A5" s="3" t="s">
        <v>36</v>
      </c>
      <c r="B5" s="1">
        <v>109051.18831168831</v>
      </c>
    </row>
    <row r="6" spans="1:2">
      <c r="A6" s="3" t="s">
        <v>37</v>
      </c>
      <c r="B6" s="1">
        <v>110403.72844036698</v>
      </c>
    </row>
    <row r="7" spans="1:2">
      <c r="A7" s="3" t="s">
        <v>38</v>
      </c>
      <c r="B7" s="1">
        <v>113319.61145194274</v>
      </c>
    </row>
    <row r="8" spans="1:2">
      <c r="A8" s="3" t="s">
        <v>24</v>
      </c>
      <c r="B8" s="1">
        <v>110731.82150000001</v>
      </c>
    </row>
    <row r="10" spans="1:2">
      <c r="A10" s="3" t="s">
        <v>39</v>
      </c>
      <c r="B10" t="s">
        <v>34</v>
      </c>
    </row>
    <row r="11" spans="1:2">
      <c r="A11" s="3" t="s">
        <v>38</v>
      </c>
      <c r="B11" s="1">
        <v>113319.61145194274</v>
      </c>
    </row>
    <row r="12" spans="1:2">
      <c r="A12" s="3" t="s">
        <v>37</v>
      </c>
      <c r="B12" s="1">
        <v>110403.72844036698</v>
      </c>
    </row>
    <row r="13" spans="1:2">
      <c r="A13" s="3" t="s">
        <v>35</v>
      </c>
      <c r="B13" s="1">
        <v>110116.41269841269</v>
      </c>
    </row>
    <row r="14" spans="1:2">
      <c r="A14" s="3" t="s">
        <v>36</v>
      </c>
      <c r="B14" s="1">
        <v>109051.18831168831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E3834-B436-46E2-98A6-4A9872E1ACEE}">
  <dimension ref="A3:B11"/>
  <sheetViews>
    <sheetView workbookViewId="0">
      <selection activeCell="B4" sqref="B4"/>
    </sheetView>
  </sheetViews>
  <sheetFormatPr defaultRowHeight="14.25"/>
  <cols>
    <col min="1" max="1" width="13.75" bestFit="1" customWidth="1"/>
    <col min="2" max="2" width="20.625" bestFit="1" customWidth="1"/>
    <col min="3" max="3" width="19" bestFit="1" customWidth="1"/>
  </cols>
  <sheetData>
    <row r="3" spans="1:2">
      <c r="A3" s="2" t="s">
        <v>23</v>
      </c>
      <c r="B3" t="s">
        <v>25</v>
      </c>
    </row>
    <row r="4" spans="1:2">
      <c r="A4" s="3" t="s">
        <v>33</v>
      </c>
      <c r="B4">
        <v>363</v>
      </c>
    </row>
    <row r="5" spans="1:2">
      <c r="A5" s="3" t="s">
        <v>32</v>
      </c>
      <c r="B5">
        <v>363</v>
      </c>
    </row>
    <row r="6" spans="1:2">
      <c r="A6" s="3" t="s">
        <v>27</v>
      </c>
      <c r="B6">
        <v>360</v>
      </c>
    </row>
    <row r="7" spans="1:2">
      <c r="A7" s="3" t="s">
        <v>30</v>
      </c>
      <c r="B7">
        <v>341</v>
      </c>
    </row>
    <row r="8" spans="1:2">
      <c r="A8" s="3" t="s">
        <v>29</v>
      </c>
      <c r="B8">
        <v>315</v>
      </c>
    </row>
    <row r="9" spans="1:2">
      <c r="A9" s="3" t="s">
        <v>28</v>
      </c>
      <c r="B9">
        <v>210</v>
      </c>
    </row>
    <row r="10" spans="1:2">
      <c r="A10" s="3" t="s">
        <v>31</v>
      </c>
      <c r="B10">
        <v>48</v>
      </c>
    </row>
    <row r="11" spans="1:2">
      <c r="A11" s="3" t="s">
        <v>24</v>
      </c>
      <c r="B11">
        <v>2000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9A2941-51BD-45C9-8FDC-C957363BF8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Original dataset</vt:lpstr>
      <vt:lpstr>Cleaned_Customerdataset</vt:lpstr>
      <vt:lpstr>Pre-analysis board</vt:lpstr>
      <vt:lpstr>In-analysis board</vt:lpstr>
      <vt:lpstr>Dashboard</vt:lpstr>
      <vt:lpstr>Post-analysis board</vt:lpstr>
      <vt:lpstr>Gender Analysis</vt:lpstr>
      <vt:lpstr>Age group by annual Income</vt:lpstr>
      <vt:lpstr>Profession by annual Income</vt:lpstr>
      <vt:lpstr>Family Size by Spending score</vt:lpstr>
      <vt:lpstr>Top 5 years by income</vt:lpstr>
      <vt:lpstr>Spending Category by Avg Income</vt:lpstr>
      <vt:lpstr>Customers by Age 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OYIBO DORCAS</dc:creator>
  <cp:lastModifiedBy>OYIBO DORCAS</cp:lastModifiedBy>
  <dcterms:created xsi:type="dcterms:W3CDTF">2025-09-19T15:04:35Z</dcterms:created>
  <dcterms:modified xsi:type="dcterms:W3CDTF">2025-11-15T22:35:44Z</dcterms:modified>
</cp:coreProperties>
</file>